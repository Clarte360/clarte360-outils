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4513621f56c824f/000000 OUTILS DE TRAVAIL CLARTE360/"/>
    </mc:Choice>
  </mc:AlternateContent>
  <xr:revisionPtr revIDLastSave="0" documentId="8_{E1670EE2-F971-452F-A0CC-D73748E63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  <sheet name="Dimensions" sheetId="2" r:id="rId2"/>
    <sheet name="Calculs" sheetId="3" r:id="rId3"/>
    <sheet name="READ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10" i="3"/>
  <c r="E9" i="3"/>
  <c r="D9" i="3"/>
  <c r="D8" i="3"/>
  <c r="D7" i="3"/>
  <c r="D6" i="3"/>
  <c r="D5" i="3"/>
  <c r="E4" i="3"/>
  <c r="D4" i="3"/>
  <c r="E3" i="3"/>
  <c r="D3" i="3"/>
  <c r="E2" i="3"/>
  <c r="D2" i="3"/>
  <c r="E11" i="3" l="1"/>
  <c r="E10" i="3"/>
  <c r="E8" i="3"/>
  <c r="E7" i="3"/>
  <c r="E6" i="3"/>
  <c r="E5" i="3"/>
</calcChain>
</file>

<file path=xl/sharedStrings.xml><?xml version="1.0" encoding="utf-8"?>
<sst xmlns="http://schemas.openxmlformats.org/spreadsheetml/2006/main" count="762" uniqueCount="454">
  <si>
    <t>ID</t>
  </si>
  <si>
    <t>Dimension</t>
  </si>
  <si>
    <t>Libelle dimension</t>
  </si>
  <si>
    <t>Question</t>
  </si>
  <si>
    <t>Reponse A</t>
  </si>
  <si>
    <t>Score A</t>
  </si>
  <si>
    <t>Reponse B</t>
  </si>
  <si>
    <t>Score B</t>
  </si>
  <si>
    <t>Reponse C</t>
  </si>
  <si>
    <t>Score C</t>
  </si>
  <si>
    <t>Reponse D</t>
  </si>
  <si>
    <t>Score D</t>
  </si>
  <si>
    <t>Max question</t>
  </si>
  <si>
    <t>Statut</t>
  </si>
  <si>
    <t>Version</t>
  </si>
  <si>
    <t>Commentaire</t>
  </si>
  <si>
    <t>Q001</t>
  </si>
  <si>
    <t>PP1</t>
  </si>
  <si>
    <t>Autonomie</t>
  </si>
  <si>
    <t>Lorsque vous démarrez une nouvelle mission, qu'est-ce qui vous met le plus en confiance ?</t>
  </si>
  <si>
    <t>Disposer de consignes très précises avant de commencer.</t>
  </si>
  <si>
    <t>Comprendre les grandes lignes puis demander des précisions si nécessaire.</t>
  </si>
  <si>
    <t>Comprendre les objectifs puis organiser moi-même ma façon de travailler.</t>
  </si>
  <si>
    <t>Découvrir progressivement en expérimentant directement sur le terrain.</t>
  </si>
  <si>
    <t>active</t>
  </si>
  <si>
    <t>V1.0</t>
  </si>
  <si>
    <t>Q002</t>
  </si>
  <si>
    <t>Votre responsable vous confie un nouvel objectif sans expliquer précisément la méthode à utiliser. Votre première réaction est plutôt...</t>
  </si>
  <si>
    <t>Je préfère demander une méthode détaillée.</t>
  </si>
  <si>
    <t>Je cherche des exemples de ce qui a déjà été fait.</t>
  </si>
  <si>
    <t>Je construis ma propre méthode en respectant l'objectif fixé.</t>
  </si>
  <si>
    <t>J'expérimente rapidement plusieurs approches avant d'en retenir une.</t>
  </si>
  <si>
    <t>Q003</t>
  </si>
  <si>
    <t>Vous devez organiser votre semaine de travail. Vous préférez...</t>
  </si>
  <si>
    <t>Suivre un planning établi à l'avance.</t>
  </si>
  <si>
    <t>Définir moi-même un planning tout en respectant les priorités.</t>
  </si>
  <si>
    <t>Ajuster régulièrement mon organisation selon les besoins.</t>
  </si>
  <si>
    <t>Fonctionner de manière très souple en fonction des opportunités.</t>
  </si>
  <si>
    <t>Q004</t>
  </si>
  <si>
    <t>Vous rencontrez une difficulté inhabituelle dans votre travail. Vous avez tendance à...</t>
  </si>
  <si>
    <t>Demander rapidement l'avis de votre responsable.</t>
  </si>
  <si>
    <t>Rechercher les procédures existantes.</t>
  </si>
  <si>
    <t>Réfléchir d'abord à une solution avant d'en discuter.</t>
  </si>
  <si>
    <t>Tester directement une solution puis ajuster si nécessaire.</t>
  </si>
  <si>
    <t>Q005</t>
  </si>
  <si>
    <t>Parmi les propositions suivantes, quel mode de fonctionnement vous correspond le mieux ?</t>
  </si>
  <si>
    <t>J'apprécie que les décisions importantes soient prises par mon responsable.</t>
  </si>
  <si>
    <t>J'aime participer aux décisions qui concernent mon travail.</t>
  </si>
  <si>
    <t>J'apprécie pouvoir prendre seul les décisions relevant de mon domaine.</t>
  </si>
  <si>
    <t>Je recherche des missions où je peux décider largement de la manière d'agir.</t>
  </si>
  <si>
    <t>Q006</t>
  </si>
  <si>
    <t>Si vous pouviez choisir votre organisation idéale, vous préféreriez...</t>
  </si>
  <si>
    <t>Un cadre très structuré avec des procédures clairement établies.</t>
  </si>
  <si>
    <t>Un cadre clair laissant quelques marges d'initiative.</t>
  </si>
  <si>
    <t>Une grande liberté d'organisation avec des objectifs définis.</t>
  </si>
  <si>
    <t>Une très forte autonomie où je définis largement ma manière de travailler.</t>
  </si>
  <si>
    <t>Q007</t>
  </si>
  <si>
    <t>PP2</t>
  </si>
  <si>
    <t>Organisation</t>
  </si>
  <si>
    <t>Vous démarrez une semaine avec plusieurs dossiers à traiter. Quelle est votre façon de procéder la plus naturelle ?</t>
  </si>
  <si>
    <t>J'établis un planning précis avant de commencer.</t>
  </si>
  <si>
    <t>Je repère les priorités puis j'organise progressivement mon travail.</t>
  </si>
  <si>
    <t>Je commence par le dossier qui me semble le plus important sur le moment.</t>
  </si>
  <si>
    <t>J'avance en fonction des demandes et des imprévus qui se présentent.</t>
  </si>
  <si>
    <t>Q008</t>
  </si>
  <si>
    <t>Votre journée ne se déroule pas comme prévu. Plusieurs imprévus apparaissent. Vous avez tendance à...</t>
  </si>
  <si>
    <t>Essayer de revenir au planning initial dès que possible.</t>
  </si>
  <si>
    <t>Réorganiser mon planning en tenant compte des nouvelles priorités.</t>
  </si>
  <si>
    <t>Traiter les urgences puis reprendre mon travail.</t>
  </si>
  <si>
    <t>M'adapter au fil de la journée sans chercher à suivre un planning précis.</t>
  </si>
  <si>
    <t>Q009</t>
  </si>
  <si>
    <t>Lorsque vous devez gérer plusieurs tâches en même temps, vous préférez...</t>
  </si>
  <si>
    <t>Les traiter une par une jusqu'à leur achèvement.</t>
  </si>
  <si>
    <t>Alterner entre plusieurs tâches selon leur priorité.</t>
  </si>
  <si>
    <t>Avancer sur plusieurs dossiers en parallèle.</t>
  </si>
  <si>
    <t>Me laisser guider par les opportunités ou les sollicitations.</t>
  </si>
  <si>
    <t>Q010</t>
  </si>
  <si>
    <t>Avant de commencer un nouveau projet, vous préférez...</t>
  </si>
  <si>
    <t>Préparer une organisation détaillée.</t>
  </si>
  <si>
    <t>Définir les grandes étapes puis ajuster en avançant.</t>
  </si>
  <si>
    <t>Commencer rapidement et structurer progressivement.</t>
  </si>
  <si>
    <t>Réunir les personnes concernées pour construire ensemble l'organisation.</t>
  </si>
  <si>
    <t>Q011</t>
  </si>
  <si>
    <t>Lorsque vous terminez une journée de travail, vous avez le plus souvent le sentiment d'avoir été efficace si...</t>
  </si>
  <si>
    <t>J'ai respecté le planning prévu.</t>
  </si>
  <si>
    <t>J'ai traité les priorités essentielles.</t>
  </si>
  <si>
    <t>J'ai su m'adapter aux imprévus.</t>
  </si>
  <si>
    <t>J'ai fait avancer les sujets qui comptaient vraiment, même si tout n'était pas terminé.</t>
  </si>
  <si>
    <t>Q012</t>
  </si>
  <si>
    <t>Parmi ces affirmations, laquelle correspond le mieux à votre manière habituelle de vous organiser ?</t>
  </si>
  <si>
    <t>J'apprécie les méthodes de travail bien établies.</t>
  </si>
  <si>
    <t>J'aime disposer d'un cadre tout en gardant une certaine souplesse.</t>
  </si>
  <si>
    <t>Je préfère construire ma propre organisation selon les situations.</t>
  </si>
  <si>
    <t>Mon organisation évolue naturellement en fonction des besoins du moment.</t>
  </si>
  <si>
    <t>Q013</t>
  </si>
  <si>
    <t>PP3</t>
  </si>
  <si>
    <t>Relations</t>
  </si>
  <si>
    <t>Dans un nouveau projet collectif, vous vous sentez généralement plus à l'aise lorsque...</t>
  </si>
  <si>
    <t>Chacun travaille de son côté avec des points réguliers.</t>
  </si>
  <si>
    <t>Les échanges sont fréquents et les décisions partagées.</t>
  </si>
  <si>
    <t>Les rôles sont clairement définis dès le départ.</t>
  </si>
  <si>
    <t>Je peux intervenir ponctuellement lorsque mon expertise est utile.</t>
  </si>
  <si>
    <t>Q014</t>
  </si>
  <si>
    <t>Lorsque vous avez une idée à proposer, vous préférez...</t>
  </si>
  <si>
    <t>La partager directement avec le groupe.</t>
  </si>
  <si>
    <t>L'écrire et l'envoyer aux personnes concernées.</t>
  </si>
  <si>
    <t>En parler d'abord à une personne de confiance.</t>
  </si>
  <si>
    <t>La garder jusqu'à ce qu'on me sollicite.</t>
  </si>
  <si>
    <t>Q015</t>
  </si>
  <si>
    <t>Pour avancer efficacement, vous avez plutôt besoin...</t>
  </si>
  <si>
    <t>D'échanges réguliers avec les personnes concernées.</t>
  </si>
  <si>
    <t>D'un temps seul avant de revenir vers les autres.</t>
  </si>
  <si>
    <t>D'un binôme avec qui confronter les idées.</t>
  </si>
  <si>
    <t>De limiter les échanges pour rester concentré.</t>
  </si>
  <si>
    <t>Q016</t>
  </si>
  <si>
    <t>Lorsqu'un désaccord apparaît dans une équipe, vous avez tendance à...</t>
  </si>
  <si>
    <t>Favoriser un échange pour clarifier les points de vue.</t>
  </si>
  <si>
    <t>Chercher une solution acceptable pour chacun.</t>
  </si>
  <si>
    <t>Vous concentrer sur les faits et la tâche à réaliser.</t>
  </si>
  <si>
    <t>Laisser chacun reprendre son travail pour éviter que cela prenne trop de place.</t>
  </si>
  <si>
    <t>Q017</t>
  </si>
  <si>
    <t>Dans votre travail quotidien, les relations professionnelles sont pour vous...</t>
  </si>
  <si>
    <t>Un élément central de votre efficacité.</t>
  </si>
  <si>
    <t>Un appui utile mais qui doit rester équilibré.</t>
  </si>
  <si>
    <t>Un cadre nécessaire, sans être prioritaire.</t>
  </si>
  <si>
    <t>Quelque chose que vous préférez limiter aux besoins du travail.</t>
  </si>
  <si>
    <t>Q018</t>
  </si>
  <si>
    <t>Pour réaliser une mission importante, vous préférez...</t>
  </si>
  <si>
    <t>Travailler en équipe avec des échanges réguliers.</t>
  </si>
  <si>
    <t>Travailler seul puis partager le résultat.</t>
  </si>
  <si>
    <t>Avancer en binôme.</t>
  </si>
  <si>
    <t>Recevoir la mission et la mener de façon indépendante.</t>
  </si>
  <si>
    <t>Q019</t>
  </si>
  <si>
    <t>PP4</t>
  </si>
  <si>
    <t>Decision</t>
  </si>
  <si>
    <t>Face à une décision professionnelle importante, votre premier réflexe est plutôt de...</t>
  </si>
  <si>
    <t>Rassembler des informations avant de trancher.</t>
  </si>
  <si>
    <t>Demander plusieurs avis pour éclairer votre choix.</t>
  </si>
  <si>
    <t>Décider rapidement pour débloquer la situation.</t>
  </si>
  <si>
    <t>Attendre que la situation soit plus claire.</t>
  </si>
  <si>
    <t>Q020</t>
  </si>
  <si>
    <t>Lorsque plusieurs options sont possibles, vous préférez...</t>
  </si>
  <si>
    <t>Comparer leurs avantages et leurs limites.</t>
  </si>
  <si>
    <t>Choisir celle qui paraît la plus réaliste immédiatement.</t>
  </si>
  <si>
    <t>Faire valider votre choix par une personne référente.</t>
  </si>
  <si>
    <t>Tester une option et ajuster ensuite.</t>
  </si>
  <si>
    <t>Q021</t>
  </si>
  <si>
    <t>Dans une situation incertaine, vous êtes plus à l'aise si...</t>
  </si>
  <si>
    <t>Vous disposez de critères de décision précis.</t>
  </si>
  <si>
    <t>Vous pouvez décider collectivement.</t>
  </si>
  <si>
    <t>Vous pouvez expérimenter sans tout verrouiller.</t>
  </si>
  <si>
    <t>Quelqu'un d'autre prend la décision finale.</t>
  </si>
  <si>
    <t>Q022</t>
  </si>
  <si>
    <t>Quand il faut décider vite, vous avez tendance à...</t>
  </si>
  <si>
    <t>Vous appuyer sur votre expérience.</t>
  </si>
  <si>
    <t>Rechercher malgré tout un minimum de données.</t>
  </si>
  <si>
    <t>Suivre l'avis de la personne la plus légitime.</t>
  </si>
  <si>
    <t>Reporter si la décision n'est pas suffisamment sécurisée.</t>
  </si>
  <si>
    <t>Q023</t>
  </si>
  <si>
    <t>Après avoir pris une décision, vous aimez plutôt...</t>
  </si>
  <si>
    <t>Vérifier régulièrement si elle reste pertinente.</t>
  </si>
  <si>
    <t>La mettre en œuvre sans trop revenir dessus.</t>
  </si>
  <si>
    <t>La partager pour obtenir des retours.</t>
  </si>
  <si>
    <t>Garder la possibilité de la modifier rapidement.</t>
  </si>
  <si>
    <t>Q024</t>
  </si>
  <si>
    <t>Dans votre organisation idéale, les décisions devraient être...</t>
  </si>
  <si>
    <t>Fondées sur des informations claires et vérifiables.</t>
  </si>
  <si>
    <t>Prises après consultation des personnes concernées.</t>
  </si>
  <si>
    <t>Rapides, pour permettre l'action.</t>
  </si>
  <si>
    <t>Portées par une autorité clairement identifiée.</t>
  </si>
  <si>
    <t>Q025</t>
  </si>
  <si>
    <t>PP5</t>
  </si>
  <si>
    <t>Action</t>
  </si>
  <si>
    <t>Lorsqu'une mission vous est confiée, vous préférez généralement...</t>
  </si>
  <si>
    <t>Passer rapidement à l'action.</t>
  </si>
  <si>
    <t>Analyser avant de commencer.</t>
  </si>
  <si>
    <t>Préparer les étapes puis agir.</t>
  </si>
  <si>
    <t>Attendre que toutes les conditions soient réunies.</t>
  </si>
  <si>
    <t>Q026</t>
  </si>
  <si>
    <t>Dans votre travail, vous vous sentez le plus utile lorsque...</t>
  </si>
  <si>
    <t>Vous produisez un résultat concret.</t>
  </si>
  <si>
    <t>Vous clarifiez une situation avant l'action.</t>
  </si>
  <si>
    <t>Vous coordonnez les actions à mener.</t>
  </si>
  <si>
    <t>Vous contribuez discrètement à l'avancement global.</t>
  </si>
  <si>
    <t>Q027</t>
  </si>
  <si>
    <t>Face à un problème opérationnel, vous avez tendance à...</t>
  </si>
  <si>
    <t>Chercher une solution applicable rapidement.</t>
  </si>
  <si>
    <t>Comprendre d'abord les causes du problème.</t>
  </si>
  <si>
    <t>Mobiliser les bonnes personnes pour agir.</t>
  </si>
  <si>
    <t>Attendre d'avoir une consigne claire.</t>
  </si>
  <si>
    <t>Q028</t>
  </si>
  <si>
    <t>Votre rythme de travail préféré est plutôt...</t>
  </si>
  <si>
    <t>Soutenu, avec des actions visibles.</t>
  </si>
  <si>
    <t>Régulier, avec des étapes maîtrisées.</t>
  </si>
  <si>
    <t>Alternant réflexion et action.</t>
  </si>
  <si>
    <t>Variable selon les sollicitations.</t>
  </si>
  <si>
    <t>Q029</t>
  </si>
  <si>
    <t>Une journée professionnelle réussie est pour vous une journée où...</t>
  </si>
  <si>
    <t>Des choses concrètes ont été réalisées.</t>
  </si>
  <si>
    <t>Les sujets ont été bien préparés.</t>
  </si>
  <si>
    <t>Les priorités ont avancé.</t>
  </si>
  <si>
    <t>Vous avez répondu aux demandes au fur et à mesure.</t>
  </si>
  <si>
    <t>Q030</t>
  </si>
  <si>
    <t>Dans un projet, vous préférez être associé...</t>
  </si>
  <si>
    <t>A la mise en œuvre concrète.</t>
  </si>
  <si>
    <t>A la phase de réflexion préalable.</t>
  </si>
  <si>
    <t>Au suivi de l'avancement.</t>
  </si>
  <si>
    <t>Aux ajustements ponctuels selon les besoins.</t>
  </si>
  <si>
    <t>Q031</t>
  </si>
  <si>
    <t>PP6</t>
  </si>
  <si>
    <t>Changement</t>
  </si>
  <si>
    <t>Quand une nouvelle méthode de travail est proposée, votre réaction la plus fréquente est...</t>
  </si>
  <si>
    <t>J'ai envie de l'essayer rapidement.</t>
  </si>
  <si>
    <t>Je veux comprendre ce qu'elle apporte.</t>
  </si>
  <si>
    <t>Je préfère voir comment les autres l'utilisent d'abord.</t>
  </si>
  <si>
    <t>Je suis plus à l'aise avec les méthodes déjà connues.</t>
  </si>
  <si>
    <t>Q032</t>
  </si>
  <si>
    <t>Dans votre parcours professionnel, vous préférez...</t>
  </si>
  <si>
    <t>Découvrir régulièrement de nouveaux sujets.</t>
  </si>
  <si>
    <t>Évoluer progressivement dans un cadre connu.</t>
  </si>
  <si>
    <t>Changer quand cela a du sens pour le projet.</t>
  </si>
  <si>
    <t>Stabiliser ce qui fonctionne déjà.</t>
  </si>
  <si>
    <t>Q033</t>
  </si>
  <si>
    <t>Lorsqu'une organisation change, vous avez tendance à...</t>
  </si>
  <si>
    <t>Chercher rapidement comment vous adapter.</t>
  </si>
  <si>
    <t>Identifier ce qui va réellement changer.</t>
  </si>
  <si>
    <t>Attendre de voir les effets concrets.</t>
  </si>
  <si>
    <t>Regretter les repères précédents.</t>
  </si>
  <si>
    <t>Q034</t>
  </si>
  <si>
    <t>Vous vous sentez plus stimulé par...</t>
  </si>
  <si>
    <t>Un environnement en mouvement.</t>
  </si>
  <si>
    <t>Un environnement stable avec quelques évolutions.</t>
  </si>
  <si>
    <t>Un environnement qui évolue par étapes.</t>
  </si>
  <si>
    <t>Un environnement très prévisible.</t>
  </si>
  <si>
    <t>Q035</t>
  </si>
  <si>
    <t>Quand vous devez apprendre un nouvel outil, vous préférez...</t>
  </si>
  <si>
    <t>Explorer directement ses possibilités.</t>
  </si>
  <si>
    <t>Suivre une démonstration puis pratiquer.</t>
  </si>
  <si>
    <t>Lire une notice ou un guide avant de commencer.</t>
  </si>
  <si>
    <t>L'utiliser seulement quand c'est indispensable.</t>
  </si>
  <si>
    <t>Q036</t>
  </si>
  <si>
    <t>Dans votre travail, la nouveauté est plutôt pour vous...</t>
  </si>
  <si>
    <t>Une source d'énergie.</t>
  </si>
  <si>
    <t>Une occasion d'apprendre si elle est utile.</t>
  </si>
  <si>
    <t>Un effort à fournir.</t>
  </si>
  <si>
    <t>Une source possible d'inconfort.</t>
  </si>
  <si>
    <t>Q037</t>
  </si>
  <si>
    <t>PP7</t>
  </si>
  <si>
    <t>Environnement</t>
  </si>
  <si>
    <t>Vous êtes généralement plus efficace dans un environnement...</t>
  </si>
  <si>
    <t>Calme et peu interrompu.</t>
  </si>
  <si>
    <t>Vivant, avec des échanges réguliers.</t>
  </si>
  <si>
    <t>Structuré, avec des repères clairs.</t>
  </si>
  <si>
    <t>Mobile, avec des situations variées.</t>
  </si>
  <si>
    <t>Q038</t>
  </si>
  <si>
    <t>Pour vous concentrer sur une tâche importante, vous préférez...</t>
  </si>
  <si>
    <t>Un espace où vous pouvez travailler sans interruption.</t>
  </si>
  <si>
    <t>Un lieu où vous pouvez solliciter facilement les autres.</t>
  </si>
  <si>
    <t>Un cadre organisé avec les ressources disponibles.</t>
  </si>
  <si>
    <t>Changer de lieu selon votre énergie du moment.</t>
  </si>
  <si>
    <t>Q039</t>
  </si>
  <si>
    <t>Le cadre matériel de travail idéal pour vous est plutôt...</t>
  </si>
  <si>
    <t>Simple, stable et fonctionnel.</t>
  </si>
  <si>
    <t>Ouvert et propice aux échanges.</t>
  </si>
  <si>
    <t>Bien équipé et organisé.</t>
  </si>
  <si>
    <t>Flexible, adaptable selon les missions.</t>
  </si>
  <si>
    <t>Q040</t>
  </si>
  <si>
    <t>Lorsque l'environnement est bruyant ou agité, vous avez tendance à...</t>
  </si>
  <si>
    <t>Perdre en efficacité.</t>
  </si>
  <si>
    <t>Vous adapter si les échanges sont utiles.</t>
  </si>
  <si>
    <t>Chercher à réorganiser votre espace.</t>
  </si>
  <si>
    <t>Y trouver parfois de l'énergie.</t>
  </si>
  <si>
    <t>Q041</t>
  </si>
  <si>
    <t>Dans une semaine idéale, vous préféreriez...</t>
  </si>
  <si>
    <t>Avoir des temps clairement réservés au travail de fond.</t>
  </si>
  <si>
    <t>Alterner des temps seuls et des temps collectifs.</t>
  </si>
  <si>
    <t>Être principalement au contact des autres.</t>
  </si>
  <si>
    <t>Changer régulièrement de contexte.</t>
  </si>
  <si>
    <t>Q042</t>
  </si>
  <si>
    <t>Vous vous sentez le plus à l'aise lorsque votre environnement de travail...</t>
  </si>
  <si>
    <t>Vous permet de rester concentré.</t>
  </si>
  <si>
    <t>Vous donne accès rapidement aux personnes utiles.</t>
  </si>
  <si>
    <t>Est bien organisé et prévisible.</t>
  </si>
  <si>
    <t>Vous offre de la variété et du mouvement.</t>
  </si>
  <si>
    <t>Q043</t>
  </si>
  <si>
    <t>PP8</t>
  </si>
  <si>
    <t>Apprentissage</t>
  </si>
  <si>
    <t>Lorsque vous devez apprendre quelque chose de nouveau, vous préférez...</t>
  </si>
  <si>
    <t>Essayer directement en situation.</t>
  </si>
  <si>
    <t>Observer quelqu'un faire avant de reproduire.</t>
  </si>
  <si>
    <t>Lire ou suivre une explication structurée.</t>
  </si>
  <si>
    <t>Avancer avec l'aide régulière d'une personne ressource.</t>
  </si>
  <si>
    <t>Q044</t>
  </si>
  <si>
    <t>Pour progresser dans votre travail, ce qui vous aide le plus est...</t>
  </si>
  <si>
    <t>La pratique répétée.</t>
  </si>
  <si>
    <t>Les retours d'expérience.</t>
  </si>
  <si>
    <t>Une formation structurée.</t>
  </si>
  <si>
    <t>L'accompagnement pas à pas.</t>
  </si>
  <si>
    <t>Q045</t>
  </si>
  <si>
    <t>Lorsque vous ne comprenez pas immédiatement une méthode, vous avez tendance à...</t>
  </si>
  <si>
    <t>Tester plusieurs façons de faire.</t>
  </si>
  <si>
    <t>Demander un exemple concret.</t>
  </si>
  <si>
    <t>Revenir aux consignes ou au support.</t>
  </si>
  <si>
    <t>Attendre une explication complémentaire.</t>
  </si>
  <si>
    <t>Q046</t>
  </si>
  <si>
    <t>Vous retenez mieux une information lorsque...</t>
  </si>
  <si>
    <t>Vous l'utilisez concrètement.</t>
  </si>
  <si>
    <t>Vous l'expliquez ou l'échangez avec quelqu'un.</t>
  </si>
  <si>
    <t>Elle est présentée de manière claire et ordonnée.</t>
  </si>
  <si>
    <t>Elle est répétée plusieurs fois par un formateur ou un collègue.</t>
  </si>
  <si>
    <t>Q047</t>
  </si>
  <si>
    <t>Dans un nouveau poste, vous préférez apprendre...</t>
  </si>
  <si>
    <t>En réalisant rapidement des tâches réelles.</t>
  </si>
  <si>
    <t>En observant puis en pratiquant.</t>
  </si>
  <si>
    <t>Avec un parcours d'intégration structuré.</t>
  </si>
  <si>
    <t>Avec un référent disponible à chaque étape.</t>
  </si>
  <si>
    <t>Q048</t>
  </si>
  <si>
    <t>Quand vous développez une nouvelle compétence, vous appréciez surtout...</t>
  </si>
  <si>
    <t>Pouvoir expérimenter librement.</t>
  </si>
  <si>
    <t>Recevoir des retours pour ajuster votre pratique.</t>
  </si>
  <si>
    <t>Disposer d'un cadre clair d'apprentissage.</t>
  </si>
  <si>
    <t>Être accompagné jusqu'à vous sentir sécurisé.</t>
  </si>
  <si>
    <t>Q049</t>
  </si>
  <si>
    <t>PP9</t>
  </si>
  <si>
    <t>Contribution</t>
  </si>
  <si>
    <t>Dans une équipe, vous avez le sentiment d'apporter le plus de valeur lorsque...</t>
  </si>
  <si>
    <t>Vous résolvez un problème concret.</t>
  </si>
  <si>
    <t>Vous apportez une idée nouvelle.</t>
  </si>
  <si>
    <t>Vous aidez les autres à avancer.</t>
  </si>
  <si>
    <t>Vous sécurisez l'organisation du travail.</t>
  </si>
  <si>
    <t>Q050</t>
  </si>
  <si>
    <t>Vous préférez contribuer à un projet en...</t>
  </si>
  <si>
    <t>Prenant en charge une partie opérationnelle.</t>
  </si>
  <si>
    <t>Proposant des améliorations.</t>
  </si>
  <si>
    <t>Accompagnant les personnes impliquées.</t>
  </si>
  <si>
    <t>Garantissant que les étapes soient respectées.</t>
  </si>
  <si>
    <t>Q051</t>
  </si>
  <si>
    <t>Quand un collègue rencontre une difficulté, vous avez plutôt tendance à...</t>
  </si>
  <si>
    <t>L'aider à comprendre et à progresser.</t>
  </si>
  <si>
    <t>Lui proposer une solution pratique.</t>
  </si>
  <si>
    <t>Lui suggérer une autre façon de voir le problème.</t>
  </si>
  <si>
    <t>L'orienter vers la procédure ou la bonne personne.</t>
  </si>
  <si>
    <t>Q052</t>
  </si>
  <si>
    <t>Votre contribution idéale serait plutôt reconnue pour...</t>
  </si>
  <si>
    <t>L'aide apportée aux autres.</t>
  </si>
  <si>
    <t>Les résultats concrets obtenus.</t>
  </si>
  <si>
    <t>Les idées ou solutions proposées.</t>
  </si>
  <si>
    <t>La fiabilité et la régularité de votre travail.</t>
  </si>
  <si>
    <t>Q053</t>
  </si>
  <si>
    <t>Dans un projet, ce qui vous donne le plus le sentiment d'être utile est...</t>
  </si>
  <si>
    <t>Faire progresser les personnes ou le collectif.</t>
  </si>
  <si>
    <t>Faire avancer concrètement les tâches.</t>
  </si>
  <si>
    <t>Faire émerger de nouvelles possibilités.</t>
  </si>
  <si>
    <t>Maintenir un fonctionnement fiable.</t>
  </si>
  <si>
    <t>Q054</t>
  </si>
  <si>
    <t>Lorsque vous partagez votre expérience, vous préférez...</t>
  </si>
  <si>
    <t>Accompagner la personne pour qu'elle trouve sa manière de faire.</t>
  </si>
  <si>
    <t>Montrer concrètement comment procéder.</t>
  </si>
  <si>
    <t>Proposer des pistes différentes.</t>
  </si>
  <si>
    <t>Transmettre les règles et points de vigilance.</t>
  </si>
  <si>
    <t>Q055</t>
  </si>
  <si>
    <t>PP10</t>
  </si>
  <si>
    <t>Responsabilites</t>
  </si>
  <si>
    <t>Dans un projet, vous êtes plus à l'aise lorsque...</t>
  </si>
  <si>
    <t>Vous pilotez une partie clairement définie.</t>
  </si>
  <si>
    <t>Vous contribuez sans avoir à coordonner les autres.</t>
  </si>
  <si>
    <t>Vous coordonnez l'ensemble des actions.</t>
  </si>
  <si>
    <t>Vous êtes consulté sur certains choix importants.</t>
  </si>
  <si>
    <t>Q056</t>
  </si>
  <si>
    <t>Lorsque l'on vous confie davantage de responsabilités, vous ressentez plutôt...</t>
  </si>
  <si>
    <t>Une stimulation positive.</t>
  </si>
  <si>
    <t>Un intérêt si le périmètre est clair.</t>
  </si>
  <si>
    <t>Une prudence avant d'accepter.</t>
  </si>
  <si>
    <t>Une préférence pour rester sur votre rôle actuel.</t>
  </si>
  <si>
    <t>Q057</t>
  </si>
  <si>
    <t>Dans une équipe, vous préférez généralement...</t>
  </si>
  <si>
    <t>Être responsable de l'organisation globale.</t>
  </si>
  <si>
    <t>Être responsable de votre propre périmètre.</t>
  </si>
  <si>
    <t>Apporter votre contribution sans responsabilité formelle.</t>
  </si>
  <si>
    <t>Conseiller ou influencer sans piloter directement.</t>
  </si>
  <si>
    <t>Q058</t>
  </si>
  <si>
    <t>Quand une décision doit être portée devant d'autres personnes, vous préférez...</t>
  </si>
  <si>
    <t>La présenter et l'assumer.</t>
  </si>
  <si>
    <t>La porter si elle concerne votre domaine.</t>
  </si>
  <si>
    <t>Contribuer à sa préparation sans être en première ligne.</t>
  </si>
  <si>
    <t>Laisser une personne plus légitime la porter.</t>
  </si>
  <si>
    <t>Q059</t>
  </si>
  <si>
    <t>Votre niveau de responsabilité idéal serait plutôt...</t>
  </si>
  <si>
    <t>Un rôle de pilotage large.</t>
  </si>
  <si>
    <t>Un rôle autonome sur un domaine précis.</t>
  </si>
  <si>
    <t>Un rôle d'appui ou d'expertise sans management.</t>
  </si>
  <si>
    <t>Un rôle centré sur l'exécution de missions définies.</t>
  </si>
  <si>
    <t>Q060</t>
  </si>
  <si>
    <t>Lorsqu'un projet prend du retard, vous avez plutôt tendance à...</t>
  </si>
  <si>
    <t>Prendre les choses en main pour relancer l'avancement.</t>
  </si>
  <si>
    <t>Réorganiser votre périmètre de travail.</t>
  </si>
  <si>
    <t>Alerter et proposer votre aide.</t>
  </si>
  <si>
    <t>Attendre les consignes de la personne responsable.</t>
  </si>
  <si>
    <t>Code</t>
  </si>
  <si>
    <t>Question explorée</t>
  </si>
  <si>
    <t>Score max</t>
  </si>
  <si>
    <t>Formule pourcentage</t>
  </si>
  <si>
    <t>Interprétation basse</t>
  </si>
  <si>
    <t>Interprétation haute</t>
  </si>
  <si>
    <t>Quel degré d’autonomie la personne préfère-t-elle dans son travail ?</t>
  </si>
  <si>
    <t>'SOMME(scores PP1) / 18 x 100</t>
  </si>
  <si>
    <t>Préférence pour un cadre guidé et sécurisé.</t>
  </si>
  <si>
    <t>Préférence pour une forte liberté d’organisation et de décision.</t>
  </si>
  <si>
    <t>Comment la personne préfère-t-elle structurer son travail ?</t>
  </si>
  <si>
    <t>'SOMME(scores PP2) / 18 x 100</t>
  </si>
  <si>
    <t>Organisation souple, au fil des besoins.</t>
  </si>
  <si>
    <t>Préférence pour la planification, les priorités et les méthodes établies.</t>
  </si>
  <si>
    <t>Quelle place la personne donne-t-elle aux échanges dans sa manière de travailler ?</t>
  </si>
  <si>
    <t>'SOMME(scores PP3) / 18 x 100</t>
  </si>
  <si>
    <t>Préférence pour un travail plus indépendant ou limité aux échanges nécessaires.</t>
  </si>
  <si>
    <t>Préférence pour la coopération, les échanges et le collectif.</t>
  </si>
  <si>
    <t>Décision</t>
  </si>
  <si>
    <t>Comment la personne préfère-t-elle prendre ses décisions ?</t>
  </si>
  <si>
    <t>'SOMME(scores PP4) / 18 x 100</t>
  </si>
  <si>
    <t>Décision plutôt déléguée, prudente ou dépendante du cadre.</t>
  </si>
  <si>
    <t>Décision fondée sur analyse, critères et arbitrage structuré.</t>
  </si>
  <si>
    <t>Quel rapport la personne entretient-elle avec le passage à l’action ?</t>
  </si>
  <si>
    <t>'SOMME(scores PP5) / 18 x 100</t>
  </si>
  <si>
    <t>Préférence pour la préparation, l’observation ou l’appui.</t>
  </si>
  <si>
    <t>Préférence pour l’action concrète, visible et rapide.</t>
  </si>
  <si>
    <t>Quelle préférence face à la nouveauté et aux évolutions ?</t>
  </si>
  <si>
    <t>'SOMME(scores PP6) / 18 x 100</t>
  </si>
  <si>
    <t>Préférence pour la continuité et les repères connus.</t>
  </si>
  <si>
    <t>Préférence pour la nouveauté, l’adaptation et les contextes évolutifs.</t>
  </si>
  <si>
    <t>Dans quel cadre la personne préfère-t-elle travailler ?</t>
  </si>
  <si>
    <t>'SOMME(scores PP7) / 18 x 100</t>
  </si>
  <si>
    <t>Préférence pour des environnements variés, vivants ou mobiles.</t>
  </si>
  <si>
    <t>Préférence pour un cadre calme, stable et favorable à la concentration.</t>
  </si>
  <si>
    <t>Comment la personne préfère-t-elle apprendre ?</t>
  </si>
  <si>
    <t>'SOMME(scores PP8) / 18 x 100</t>
  </si>
  <si>
    <t>Préférence pour un apprentissage accompagné et sécurisé.</t>
  </si>
  <si>
    <t>Préférence pour l’apprentissage par l’expérimentation et la pratique directe.</t>
  </si>
  <si>
    <t>Comment la personne préfère-t-elle apporter sa valeur ?</t>
  </si>
  <si>
    <t>'SOMME(scores PP9) / 18 x 100</t>
  </si>
  <si>
    <t>Contribution plutôt centrée sur la fiabilité, l’appui ou l’organisation.</t>
  </si>
  <si>
    <t>Contribution orientée aide, progression des autres et accompagnement.</t>
  </si>
  <si>
    <t>Responsabilités</t>
  </si>
  <si>
    <t>Quel niveau de pilotage la personne recherche-t-elle ?</t>
  </si>
  <si>
    <t>'SOMME(scores PP10) / 18 x 100</t>
  </si>
  <si>
    <t>Préférence pour contribuer sans responsabilité formelle forte.</t>
  </si>
  <si>
    <t>Préférence pour coordonner, porter et assumer un périmètre de responsabilité.</t>
  </si>
  <si>
    <t>Score obtenu</t>
  </si>
  <si>
    <t>Pourcentage</t>
  </si>
  <si>
    <t>Lecture rapide</t>
  </si>
  <si>
    <t>Clarté360 - Outil propriétaire d’exploration des préférences professionnelles - V1.0</t>
  </si>
  <si>
    <t>Principe : le bénéficiaire ne voit pas les dimensions PP1 à PP10. L’application affiche Question 1/60 à Question 60/60 dans un ordre aléatoire à chaque passation, tout en conservant dans le JSON l’ID réel de chaque question et la réponse donnée.</t>
  </si>
  <si>
    <t>Calcul : chaque question vaut de 0 à 3 points sur sa dimension. Chaque dimension comprend 6 questions, soit 18 points maximum. Pourcentage = score obtenu / 18 * 100.</t>
  </si>
  <si>
    <t>Attention : outil d’exploration déclaratif. Ne pas présenter comme test psychométrique, diagnostic de personnalité ou outil prédictif.</t>
  </si>
  <si>
    <t>Question validée par Dominique BRIET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</si>
</sst>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Table" displayName="QuestionsTable" ref="A1:P61">
  <tableColumns count="16">
    <tableColumn id="1" xr3:uid="{00000000-0010-0000-0000-000001000000}" name="ID"/>
    <tableColumn id="2" xr3:uid="{00000000-0010-0000-0000-000002000000}" name="Dimension"/>
    <tableColumn id="3" xr3:uid="{00000000-0010-0000-0000-000003000000}" name="Libelle dimension"/>
    <tableColumn id="4" xr3:uid="{00000000-0010-0000-0000-000004000000}" name="Question"/>
    <tableColumn id="5" xr3:uid="{00000000-0010-0000-0000-000005000000}" name="Reponse A"/>
    <tableColumn id="6" xr3:uid="{00000000-0010-0000-0000-000006000000}" name="Score A"/>
    <tableColumn id="7" xr3:uid="{00000000-0010-0000-0000-000007000000}" name="Reponse B"/>
    <tableColumn id="8" xr3:uid="{00000000-0010-0000-0000-000008000000}" name="Score B"/>
    <tableColumn id="9" xr3:uid="{00000000-0010-0000-0000-000009000000}" name="Reponse C"/>
    <tableColumn id="10" xr3:uid="{00000000-0010-0000-0000-00000A000000}" name="Score C"/>
    <tableColumn id="11" xr3:uid="{00000000-0010-0000-0000-00000B000000}" name="Reponse D"/>
    <tableColumn id="12" xr3:uid="{00000000-0010-0000-0000-00000C000000}" name="Score D"/>
    <tableColumn id="13" xr3:uid="{00000000-0010-0000-0000-00000D000000}" name="Max question"/>
    <tableColumn id="14" xr3:uid="{00000000-0010-0000-0000-00000E000000}" name="Statut"/>
    <tableColumn id="15" xr3:uid="{00000000-0010-0000-0000-00000F000000}" name="Version"/>
    <tableColumn id="16" xr3:uid="{00000000-0010-0000-0000-000010000000}" name="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ensionsTable" displayName="DimensionsTable" ref="A1:G11">
  <tableColumns count="7">
    <tableColumn id="1" xr3:uid="{00000000-0010-0000-0100-000001000000}" name="Code"/>
    <tableColumn id="2" xr3:uid="{00000000-0010-0000-0100-000002000000}" name="Dimension"/>
    <tableColumn id="3" xr3:uid="{00000000-0010-0000-0100-000003000000}" name="Question explorée"/>
    <tableColumn id="4" xr3:uid="{00000000-0010-0000-0100-000004000000}" name="Score max"/>
    <tableColumn id="5" xr3:uid="{00000000-0010-0000-0100-000005000000}" name="Formule pourcentage"/>
    <tableColumn id="6" xr3:uid="{00000000-0010-0000-0100-000006000000}" name="Interprétation basse"/>
    <tableColumn id="7" xr3:uid="{00000000-0010-0000-0100-000007000000}" name="Interprétation hau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lculsTable" displayName="CalculsTable" ref="A1:E11">
  <tableColumns count="5">
    <tableColumn id="1" xr3:uid="{00000000-0010-0000-0200-000001000000}" name="Dimension"/>
    <tableColumn id="2" xr3:uid="{00000000-0010-0000-0200-000002000000}" name="Score obtenu"/>
    <tableColumn id="3" xr3:uid="{00000000-0010-0000-0200-000003000000}" name="Score max"/>
    <tableColumn id="4" xr3:uid="{00000000-0010-0000-0200-000004000000}" name="Pourcentage"/>
    <tableColumn id="5" xr3:uid="{00000000-0010-0000-0200-000005000000}" name="Lecture rap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workbookViewId="0">
      <selection activeCell="I13" sqref="I13"/>
    </sheetView>
  </sheetViews>
  <sheetFormatPr baseColWidth="10" defaultColWidth="8.796875" defaultRowHeight="13.8"/>
  <cols>
    <col min="1" max="1" width="10" customWidth="1"/>
    <col min="2" max="3" width="16" customWidth="1"/>
    <col min="4" max="4" width="48" customWidth="1"/>
    <col min="5" max="5" width="42" customWidth="1"/>
    <col min="6" max="6" width="10" customWidth="1"/>
    <col min="7" max="7" width="42" customWidth="1"/>
    <col min="8" max="8" width="10" customWidth="1"/>
    <col min="9" max="9" width="42" customWidth="1"/>
    <col min="10" max="10" width="10" customWidth="1"/>
    <col min="11" max="11" width="42" customWidth="1"/>
    <col min="12" max="13" width="10" customWidth="1"/>
    <col min="14" max="15" width="14" customWidth="1"/>
    <col min="16" max="16" width="22.796875" customWidth="1"/>
  </cols>
  <sheetData>
    <row r="1" spans="1:16" ht="27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 t="s">
        <v>21</v>
      </c>
      <c r="H2">
        <v>1</v>
      </c>
      <c r="I2" t="s">
        <v>22</v>
      </c>
      <c r="J2">
        <v>2</v>
      </c>
      <c r="K2" t="s">
        <v>23</v>
      </c>
      <c r="L2">
        <v>3</v>
      </c>
      <c r="M2">
        <v>3</v>
      </c>
      <c r="N2" t="s">
        <v>24</v>
      </c>
      <c r="O2" t="s">
        <v>25</v>
      </c>
      <c r="P2" t="s">
        <v>453</v>
      </c>
    </row>
    <row r="3" spans="1:16">
      <c r="A3" t="s">
        <v>26</v>
      </c>
      <c r="B3" t="s">
        <v>17</v>
      </c>
      <c r="C3" t="s">
        <v>18</v>
      </c>
      <c r="D3" t="s">
        <v>27</v>
      </c>
      <c r="E3" t="s">
        <v>28</v>
      </c>
      <c r="F3">
        <v>0</v>
      </c>
      <c r="G3" t="s">
        <v>29</v>
      </c>
      <c r="H3">
        <v>1</v>
      </c>
      <c r="I3" t="s">
        <v>30</v>
      </c>
      <c r="J3">
        <v>2</v>
      </c>
      <c r="K3" t="s">
        <v>31</v>
      </c>
      <c r="L3">
        <v>3</v>
      </c>
      <c r="M3">
        <v>3</v>
      </c>
      <c r="N3" t="s">
        <v>24</v>
      </c>
      <c r="O3" t="s">
        <v>25</v>
      </c>
      <c r="P3" t="s">
        <v>453</v>
      </c>
    </row>
    <row r="4" spans="1:16">
      <c r="A4" t="s">
        <v>32</v>
      </c>
      <c r="B4" t="s">
        <v>17</v>
      </c>
      <c r="C4" t="s">
        <v>18</v>
      </c>
      <c r="D4" t="s">
        <v>33</v>
      </c>
      <c r="E4" t="s">
        <v>34</v>
      </c>
      <c r="F4">
        <v>0</v>
      </c>
      <c r="G4" t="s">
        <v>35</v>
      </c>
      <c r="H4">
        <v>2</v>
      </c>
      <c r="I4" t="s">
        <v>36</v>
      </c>
      <c r="J4">
        <v>1</v>
      </c>
      <c r="K4" t="s">
        <v>37</v>
      </c>
      <c r="L4">
        <v>3</v>
      </c>
      <c r="M4">
        <v>3</v>
      </c>
      <c r="N4" t="s">
        <v>24</v>
      </c>
      <c r="O4" t="s">
        <v>25</v>
      </c>
      <c r="P4" t="s">
        <v>453</v>
      </c>
    </row>
    <row r="5" spans="1:16">
      <c r="A5" t="s">
        <v>38</v>
      </c>
      <c r="B5" t="s">
        <v>17</v>
      </c>
      <c r="C5" t="s">
        <v>18</v>
      </c>
      <c r="D5" t="s">
        <v>39</v>
      </c>
      <c r="E5" t="s">
        <v>40</v>
      </c>
      <c r="F5">
        <v>0</v>
      </c>
      <c r="G5" t="s">
        <v>41</v>
      </c>
      <c r="H5">
        <v>1</v>
      </c>
      <c r="I5" t="s">
        <v>42</v>
      </c>
      <c r="J5">
        <v>2</v>
      </c>
      <c r="K5" t="s">
        <v>43</v>
      </c>
      <c r="L5">
        <v>3</v>
      </c>
      <c r="M5">
        <v>3</v>
      </c>
      <c r="N5" t="s">
        <v>24</v>
      </c>
      <c r="O5" t="s">
        <v>25</v>
      </c>
      <c r="P5" t="s">
        <v>453</v>
      </c>
    </row>
    <row r="6" spans="1:16">
      <c r="A6" t="s">
        <v>44</v>
      </c>
      <c r="B6" t="s">
        <v>17</v>
      </c>
      <c r="C6" t="s">
        <v>18</v>
      </c>
      <c r="D6" t="s">
        <v>45</v>
      </c>
      <c r="E6" t="s">
        <v>46</v>
      </c>
      <c r="F6">
        <v>0</v>
      </c>
      <c r="G6" t="s">
        <v>47</v>
      </c>
      <c r="H6">
        <v>1</v>
      </c>
      <c r="I6" t="s">
        <v>48</v>
      </c>
      <c r="J6">
        <v>2</v>
      </c>
      <c r="K6" t="s">
        <v>49</v>
      </c>
      <c r="L6">
        <v>3</v>
      </c>
      <c r="M6">
        <v>3</v>
      </c>
      <c r="N6" t="s">
        <v>24</v>
      </c>
      <c r="O6" t="s">
        <v>25</v>
      </c>
      <c r="P6" t="s">
        <v>453</v>
      </c>
    </row>
    <row r="7" spans="1:16">
      <c r="A7" t="s">
        <v>50</v>
      </c>
      <c r="B7" t="s">
        <v>17</v>
      </c>
      <c r="C7" t="s">
        <v>18</v>
      </c>
      <c r="D7" t="s">
        <v>51</v>
      </c>
      <c r="E7" t="s">
        <v>52</v>
      </c>
      <c r="F7">
        <v>0</v>
      </c>
      <c r="G7" t="s">
        <v>53</v>
      </c>
      <c r="H7">
        <v>1</v>
      </c>
      <c r="I7" t="s">
        <v>54</v>
      </c>
      <c r="J7">
        <v>2</v>
      </c>
      <c r="K7" t="s">
        <v>55</v>
      </c>
      <c r="L7">
        <v>3</v>
      </c>
      <c r="M7">
        <v>3</v>
      </c>
      <c r="N7" t="s">
        <v>24</v>
      </c>
      <c r="O7" t="s">
        <v>25</v>
      </c>
      <c r="P7" t="s">
        <v>453</v>
      </c>
    </row>
    <row r="8" spans="1:16">
      <c r="A8" t="s">
        <v>56</v>
      </c>
      <c r="B8" t="s">
        <v>57</v>
      </c>
      <c r="C8" t="s">
        <v>58</v>
      </c>
      <c r="D8" t="s">
        <v>59</v>
      </c>
      <c r="E8" t="s">
        <v>60</v>
      </c>
      <c r="F8">
        <v>3</v>
      </c>
      <c r="G8" t="s">
        <v>61</v>
      </c>
      <c r="H8">
        <v>2</v>
      </c>
      <c r="I8" t="s">
        <v>62</v>
      </c>
      <c r="J8">
        <v>1</v>
      </c>
      <c r="K8" t="s">
        <v>63</v>
      </c>
      <c r="L8">
        <v>0</v>
      </c>
      <c r="M8">
        <v>3</v>
      </c>
      <c r="N8" t="s">
        <v>24</v>
      </c>
      <c r="O8" t="s">
        <v>25</v>
      </c>
      <c r="P8" t="s">
        <v>453</v>
      </c>
    </row>
    <row r="9" spans="1:16">
      <c r="A9" t="s">
        <v>64</v>
      </c>
      <c r="B9" t="s">
        <v>57</v>
      </c>
      <c r="C9" t="s">
        <v>58</v>
      </c>
      <c r="D9" t="s">
        <v>65</v>
      </c>
      <c r="E9" t="s">
        <v>66</v>
      </c>
      <c r="F9">
        <v>2</v>
      </c>
      <c r="G9" t="s">
        <v>67</v>
      </c>
      <c r="H9">
        <v>3</v>
      </c>
      <c r="I9" t="s">
        <v>68</v>
      </c>
      <c r="J9">
        <v>1</v>
      </c>
      <c r="K9" t="s">
        <v>69</v>
      </c>
      <c r="L9">
        <v>0</v>
      </c>
      <c r="M9">
        <v>3</v>
      </c>
      <c r="N9" t="s">
        <v>24</v>
      </c>
      <c r="O9" t="s">
        <v>25</v>
      </c>
      <c r="P9" t="s">
        <v>453</v>
      </c>
    </row>
    <row r="10" spans="1:16">
      <c r="A10" t="s">
        <v>70</v>
      </c>
      <c r="B10" t="s">
        <v>57</v>
      </c>
      <c r="C10" t="s">
        <v>58</v>
      </c>
      <c r="D10" t="s">
        <v>71</v>
      </c>
      <c r="E10" t="s">
        <v>72</v>
      </c>
      <c r="F10">
        <v>3</v>
      </c>
      <c r="G10" t="s">
        <v>73</v>
      </c>
      <c r="H10">
        <v>2</v>
      </c>
      <c r="I10" t="s">
        <v>74</v>
      </c>
      <c r="J10">
        <v>1</v>
      </c>
      <c r="K10" t="s">
        <v>75</v>
      </c>
      <c r="L10">
        <v>0</v>
      </c>
      <c r="M10">
        <v>3</v>
      </c>
      <c r="N10" t="s">
        <v>24</v>
      </c>
      <c r="O10" t="s">
        <v>25</v>
      </c>
      <c r="P10" t="s">
        <v>453</v>
      </c>
    </row>
    <row r="11" spans="1:16">
      <c r="A11" t="s">
        <v>76</v>
      </c>
      <c r="B11" t="s">
        <v>57</v>
      </c>
      <c r="C11" t="s">
        <v>58</v>
      </c>
      <c r="D11" t="s">
        <v>77</v>
      </c>
      <c r="E11" t="s">
        <v>78</v>
      </c>
      <c r="F11">
        <v>3</v>
      </c>
      <c r="G11" t="s">
        <v>79</v>
      </c>
      <c r="H11">
        <v>2</v>
      </c>
      <c r="I11" t="s">
        <v>80</v>
      </c>
      <c r="J11">
        <v>1</v>
      </c>
      <c r="K11" t="s">
        <v>81</v>
      </c>
      <c r="L11">
        <v>2</v>
      </c>
      <c r="M11">
        <v>3</v>
      </c>
      <c r="N11" t="s">
        <v>24</v>
      </c>
      <c r="O11" t="s">
        <v>25</v>
      </c>
      <c r="P11" t="s">
        <v>453</v>
      </c>
    </row>
    <row r="12" spans="1:16">
      <c r="A12" t="s">
        <v>82</v>
      </c>
      <c r="B12" t="s">
        <v>57</v>
      </c>
      <c r="C12" t="s">
        <v>58</v>
      </c>
      <c r="D12" t="s">
        <v>83</v>
      </c>
      <c r="E12" t="s">
        <v>84</v>
      </c>
      <c r="F12">
        <v>3</v>
      </c>
      <c r="G12" t="s">
        <v>85</v>
      </c>
      <c r="H12">
        <v>2</v>
      </c>
      <c r="I12" t="s">
        <v>86</v>
      </c>
      <c r="J12">
        <v>1</v>
      </c>
      <c r="K12" t="s">
        <v>87</v>
      </c>
      <c r="L12">
        <v>2</v>
      </c>
      <c r="M12">
        <v>3</v>
      </c>
      <c r="N12" t="s">
        <v>24</v>
      </c>
      <c r="O12" t="s">
        <v>25</v>
      </c>
      <c r="P12" t="s">
        <v>453</v>
      </c>
    </row>
    <row r="13" spans="1:16">
      <c r="A13" t="s">
        <v>88</v>
      </c>
      <c r="B13" t="s">
        <v>57</v>
      </c>
      <c r="C13" t="s">
        <v>58</v>
      </c>
      <c r="D13" t="s">
        <v>89</v>
      </c>
      <c r="E13" t="s">
        <v>90</v>
      </c>
      <c r="F13">
        <v>3</v>
      </c>
      <c r="G13" t="s">
        <v>91</v>
      </c>
      <c r="H13">
        <v>2</v>
      </c>
      <c r="I13" t="s">
        <v>92</v>
      </c>
      <c r="J13">
        <v>1</v>
      </c>
      <c r="K13" t="s">
        <v>93</v>
      </c>
      <c r="L13">
        <v>0</v>
      </c>
      <c r="M13">
        <v>3</v>
      </c>
      <c r="N13" t="s">
        <v>24</v>
      </c>
      <c r="O13" t="s">
        <v>25</v>
      </c>
      <c r="P13" t="s">
        <v>453</v>
      </c>
    </row>
    <row r="14" spans="1:16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>
        <v>1</v>
      </c>
      <c r="G14" t="s">
        <v>99</v>
      </c>
      <c r="H14">
        <v>3</v>
      </c>
      <c r="I14" t="s">
        <v>100</v>
      </c>
      <c r="J14">
        <v>2</v>
      </c>
      <c r="K14" t="s">
        <v>101</v>
      </c>
      <c r="L14">
        <v>0</v>
      </c>
      <c r="M14">
        <v>3</v>
      </c>
      <c r="N14" t="s">
        <v>24</v>
      </c>
      <c r="O14" t="s">
        <v>25</v>
      </c>
      <c r="P14" t="s">
        <v>453</v>
      </c>
    </row>
    <row r="15" spans="1:16">
      <c r="A15" t="s">
        <v>102</v>
      </c>
      <c r="B15" t="s">
        <v>95</v>
      </c>
      <c r="C15" t="s">
        <v>96</v>
      </c>
      <c r="D15" t="s">
        <v>103</v>
      </c>
      <c r="E15" t="s">
        <v>104</v>
      </c>
      <c r="F15">
        <v>3</v>
      </c>
      <c r="G15" t="s">
        <v>105</v>
      </c>
      <c r="H15">
        <v>1</v>
      </c>
      <c r="I15" t="s">
        <v>106</v>
      </c>
      <c r="J15">
        <v>2</v>
      </c>
      <c r="K15" t="s">
        <v>107</v>
      </c>
      <c r="L15">
        <v>0</v>
      </c>
      <c r="M15">
        <v>3</v>
      </c>
      <c r="N15" t="s">
        <v>24</v>
      </c>
      <c r="O15" t="s">
        <v>25</v>
      </c>
      <c r="P15" t="s">
        <v>453</v>
      </c>
    </row>
    <row r="16" spans="1:16">
      <c r="A16" t="s">
        <v>108</v>
      </c>
      <c r="B16" t="s">
        <v>95</v>
      </c>
      <c r="C16" t="s">
        <v>96</v>
      </c>
      <c r="D16" t="s">
        <v>109</v>
      </c>
      <c r="E16" t="s">
        <v>110</v>
      </c>
      <c r="F16">
        <v>3</v>
      </c>
      <c r="G16" t="s">
        <v>111</v>
      </c>
      <c r="H16">
        <v>1</v>
      </c>
      <c r="I16" t="s">
        <v>112</v>
      </c>
      <c r="J16">
        <v>2</v>
      </c>
      <c r="K16" t="s">
        <v>113</v>
      </c>
      <c r="L16">
        <v>0</v>
      </c>
      <c r="M16">
        <v>3</v>
      </c>
      <c r="N16" t="s">
        <v>24</v>
      </c>
      <c r="O16" t="s">
        <v>25</v>
      </c>
      <c r="P16" t="s">
        <v>453</v>
      </c>
    </row>
    <row r="17" spans="1:16">
      <c r="A17" t="s">
        <v>114</v>
      </c>
      <c r="B17" t="s">
        <v>95</v>
      </c>
      <c r="C17" t="s">
        <v>96</v>
      </c>
      <c r="D17" t="s">
        <v>115</v>
      </c>
      <c r="E17" t="s">
        <v>116</v>
      </c>
      <c r="F17">
        <v>3</v>
      </c>
      <c r="G17" t="s">
        <v>117</v>
      </c>
      <c r="H17">
        <v>2</v>
      </c>
      <c r="I17" t="s">
        <v>118</v>
      </c>
      <c r="J17">
        <v>1</v>
      </c>
      <c r="K17" t="s">
        <v>119</v>
      </c>
      <c r="L17">
        <v>0</v>
      </c>
      <c r="M17">
        <v>3</v>
      </c>
      <c r="N17" t="s">
        <v>24</v>
      </c>
      <c r="O17" t="s">
        <v>25</v>
      </c>
      <c r="P17" t="s">
        <v>453</v>
      </c>
    </row>
    <row r="18" spans="1:16">
      <c r="A18" t="s">
        <v>120</v>
      </c>
      <c r="B18" t="s">
        <v>95</v>
      </c>
      <c r="C18" t="s">
        <v>96</v>
      </c>
      <c r="D18" t="s">
        <v>121</v>
      </c>
      <c r="E18" t="s">
        <v>122</v>
      </c>
      <c r="F18">
        <v>3</v>
      </c>
      <c r="G18" t="s">
        <v>123</v>
      </c>
      <c r="H18">
        <v>2</v>
      </c>
      <c r="I18" t="s">
        <v>124</v>
      </c>
      <c r="J18">
        <v>1</v>
      </c>
      <c r="K18" t="s">
        <v>125</v>
      </c>
      <c r="L18">
        <v>0</v>
      </c>
      <c r="M18">
        <v>3</v>
      </c>
      <c r="N18" t="s">
        <v>24</v>
      </c>
      <c r="O18" t="s">
        <v>25</v>
      </c>
      <c r="P18" t="s">
        <v>453</v>
      </c>
    </row>
    <row r="19" spans="1:16">
      <c r="A19" t="s">
        <v>126</v>
      </c>
      <c r="B19" t="s">
        <v>95</v>
      </c>
      <c r="C19" t="s">
        <v>96</v>
      </c>
      <c r="D19" t="s">
        <v>127</v>
      </c>
      <c r="E19" t="s">
        <v>128</v>
      </c>
      <c r="F19">
        <v>3</v>
      </c>
      <c r="G19" t="s">
        <v>129</v>
      </c>
      <c r="H19">
        <v>1</v>
      </c>
      <c r="I19" t="s">
        <v>130</v>
      </c>
      <c r="J19">
        <v>2</v>
      </c>
      <c r="K19" t="s">
        <v>131</v>
      </c>
      <c r="L19">
        <v>0</v>
      </c>
      <c r="M19">
        <v>3</v>
      </c>
      <c r="N19" t="s">
        <v>24</v>
      </c>
      <c r="O19" t="s">
        <v>25</v>
      </c>
      <c r="P19" t="s">
        <v>453</v>
      </c>
    </row>
    <row r="20" spans="1:16">
      <c r="A20" t="s">
        <v>132</v>
      </c>
      <c r="B20" t="s">
        <v>133</v>
      </c>
      <c r="C20" t="s">
        <v>134</v>
      </c>
      <c r="D20" t="s">
        <v>135</v>
      </c>
      <c r="E20" t="s">
        <v>136</v>
      </c>
      <c r="F20">
        <v>3</v>
      </c>
      <c r="G20" t="s">
        <v>137</v>
      </c>
      <c r="H20">
        <v>2</v>
      </c>
      <c r="I20" t="s">
        <v>138</v>
      </c>
      <c r="J20">
        <v>1</v>
      </c>
      <c r="K20" t="s">
        <v>139</v>
      </c>
      <c r="L20">
        <v>0</v>
      </c>
      <c r="M20">
        <v>3</v>
      </c>
      <c r="N20" t="s">
        <v>24</v>
      </c>
      <c r="O20" t="s">
        <v>25</v>
      </c>
      <c r="P20" t="s">
        <v>453</v>
      </c>
    </row>
    <row r="21" spans="1:16">
      <c r="A21" t="s">
        <v>140</v>
      </c>
      <c r="B21" t="s">
        <v>133</v>
      </c>
      <c r="C21" t="s">
        <v>134</v>
      </c>
      <c r="D21" t="s">
        <v>141</v>
      </c>
      <c r="E21" t="s">
        <v>142</v>
      </c>
      <c r="F21">
        <v>3</v>
      </c>
      <c r="G21" t="s">
        <v>143</v>
      </c>
      <c r="H21">
        <v>1</v>
      </c>
      <c r="I21" t="s">
        <v>144</v>
      </c>
      <c r="J21">
        <v>2</v>
      </c>
      <c r="K21" t="s">
        <v>145</v>
      </c>
      <c r="L21">
        <v>1</v>
      </c>
      <c r="M21">
        <v>3</v>
      </c>
      <c r="N21" t="s">
        <v>24</v>
      </c>
      <c r="O21" t="s">
        <v>25</v>
      </c>
      <c r="P21" t="s">
        <v>453</v>
      </c>
    </row>
    <row r="22" spans="1:16">
      <c r="A22" t="s">
        <v>146</v>
      </c>
      <c r="B22" t="s">
        <v>133</v>
      </c>
      <c r="C22" t="s">
        <v>134</v>
      </c>
      <c r="D22" t="s">
        <v>147</v>
      </c>
      <c r="E22" t="s">
        <v>148</v>
      </c>
      <c r="F22">
        <v>3</v>
      </c>
      <c r="G22" t="s">
        <v>149</v>
      </c>
      <c r="H22">
        <v>2</v>
      </c>
      <c r="I22" t="s">
        <v>150</v>
      </c>
      <c r="J22">
        <v>1</v>
      </c>
      <c r="K22" t="s">
        <v>151</v>
      </c>
      <c r="L22">
        <v>0</v>
      </c>
      <c r="M22">
        <v>3</v>
      </c>
      <c r="N22" t="s">
        <v>24</v>
      </c>
      <c r="O22" t="s">
        <v>25</v>
      </c>
      <c r="P22" t="s">
        <v>453</v>
      </c>
    </row>
    <row r="23" spans="1:16">
      <c r="A23" t="s">
        <v>152</v>
      </c>
      <c r="B23" t="s">
        <v>133</v>
      </c>
      <c r="C23" t="s">
        <v>134</v>
      </c>
      <c r="D23" t="s">
        <v>153</v>
      </c>
      <c r="E23" t="s">
        <v>154</v>
      </c>
      <c r="F23">
        <v>2</v>
      </c>
      <c r="G23" t="s">
        <v>155</v>
      </c>
      <c r="H23">
        <v>3</v>
      </c>
      <c r="I23" t="s">
        <v>156</v>
      </c>
      <c r="J23">
        <v>1</v>
      </c>
      <c r="K23" t="s">
        <v>157</v>
      </c>
      <c r="L23">
        <v>0</v>
      </c>
      <c r="M23">
        <v>3</v>
      </c>
      <c r="N23" t="s">
        <v>24</v>
      </c>
      <c r="O23" t="s">
        <v>25</v>
      </c>
      <c r="P23" t="s">
        <v>453</v>
      </c>
    </row>
    <row r="24" spans="1:16">
      <c r="A24" t="s">
        <v>158</v>
      </c>
      <c r="B24" t="s">
        <v>133</v>
      </c>
      <c r="C24" t="s">
        <v>134</v>
      </c>
      <c r="D24" t="s">
        <v>159</v>
      </c>
      <c r="E24" t="s">
        <v>160</v>
      </c>
      <c r="F24">
        <v>3</v>
      </c>
      <c r="G24" t="s">
        <v>161</v>
      </c>
      <c r="H24">
        <v>1</v>
      </c>
      <c r="I24" t="s">
        <v>162</v>
      </c>
      <c r="J24">
        <v>2</v>
      </c>
      <c r="K24" t="s">
        <v>163</v>
      </c>
      <c r="L24">
        <v>2</v>
      </c>
      <c r="M24">
        <v>3</v>
      </c>
      <c r="N24" t="s">
        <v>24</v>
      </c>
      <c r="O24" t="s">
        <v>25</v>
      </c>
      <c r="P24" t="s">
        <v>453</v>
      </c>
    </row>
    <row r="25" spans="1:16">
      <c r="A25" t="s">
        <v>164</v>
      </c>
      <c r="B25" t="s">
        <v>133</v>
      </c>
      <c r="C25" t="s">
        <v>134</v>
      </c>
      <c r="D25" t="s">
        <v>165</v>
      </c>
      <c r="E25" t="s">
        <v>166</v>
      </c>
      <c r="F25">
        <v>3</v>
      </c>
      <c r="G25" t="s">
        <v>167</v>
      </c>
      <c r="H25">
        <v>2</v>
      </c>
      <c r="I25" t="s">
        <v>168</v>
      </c>
      <c r="J25">
        <v>1</v>
      </c>
      <c r="K25" t="s">
        <v>169</v>
      </c>
      <c r="L25">
        <v>0</v>
      </c>
      <c r="M25">
        <v>3</v>
      </c>
      <c r="N25" t="s">
        <v>24</v>
      </c>
      <c r="O25" t="s">
        <v>25</v>
      </c>
      <c r="P25" t="s">
        <v>453</v>
      </c>
    </row>
    <row r="26" spans="1:16">
      <c r="A26" t="s">
        <v>170</v>
      </c>
      <c r="B26" t="s">
        <v>171</v>
      </c>
      <c r="C26" t="s">
        <v>172</v>
      </c>
      <c r="D26" t="s">
        <v>173</v>
      </c>
      <c r="E26" t="s">
        <v>174</v>
      </c>
      <c r="F26">
        <v>3</v>
      </c>
      <c r="G26" t="s">
        <v>175</v>
      </c>
      <c r="H26">
        <v>1</v>
      </c>
      <c r="I26" t="s">
        <v>176</v>
      </c>
      <c r="J26">
        <v>2</v>
      </c>
      <c r="K26" t="s">
        <v>177</v>
      </c>
      <c r="L26">
        <v>0</v>
      </c>
      <c r="M26">
        <v>3</v>
      </c>
      <c r="N26" t="s">
        <v>24</v>
      </c>
      <c r="O26" t="s">
        <v>25</v>
      </c>
      <c r="P26" t="s">
        <v>453</v>
      </c>
    </row>
    <row r="27" spans="1:16">
      <c r="A27" t="s">
        <v>178</v>
      </c>
      <c r="B27" t="s">
        <v>171</v>
      </c>
      <c r="C27" t="s">
        <v>172</v>
      </c>
      <c r="D27" t="s">
        <v>179</v>
      </c>
      <c r="E27" t="s">
        <v>180</v>
      </c>
      <c r="F27">
        <v>3</v>
      </c>
      <c r="G27" t="s">
        <v>181</v>
      </c>
      <c r="H27">
        <v>1</v>
      </c>
      <c r="I27" t="s">
        <v>182</v>
      </c>
      <c r="J27">
        <v>2</v>
      </c>
      <c r="K27" t="s">
        <v>183</v>
      </c>
      <c r="L27">
        <v>0</v>
      </c>
      <c r="M27">
        <v>3</v>
      </c>
      <c r="N27" t="s">
        <v>24</v>
      </c>
      <c r="O27" t="s">
        <v>25</v>
      </c>
      <c r="P27" t="s">
        <v>453</v>
      </c>
    </row>
    <row r="28" spans="1:16">
      <c r="A28" t="s">
        <v>184</v>
      </c>
      <c r="B28" t="s">
        <v>171</v>
      </c>
      <c r="C28" t="s">
        <v>172</v>
      </c>
      <c r="D28" t="s">
        <v>185</v>
      </c>
      <c r="E28" t="s">
        <v>186</v>
      </c>
      <c r="F28">
        <v>3</v>
      </c>
      <c r="G28" t="s">
        <v>187</v>
      </c>
      <c r="H28">
        <v>1</v>
      </c>
      <c r="I28" t="s">
        <v>188</v>
      </c>
      <c r="J28">
        <v>2</v>
      </c>
      <c r="K28" t="s">
        <v>189</v>
      </c>
      <c r="L28">
        <v>0</v>
      </c>
      <c r="M28">
        <v>3</v>
      </c>
      <c r="N28" t="s">
        <v>24</v>
      </c>
      <c r="O28" t="s">
        <v>25</v>
      </c>
      <c r="P28" t="s">
        <v>453</v>
      </c>
    </row>
    <row r="29" spans="1:16">
      <c r="A29" t="s">
        <v>190</v>
      </c>
      <c r="B29" t="s">
        <v>171</v>
      </c>
      <c r="C29" t="s">
        <v>172</v>
      </c>
      <c r="D29" t="s">
        <v>191</v>
      </c>
      <c r="E29" t="s">
        <v>192</v>
      </c>
      <c r="F29">
        <v>3</v>
      </c>
      <c r="G29" t="s">
        <v>193</v>
      </c>
      <c r="H29">
        <v>2</v>
      </c>
      <c r="I29" t="s">
        <v>194</v>
      </c>
      <c r="J29">
        <v>1</v>
      </c>
      <c r="K29" t="s">
        <v>195</v>
      </c>
      <c r="L29">
        <v>0</v>
      </c>
      <c r="M29">
        <v>3</v>
      </c>
      <c r="N29" t="s">
        <v>24</v>
      </c>
      <c r="O29" t="s">
        <v>25</v>
      </c>
      <c r="P29" t="s">
        <v>453</v>
      </c>
    </row>
    <row r="30" spans="1:16">
      <c r="A30" t="s">
        <v>196</v>
      </c>
      <c r="B30" t="s">
        <v>171</v>
      </c>
      <c r="C30" t="s">
        <v>172</v>
      </c>
      <c r="D30" t="s">
        <v>197</v>
      </c>
      <c r="E30" t="s">
        <v>198</v>
      </c>
      <c r="F30">
        <v>3</v>
      </c>
      <c r="G30" t="s">
        <v>199</v>
      </c>
      <c r="H30">
        <v>1</v>
      </c>
      <c r="I30" t="s">
        <v>200</v>
      </c>
      <c r="J30">
        <v>2</v>
      </c>
      <c r="K30" t="s">
        <v>201</v>
      </c>
      <c r="L30">
        <v>0</v>
      </c>
      <c r="M30">
        <v>3</v>
      </c>
      <c r="N30" t="s">
        <v>24</v>
      </c>
      <c r="O30" t="s">
        <v>25</v>
      </c>
      <c r="P30" t="s">
        <v>453</v>
      </c>
    </row>
    <row r="31" spans="1:16">
      <c r="A31" t="s">
        <v>202</v>
      </c>
      <c r="B31" t="s">
        <v>171</v>
      </c>
      <c r="C31" t="s">
        <v>172</v>
      </c>
      <c r="D31" t="s">
        <v>203</v>
      </c>
      <c r="E31" t="s">
        <v>204</v>
      </c>
      <c r="F31">
        <v>3</v>
      </c>
      <c r="G31" t="s">
        <v>205</v>
      </c>
      <c r="H31">
        <v>1</v>
      </c>
      <c r="I31" t="s">
        <v>206</v>
      </c>
      <c r="J31">
        <v>2</v>
      </c>
      <c r="K31" t="s">
        <v>207</v>
      </c>
      <c r="L31">
        <v>0</v>
      </c>
      <c r="M31">
        <v>3</v>
      </c>
      <c r="N31" t="s">
        <v>24</v>
      </c>
      <c r="O31" t="s">
        <v>25</v>
      </c>
      <c r="P31" t="s">
        <v>453</v>
      </c>
    </row>
    <row r="32" spans="1:16">
      <c r="A32" t="s">
        <v>208</v>
      </c>
      <c r="B32" t="s">
        <v>209</v>
      </c>
      <c r="C32" t="s">
        <v>210</v>
      </c>
      <c r="D32" t="s">
        <v>211</v>
      </c>
      <c r="E32" t="s">
        <v>212</v>
      </c>
      <c r="F32">
        <v>3</v>
      </c>
      <c r="G32" t="s">
        <v>213</v>
      </c>
      <c r="H32">
        <v>2</v>
      </c>
      <c r="I32" t="s">
        <v>214</v>
      </c>
      <c r="J32">
        <v>1</v>
      </c>
      <c r="K32" t="s">
        <v>215</v>
      </c>
      <c r="L32">
        <v>0</v>
      </c>
      <c r="M32">
        <v>3</v>
      </c>
      <c r="N32" t="s">
        <v>24</v>
      </c>
      <c r="O32" t="s">
        <v>25</v>
      </c>
      <c r="P32" t="s">
        <v>453</v>
      </c>
    </row>
    <row r="33" spans="1:16">
      <c r="A33" t="s">
        <v>216</v>
      </c>
      <c r="B33" t="s">
        <v>209</v>
      </c>
      <c r="C33" t="s">
        <v>210</v>
      </c>
      <c r="D33" t="s">
        <v>217</v>
      </c>
      <c r="E33" t="s">
        <v>218</v>
      </c>
      <c r="F33">
        <v>3</v>
      </c>
      <c r="G33" t="s">
        <v>219</v>
      </c>
      <c r="H33">
        <v>1</v>
      </c>
      <c r="I33" t="s">
        <v>220</v>
      </c>
      <c r="J33">
        <v>2</v>
      </c>
      <c r="K33" t="s">
        <v>221</v>
      </c>
      <c r="L33">
        <v>0</v>
      </c>
      <c r="M33">
        <v>3</v>
      </c>
      <c r="N33" t="s">
        <v>24</v>
      </c>
      <c r="O33" t="s">
        <v>25</v>
      </c>
      <c r="P33" t="s">
        <v>453</v>
      </c>
    </row>
    <row r="34" spans="1:16">
      <c r="A34" t="s">
        <v>222</v>
      </c>
      <c r="B34" t="s">
        <v>209</v>
      </c>
      <c r="C34" t="s">
        <v>210</v>
      </c>
      <c r="D34" t="s">
        <v>223</v>
      </c>
      <c r="E34" t="s">
        <v>224</v>
      </c>
      <c r="F34">
        <v>3</v>
      </c>
      <c r="G34" t="s">
        <v>225</v>
      </c>
      <c r="H34">
        <v>2</v>
      </c>
      <c r="I34" t="s">
        <v>226</v>
      </c>
      <c r="J34">
        <v>1</v>
      </c>
      <c r="K34" t="s">
        <v>227</v>
      </c>
      <c r="L34">
        <v>0</v>
      </c>
      <c r="M34">
        <v>3</v>
      </c>
      <c r="N34" t="s">
        <v>24</v>
      </c>
      <c r="O34" t="s">
        <v>25</v>
      </c>
      <c r="P34" t="s">
        <v>453</v>
      </c>
    </row>
    <row r="35" spans="1:16">
      <c r="A35" t="s">
        <v>228</v>
      </c>
      <c r="B35" t="s">
        <v>209</v>
      </c>
      <c r="C35" t="s">
        <v>210</v>
      </c>
      <c r="D35" t="s">
        <v>229</v>
      </c>
      <c r="E35" t="s">
        <v>230</v>
      </c>
      <c r="F35">
        <v>3</v>
      </c>
      <c r="G35" t="s">
        <v>231</v>
      </c>
      <c r="H35">
        <v>1</v>
      </c>
      <c r="I35" t="s">
        <v>232</v>
      </c>
      <c r="J35">
        <v>2</v>
      </c>
      <c r="K35" t="s">
        <v>233</v>
      </c>
      <c r="L35">
        <v>0</v>
      </c>
      <c r="M35">
        <v>3</v>
      </c>
      <c r="N35" t="s">
        <v>24</v>
      </c>
      <c r="O35" t="s">
        <v>25</v>
      </c>
      <c r="P35" t="s">
        <v>453</v>
      </c>
    </row>
    <row r="36" spans="1:16">
      <c r="A36" t="s">
        <v>234</v>
      </c>
      <c r="B36" t="s">
        <v>209</v>
      </c>
      <c r="C36" t="s">
        <v>210</v>
      </c>
      <c r="D36" t="s">
        <v>235</v>
      </c>
      <c r="E36" t="s">
        <v>236</v>
      </c>
      <c r="F36">
        <v>3</v>
      </c>
      <c r="G36" t="s">
        <v>237</v>
      </c>
      <c r="H36">
        <v>2</v>
      </c>
      <c r="I36" t="s">
        <v>238</v>
      </c>
      <c r="J36">
        <v>1</v>
      </c>
      <c r="K36" t="s">
        <v>239</v>
      </c>
      <c r="L36">
        <v>0</v>
      </c>
      <c r="M36">
        <v>3</v>
      </c>
      <c r="N36" t="s">
        <v>24</v>
      </c>
      <c r="O36" t="s">
        <v>25</v>
      </c>
      <c r="P36" t="s">
        <v>453</v>
      </c>
    </row>
    <row r="37" spans="1:16">
      <c r="A37" t="s">
        <v>240</v>
      </c>
      <c r="B37" t="s">
        <v>209</v>
      </c>
      <c r="C37" t="s">
        <v>210</v>
      </c>
      <c r="D37" t="s">
        <v>241</v>
      </c>
      <c r="E37" t="s">
        <v>242</v>
      </c>
      <c r="F37">
        <v>3</v>
      </c>
      <c r="G37" t="s">
        <v>243</v>
      </c>
      <c r="H37">
        <v>2</v>
      </c>
      <c r="I37" t="s">
        <v>244</v>
      </c>
      <c r="J37">
        <v>1</v>
      </c>
      <c r="K37" t="s">
        <v>245</v>
      </c>
      <c r="L37">
        <v>0</v>
      </c>
      <c r="M37">
        <v>3</v>
      </c>
      <c r="N37" t="s">
        <v>24</v>
      </c>
      <c r="O37" t="s">
        <v>25</v>
      </c>
      <c r="P37" t="s">
        <v>453</v>
      </c>
    </row>
    <row r="38" spans="1:16">
      <c r="A38" t="s">
        <v>246</v>
      </c>
      <c r="B38" t="s">
        <v>247</v>
      </c>
      <c r="C38" t="s">
        <v>248</v>
      </c>
      <c r="D38" t="s">
        <v>249</v>
      </c>
      <c r="E38" t="s">
        <v>250</v>
      </c>
      <c r="F38">
        <v>3</v>
      </c>
      <c r="G38" t="s">
        <v>251</v>
      </c>
      <c r="H38">
        <v>1</v>
      </c>
      <c r="I38" t="s">
        <v>252</v>
      </c>
      <c r="J38">
        <v>2</v>
      </c>
      <c r="K38" t="s">
        <v>253</v>
      </c>
      <c r="L38">
        <v>0</v>
      </c>
      <c r="M38">
        <v>3</v>
      </c>
      <c r="N38" t="s">
        <v>24</v>
      </c>
      <c r="O38" t="s">
        <v>25</v>
      </c>
      <c r="P38" t="s">
        <v>453</v>
      </c>
    </row>
    <row r="39" spans="1:16">
      <c r="A39" t="s">
        <v>254</v>
      </c>
      <c r="B39" t="s">
        <v>247</v>
      </c>
      <c r="C39" t="s">
        <v>248</v>
      </c>
      <c r="D39" t="s">
        <v>255</v>
      </c>
      <c r="E39" t="s">
        <v>256</v>
      </c>
      <c r="F39">
        <v>3</v>
      </c>
      <c r="G39" t="s">
        <v>257</v>
      </c>
      <c r="H39">
        <v>1</v>
      </c>
      <c r="I39" t="s">
        <v>258</v>
      </c>
      <c r="J39">
        <v>2</v>
      </c>
      <c r="K39" t="s">
        <v>259</v>
      </c>
      <c r="L39">
        <v>0</v>
      </c>
      <c r="M39">
        <v>3</v>
      </c>
      <c r="N39" t="s">
        <v>24</v>
      </c>
      <c r="O39" t="s">
        <v>25</v>
      </c>
      <c r="P39" t="s">
        <v>453</v>
      </c>
    </row>
    <row r="40" spans="1:16">
      <c r="A40" t="s">
        <v>260</v>
      </c>
      <c r="B40" t="s">
        <v>247</v>
      </c>
      <c r="C40" t="s">
        <v>248</v>
      </c>
      <c r="D40" t="s">
        <v>261</v>
      </c>
      <c r="E40" t="s">
        <v>262</v>
      </c>
      <c r="F40">
        <v>3</v>
      </c>
      <c r="G40" t="s">
        <v>263</v>
      </c>
      <c r="H40">
        <v>1</v>
      </c>
      <c r="I40" t="s">
        <v>264</v>
      </c>
      <c r="J40">
        <v>2</v>
      </c>
      <c r="K40" t="s">
        <v>265</v>
      </c>
      <c r="L40">
        <v>0</v>
      </c>
      <c r="M40">
        <v>3</v>
      </c>
      <c r="N40" t="s">
        <v>24</v>
      </c>
      <c r="O40" t="s">
        <v>25</v>
      </c>
      <c r="P40" t="s">
        <v>453</v>
      </c>
    </row>
    <row r="41" spans="1:16">
      <c r="A41" t="s">
        <v>266</v>
      </c>
      <c r="B41" t="s">
        <v>247</v>
      </c>
      <c r="C41" t="s">
        <v>248</v>
      </c>
      <c r="D41" t="s">
        <v>267</v>
      </c>
      <c r="E41" t="s">
        <v>268</v>
      </c>
      <c r="F41">
        <v>3</v>
      </c>
      <c r="G41" t="s">
        <v>269</v>
      </c>
      <c r="H41">
        <v>1</v>
      </c>
      <c r="I41" t="s">
        <v>270</v>
      </c>
      <c r="J41">
        <v>2</v>
      </c>
      <c r="K41" t="s">
        <v>271</v>
      </c>
      <c r="L41">
        <v>0</v>
      </c>
      <c r="M41">
        <v>3</v>
      </c>
      <c r="N41" t="s">
        <v>24</v>
      </c>
      <c r="O41" t="s">
        <v>25</v>
      </c>
      <c r="P41" t="s">
        <v>453</v>
      </c>
    </row>
    <row r="42" spans="1:16">
      <c r="A42" t="s">
        <v>272</v>
      </c>
      <c r="B42" t="s">
        <v>247</v>
      </c>
      <c r="C42" t="s">
        <v>248</v>
      </c>
      <c r="D42" t="s">
        <v>273</v>
      </c>
      <c r="E42" t="s">
        <v>274</v>
      </c>
      <c r="F42">
        <v>3</v>
      </c>
      <c r="G42" t="s">
        <v>275</v>
      </c>
      <c r="H42">
        <v>2</v>
      </c>
      <c r="I42" t="s">
        <v>276</v>
      </c>
      <c r="J42">
        <v>1</v>
      </c>
      <c r="K42" t="s">
        <v>277</v>
      </c>
      <c r="L42">
        <v>0</v>
      </c>
      <c r="M42">
        <v>3</v>
      </c>
      <c r="N42" t="s">
        <v>24</v>
      </c>
      <c r="O42" t="s">
        <v>25</v>
      </c>
      <c r="P42" t="s">
        <v>453</v>
      </c>
    </row>
    <row r="43" spans="1:16">
      <c r="A43" t="s">
        <v>278</v>
      </c>
      <c r="B43" t="s">
        <v>247</v>
      </c>
      <c r="C43" t="s">
        <v>248</v>
      </c>
      <c r="D43" t="s">
        <v>279</v>
      </c>
      <c r="E43" t="s">
        <v>280</v>
      </c>
      <c r="F43">
        <v>3</v>
      </c>
      <c r="G43" t="s">
        <v>281</v>
      </c>
      <c r="H43">
        <v>1</v>
      </c>
      <c r="I43" t="s">
        <v>282</v>
      </c>
      <c r="J43">
        <v>2</v>
      </c>
      <c r="K43" t="s">
        <v>283</v>
      </c>
      <c r="L43">
        <v>0</v>
      </c>
      <c r="M43">
        <v>3</v>
      </c>
      <c r="N43" t="s">
        <v>24</v>
      </c>
      <c r="O43" t="s">
        <v>25</v>
      </c>
      <c r="P43" t="s">
        <v>453</v>
      </c>
    </row>
    <row r="44" spans="1:16">
      <c r="A44" t="s">
        <v>284</v>
      </c>
      <c r="B44" t="s">
        <v>285</v>
      </c>
      <c r="C44" t="s">
        <v>286</v>
      </c>
      <c r="D44" t="s">
        <v>287</v>
      </c>
      <c r="E44" t="s">
        <v>288</v>
      </c>
      <c r="F44">
        <v>3</v>
      </c>
      <c r="G44" t="s">
        <v>289</v>
      </c>
      <c r="H44">
        <v>2</v>
      </c>
      <c r="I44" t="s">
        <v>290</v>
      </c>
      <c r="J44">
        <v>1</v>
      </c>
      <c r="K44" t="s">
        <v>291</v>
      </c>
      <c r="L44">
        <v>0</v>
      </c>
      <c r="M44">
        <v>3</v>
      </c>
      <c r="N44" t="s">
        <v>24</v>
      </c>
      <c r="O44" t="s">
        <v>25</v>
      </c>
      <c r="P44" t="s">
        <v>453</v>
      </c>
    </row>
    <row r="45" spans="1:16">
      <c r="A45" t="s">
        <v>292</v>
      </c>
      <c r="B45" t="s">
        <v>285</v>
      </c>
      <c r="C45" t="s">
        <v>286</v>
      </c>
      <c r="D45" t="s">
        <v>293</v>
      </c>
      <c r="E45" t="s">
        <v>294</v>
      </c>
      <c r="F45">
        <v>3</v>
      </c>
      <c r="G45" t="s">
        <v>295</v>
      </c>
      <c r="H45">
        <v>2</v>
      </c>
      <c r="I45" t="s">
        <v>296</v>
      </c>
      <c r="J45">
        <v>1</v>
      </c>
      <c r="K45" t="s">
        <v>297</v>
      </c>
      <c r="L45">
        <v>0</v>
      </c>
      <c r="M45">
        <v>3</v>
      </c>
      <c r="N45" t="s">
        <v>24</v>
      </c>
      <c r="O45" t="s">
        <v>25</v>
      </c>
      <c r="P45" t="s">
        <v>453</v>
      </c>
    </row>
    <row r="46" spans="1:16">
      <c r="A46" t="s">
        <v>298</v>
      </c>
      <c r="B46" t="s">
        <v>285</v>
      </c>
      <c r="C46" t="s">
        <v>286</v>
      </c>
      <c r="D46" t="s">
        <v>299</v>
      </c>
      <c r="E46" t="s">
        <v>300</v>
      </c>
      <c r="F46">
        <v>3</v>
      </c>
      <c r="G46" t="s">
        <v>301</v>
      </c>
      <c r="H46">
        <v>2</v>
      </c>
      <c r="I46" t="s">
        <v>302</v>
      </c>
      <c r="J46">
        <v>1</v>
      </c>
      <c r="K46" t="s">
        <v>303</v>
      </c>
      <c r="L46">
        <v>0</v>
      </c>
      <c r="M46">
        <v>3</v>
      </c>
      <c r="N46" t="s">
        <v>24</v>
      </c>
      <c r="O46" t="s">
        <v>25</v>
      </c>
      <c r="P46" t="s">
        <v>453</v>
      </c>
    </row>
    <row r="47" spans="1:16">
      <c r="A47" t="s">
        <v>304</v>
      </c>
      <c r="B47" t="s">
        <v>285</v>
      </c>
      <c r="C47" t="s">
        <v>286</v>
      </c>
      <c r="D47" t="s">
        <v>305</v>
      </c>
      <c r="E47" t="s">
        <v>306</v>
      </c>
      <c r="F47">
        <v>3</v>
      </c>
      <c r="G47" t="s">
        <v>307</v>
      </c>
      <c r="H47">
        <v>2</v>
      </c>
      <c r="I47" t="s">
        <v>308</v>
      </c>
      <c r="J47">
        <v>1</v>
      </c>
      <c r="K47" t="s">
        <v>309</v>
      </c>
      <c r="L47">
        <v>0</v>
      </c>
      <c r="M47">
        <v>3</v>
      </c>
      <c r="N47" t="s">
        <v>24</v>
      </c>
      <c r="O47" t="s">
        <v>25</v>
      </c>
      <c r="P47" t="s">
        <v>453</v>
      </c>
    </row>
    <row r="48" spans="1:16">
      <c r="A48" t="s">
        <v>310</v>
      </c>
      <c r="B48" t="s">
        <v>285</v>
      </c>
      <c r="C48" t="s">
        <v>286</v>
      </c>
      <c r="D48" t="s">
        <v>311</v>
      </c>
      <c r="E48" t="s">
        <v>312</v>
      </c>
      <c r="F48">
        <v>3</v>
      </c>
      <c r="G48" t="s">
        <v>313</v>
      </c>
      <c r="H48">
        <v>2</v>
      </c>
      <c r="I48" t="s">
        <v>314</v>
      </c>
      <c r="J48">
        <v>1</v>
      </c>
      <c r="K48" t="s">
        <v>315</v>
      </c>
      <c r="L48">
        <v>0</v>
      </c>
      <c r="M48">
        <v>3</v>
      </c>
      <c r="N48" t="s">
        <v>24</v>
      </c>
      <c r="O48" t="s">
        <v>25</v>
      </c>
      <c r="P48" t="s">
        <v>453</v>
      </c>
    </row>
    <row r="49" spans="1:16">
      <c r="A49" t="s">
        <v>316</v>
      </c>
      <c r="B49" t="s">
        <v>285</v>
      </c>
      <c r="C49" t="s">
        <v>286</v>
      </c>
      <c r="D49" t="s">
        <v>317</v>
      </c>
      <c r="E49" t="s">
        <v>318</v>
      </c>
      <c r="F49">
        <v>3</v>
      </c>
      <c r="G49" t="s">
        <v>319</v>
      </c>
      <c r="H49">
        <v>2</v>
      </c>
      <c r="I49" t="s">
        <v>320</v>
      </c>
      <c r="J49">
        <v>1</v>
      </c>
      <c r="K49" t="s">
        <v>321</v>
      </c>
      <c r="L49">
        <v>0</v>
      </c>
      <c r="M49">
        <v>3</v>
      </c>
      <c r="N49" t="s">
        <v>24</v>
      </c>
      <c r="O49" t="s">
        <v>25</v>
      </c>
      <c r="P49" t="s">
        <v>453</v>
      </c>
    </row>
    <row r="50" spans="1:16">
      <c r="A50" t="s">
        <v>322</v>
      </c>
      <c r="B50" t="s">
        <v>323</v>
      </c>
      <c r="C50" t="s">
        <v>324</v>
      </c>
      <c r="D50" t="s">
        <v>325</v>
      </c>
      <c r="E50" t="s">
        <v>326</v>
      </c>
      <c r="F50">
        <v>2</v>
      </c>
      <c r="G50" t="s">
        <v>327</v>
      </c>
      <c r="H50">
        <v>1</v>
      </c>
      <c r="I50" t="s">
        <v>328</v>
      </c>
      <c r="J50">
        <v>3</v>
      </c>
      <c r="K50" t="s">
        <v>329</v>
      </c>
      <c r="L50">
        <v>0</v>
      </c>
      <c r="M50">
        <v>3</v>
      </c>
      <c r="N50" t="s">
        <v>24</v>
      </c>
      <c r="O50" t="s">
        <v>25</v>
      </c>
      <c r="P50" t="s">
        <v>453</v>
      </c>
    </row>
    <row r="51" spans="1:16">
      <c r="A51" t="s">
        <v>330</v>
      </c>
      <c r="B51" t="s">
        <v>323</v>
      </c>
      <c r="C51" t="s">
        <v>324</v>
      </c>
      <c r="D51" t="s">
        <v>331</v>
      </c>
      <c r="E51" t="s">
        <v>332</v>
      </c>
      <c r="F51">
        <v>2</v>
      </c>
      <c r="G51" t="s">
        <v>333</v>
      </c>
      <c r="H51">
        <v>1</v>
      </c>
      <c r="I51" t="s">
        <v>334</v>
      </c>
      <c r="J51">
        <v>3</v>
      </c>
      <c r="K51" t="s">
        <v>335</v>
      </c>
      <c r="L51">
        <v>0</v>
      </c>
      <c r="M51">
        <v>3</v>
      </c>
      <c r="N51" t="s">
        <v>24</v>
      </c>
      <c r="O51" t="s">
        <v>25</v>
      </c>
      <c r="P51" t="s">
        <v>453</v>
      </c>
    </row>
    <row r="52" spans="1:16">
      <c r="A52" t="s">
        <v>336</v>
      </c>
      <c r="B52" t="s">
        <v>323</v>
      </c>
      <c r="C52" t="s">
        <v>324</v>
      </c>
      <c r="D52" t="s">
        <v>337</v>
      </c>
      <c r="E52" t="s">
        <v>338</v>
      </c>
      <c r="F52">
        <v>3</v>
      </c>
      <c r="G52" t="s">
        <v>339</v>
      </c>
      <c r="H52">
        <v>2</v>
      </c>
      <c r="I52" t="s">
        <v>340</v>
      </c>
      <c r="J52">
        <v>1</v>
      </c>
      <c r="K52" t="s">
        <v>341</v>
      </c>
      <c r="L52">
        <v>0</v>
      </c>
      <c r="M52">
        <v>3</v>
      </c>
      <c r="N52" t="s">
        <v>24</v>
      </c>
      <c r="O52" t="s">
        <v>25</v>
      </c>
      <c r="P52" t="s">
        <v>453</v>
      </c>
    </row>
    <row r="53" spans="1:16">
      <c r="A53" t="s">
        <v>342</v>
      </c>
      <c r="B53" t="s">
        <v>323</v>
      </c>
      <c r="C53" t="s">
        <v>324</v>
      </c>
      <c r="D53" t="s">
        <v>343</v>
      </c>
      <c r="E53" t="s">
        <v>344</v>
      </c>
      <c r="F53">
        <v>3</v>
      </c>
      <c r="G53" t="s">
        <v>345</v>
      </c>
      <c r="H53">
        <v>2</v>
      </c>
      <c r="I53" t="s">
        <v>346</v>
      </c>
      <c r="J53">
        <v>1</v>
      </c>
      <c r="K53" t="s">
        <v>347</v>
      </c>
      <c r="L53">
        <v>0</v>
      </c>
      <c r="M53">
        <v>3</v>
      </c>
      <c r="N53" t="s">
        <v>24</v>
      </c>
      <c r="O53" t="s">
        <v>25</v>
      </c>
      <c r="P53" t="s">
        <v>453</v>
      </c>
    </row>
    <row r="54" spans="1:16">
      <c r="A54" t="s">
        <v>348</v>
      </c>
      <c r="B54" t="s">
        <v>323</v>
      </c>
      <c r="C54" t="s">
        <v>324</v>
      </c>
      <c r="D54" t="s">
        <v>349</v>
      </c>
      <c r="E54" t="s">
        <v>350</v>
      </c>
      <c r="F54">
        <v>3</v>
      </c>
      <c r="G54" t="s">
        <v>351</v>
      </c>
      <c r="H54">
        <v>2</v>
      </c>
      <c r="I54" t="s">
        <v>352</v>
      </c>
      <c r="J54">
        <v>1</v>
      </c>
      <c r="K54" t="s">
        <v>353</v>
      </c>
      <c r="L54">
        <v>0</v>
      </c>
      <c r="M54">
        <v>3</v>
      </c>
      <c r="N54" t="s">
        <v>24</v>
      </c>
      <c r="O54" t="s">
        <v>25</v>
      </c>
      <c r="P54" t="s">
        <v>453</v>
      </c>
    </row>
    <row r="55" spans="1:16">
      <c r="A55" t="s">
        <v>354</v>
      </c>
      <c r="B55" t="s">
        <v>323</v>
      </c>
      <c r="C55" t="s">
        <v>324</v>
      </c>
      <c r="D55" t="s">
        <v>355</v>
      </c>
      <c r="E55" t="s">
        <v>356</v>
      </c>
      <c r="F55">
        <v>3</v>
      </c>
      <c r="G55" t="s">
        <v>357</v>
      </c>
      <c r="H55">
        <v>2</v>
      </c>
      <c r="I55" t="s">
        <v>358</v>
      </c>
      <c r="J55">
        <v>1</v>
      </c>
      <c r="K55" t="s">
        <v>359</v>
      </c>
      <c r="L55">
        <v>0</v>
      </c>
      <c r="M55">
        <v>3</v>
      </c>
      <c r="N55" t="s">
        <v>24</v>
      </c>
      <c r="O55" t="s">
        <v>25</v>
      </c>
      <c r="P55" t="s">
        <v>453</v>
      </c>
    </row>
    <row r="56" spans="1:16">
      <c r="A56" t="s">
        <v>360</v>
      </c>
      <c r="B56" t="s">
        <v>361</v>
      </c>
      <c r="C56" t="s">
        <v>362</v>
      </c>
      <c r="D56" t="s">
        <v>363</v>
      </c>
      <c r="E56" t="s">
        <v>364</v>
      </c>
      <c r="F56">
        <v>2</v>
      </c>
      <c r="G56" t="s">
        <v>365</v>
      </c>
      <c r="H56">
        <v>0</v>
      </c>
      <c r="I56" t="s">
        <v>366</v>
      </c>
      <c r="J56">
        <v>3</v>
      </c>
      <c r="K56" t="s">
        <v>367</v>
      </c>
      <c r="L56">
        <v>1</v>
      </c>
      <c r="M56">
        <v>3</v>
      </c>
      <c r="N56" t="s">
        <v>24</v>
      </c>
      <c r="O56" t="s">
        <v>25</v>
      </c>
      <c r="P56" t="s">
        <v>453</v>
      </c>
    </row>
    <row r="57" spans="1:16">
      <c r="A57" t="s">
        <v>368</v>
      </c>
      <c r="B57" t="s">
        <v>361</v>
      </c>
      <c r="C57" t="s">
        <v>362</v>
      </c>
      <c r="D57" t="s">
        <v>369</v>
      </c>
      <c r="E57" t="s">
        <v>370</v>
      </c>
      <c r="F57">
        <v>3</v>
      </c>
      <c r="G57" t="s">
        <v>371</v>
      </c>
      <c r="H57">
        <v>2</v>
      </c>
      <c r="I57" t="s">
        <v>372</v>
      </c>
      <c r="J57">
        <v>1</v>
      </c>
      <c r="K57" t="s">
        <v>373</v>
      </c>
      <c r="L57">
        <v>0</v>
      </c>
      <c r="M57">
        <v>3</v>
      </c>
      <c r="N57" t="s">
        <v>24</v>
      </c>
      <c r="O57" t="s">
        <v>25</v>
      </c>
      <c r="P57" t="s">
        <v>453</v>
      </c>
    </row>
    <row r="58" spans="1:16">
      <c r="A58" t="s">
        <v>374</v>
      </c>
      <c r="B58" t="s">
        <v>361</v>
      </c>
      <c r="C58" t="s">
        <v>362</v>
      </c>
      <c r="D58" t="s">
        <v>375</v>
      </c>
      <c r="E58" t="s">
        <v>376</v>
      </c>
      <c r="F58">
        <v>3</v>
      </c>
      <c r="G58" t="s">
        <v>377</v>
      </c>
      <c r="H58">
        <v>2</v>
      </c>
      <c r="I58" t="s">
        <v>378</v>
      </c>
      <c r="J58">
        <v>0</v>
      </c>
      <c r="K58" t="s">
        <v>379</v>
      </c>
      <c r="L58">
        <v>1</v>
      </c>
      <c r="M58">
        <v>3</v>
      </c>
      <c r="N58" t="s">
        <v>24</v>
      </c>
      <c r="O58" t="s">
        <v>25</v>
      </c>
      <c r="P58" t="s">
        <v>453</v>
      </c>
    </row>
    <row r="59" spans="1:16">
      <c r="A59" t="s">
        <v>380</v>
      </c>
      <c r="B59" t="s">
        <v>361</v>
      </c>
      <c r="C59" t="s">
        <v>362</v>
      </c>
      <c r="D59" t="s">
        <v>381</v>
      </c>
      <c r="E59" t="s">
        <v>382</v>
      </c>
      <c r="F59">
        <v>3</v>
      </c>
      <c r="G59" t="s">
        <v>383</v>
      </c>
      <c r="H59">
        <v>2</v>
      </c>
      <c r="I59" t="s">
        <v>384</v>
      </c>
      <c r="J59">
        <v>1</v>
      </c>
      <c r="K59" t="s">
        <v>385</v>
      </c>
      <c r="L59">
        <v>0</v>
      </c>
      <c r="M59">
        <v>3</v>
      </c>
      <c r="N59" t="s">
        <v>24</v>
      </c>
      <c r="O59" t="s">
        <v>25</v>
      </c>
      <c r="P59" t="s">
        <v>453</v>
      </c>
    </row>
    <row r="60" spans="1:16">
      <c r="A60" t="s">
        <v>386</v>
      </c>
      <c r="B60" t="s">
        <v>361</v>
      </c>
      <c r="C60" t="s">
        <v>362</v>
      </c>
      <c r="D60" t="s">
        <v>387</v>
      </c>
      <c r="E60" t="s">
        <v>388</v>
      </c>
      <c r="F60">
        <v>3</v>
      </c>
      <c r="G60" t="s">
        <v>389</v>
      </c>
      <c r="H60">
        <v>2</v>
      </c>
      <c r="I60" t="s">
        <v>390</v>
      </c>
      <c r="J60">
        <v>1</v>
      </c>
      <c r="K60" t="s">
        <v>391</v>
      </c>
      <c r="L60">
        <v>0</v>
      </c>
      <c r="M60">
        <v>3</v>
      </c>
      <c r="N60" t="s">
        <v>24</v>
      </c>
      <c r="O60" t="s">
        <v>25</v>
      </c>
      <c r="P60" t="s">
        <v>453</v>
      </c>
    </row>
    <row r="61" spans="1:16">
      <c r="A61" t="s">
        <v>392</v>
      </c>
      <c r="B61" t="s">
        <v>361</v>
      </c>
      <c r="C61" t="s">
        <v>362</v>
      </c>
      <c r="D61" t="s">
        <v>393</v>
      </c>
      <c r="E61" t="s">
        <v>394</v>
      </c>
      <c r="F61">
        <v>3</v>
      </c>
      <c r="G61" t="s">
        <v>395</v>
      </c>
      <c r="H61">
        <v>2</v>
      </c>
      <c r="I61" t="s">
        <v>396</v>
      </c>
      <c r="J61">
        <v>1</v>
      </c>
      <c r="K61" t="s">
        <v>397</v>
      </c>
      <c r="L61">
        <v>0</v>
      </c>
      <c r="M61">
        <v>3</v>
      </c>
      <c r="N61" t="s">
        <v>24</v>
      </c>
      <c r="O61" t="s">
        <v>25</v>
      </c>
      <c r="P61" t="s">
        <v>453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8.796875" defaultRowHeight="13.8"/>
  <cols>
    <col min="1" max="1" width="10" customWidth="1"/>
    <col min="2" max="2" width="18" customWidth="1"/>
    <col min="3" max="3" width="42" customWidth="1"/>
    <col min="4" max="5" width="18" customWidth="1"/>
    <col min="6" max="7" width="42" customWidth="1"/>
  </cols>
  <sheetData>
    <row r="1" spans="1:7" ht="27.6">
      <c r="A1" s="3" t="s">
        <v>398</v>
      </c>
      <c r="B1" s="3" t="s">
        <v>1</v>
      </c>
      <c r="C1" s="3" t="s">
        <v>399</v>
      </c>
      <c r="D1" s="3" t="s">
        <v>400</v>
      </c>
      <c r="E1" s="3" t="s">
        <v>401</v>
      </c>
      <c r="F1" s="3" t="s">
        <v>402</v>
      </c>
      <c r="G1" s="3" t="s">
        <v>403</v>
      </c>
    </row>
    <row r="2" spans="1:7">
      <c r="A2" t="s">
        <v>17</v>
      </c>
      <c r="B2" t="s">
        <v>18</v>
      </c>
      <c r="C2" t="s">
        <v>404</v>
      </c>
      <c r="D2">
        <v>18</v>
      </c>
      <c r="E2" t="s">
        <v>405</v>
      </c>
      <c r="F2" t="s">
        <v>406</v>
      </c>
      <c r="G2" t="s">
        <v>407</v>
      </c>
    </row>
    <row r="3" spans="1:7">
      <c r="A3" t="s">
        <v>57</v>
      </c>
      <c r="B3" t="s">
        <v>58</v>
      </c>
      <c r="C3" t="s">
        <v>408</v>
      </c>
      <c r="D3">
        <v>18</v>
      </c>
      <c r="E3" t="s">
        <v>409</v>
      </c>
      <c r="F3" t="s">
        <v>410</v>
      </c>
      <c r="G3" t="s">
        <v>411</v>
      </c>
    </row>
    <row r="4" spans="1:7">
      <c r="A4" t="s">
        <v>95</v>
      </c>
      <c r="B4" t="s">
        <v>96</v>
      </c>
      <c r="C4" t="s">
        <v>412</v>
      </c>
      <c r="D4">
        <v>18</v>
      </c>
      <c r="E4" t="s">
        <v>413</v>
      </c>
      <c r="F4" t="s">
        <v>414</v>
      </c>
      <c r="G4" t="s">
        <v>415</v>
      </c>
    </row>
    <row r="5" spans="1:7">
      <c r="A5" t="s">
        <v>133</v>
      </c>
      <c r="B5" t="s">
        <v>416</v>
      </c>
      <c r="C5" t="s">
        <v>417</v>
      </c>
      <c r="D5">
        <v>18</v>
      </c>
      <c r="E5" t="s">
        <v>418</v>
      </c>
      <c r="F5" t="s">
        <v>419</v>
      </c>
      <c r="G5" t="s">
        <v>420</v>
      </c>
    </row>
    <row r="6" spans="1:7">
      <c r="A6" t="s">
        <v>171</v>
      </c>
      <c r="B6" t="s">
        <v>172</v>
      </c>
      <c r="C6" t="s">
        <v>421</v>
      </c>
      <c r="D6">
        <v>18</v>
      </c>
      <c r="E6" t="s">
        <v>422</v>
      </c>
      <c r="F6" t="s">
        <v>423</v>
      </c>
      <c r="G6" t="s">
        <v>424</v>
      </c>
    </row>
    <row r="7" spans="1:7">
      <c r="A7" t="s">
        <v>209</v>
      </c>
      <c r="B7" t="s">
        <v>210</v>
      </c>
      <c r="C7" t="s">
        <v>425</v>
      </c>
      <c r="D7">
        <v>18</v>
      </c>
      <c r="E7" t="s">
        <v>426</v>
      </c>
      <c r="F7" t="s">
        <v>427</v>
      </c>
      <c r="G7" t="s">
        <v>428</v>
      </c>
    </row>
    <row r="8" spans="1:7">
      <c r="A8" t="s">
        <v>247</v>
      </c>
      <c r="B8" t="s">
        <v>248</v>
      </c>
      <c r="C8" t="s">
        <v>429</v>
      </c>
      <c r="D8">
        <v>18</v>
      </c>
      <c r="E8" t="s">
        <v>430</v>
      </c>
      <c r="F8" t="s">
        <v>431</v>
      </c>
      <c r="G8" t="s">
        <v>432</v>
      </c>
    </row>
    <row r="9" spans="1:7">
      <c r="A9" t="s">
        <v>285</v>
      </c>
      <c r="B9" t="s">
        <v>286</v>
      </c>
      <c r="C9" t="s">
        <v>433</v>
      </c>
      <c r="D9">
        <v>18</v>
      </c>
      <c r="E9" t="s">
        <v>434</v>
      </c>
      <c r="F9" t="s">
        <v>435</v>
      </c>
      <c r="G9" t="s">
        <v>436</v>
      </c>
    </row>
    <row r="10" spans="1:7">
      <c r="A10" t="s">
        <v>323</v>
      </c>
      <c r="B10" t="s">
        <v>324</v>
      </c>
      <c r="C10" t="s">
        <v>437</v>
      </c>
      <c r="D10">
        <v>18</v>
      </c>
      <c r="E10" t="s">
        <v>438</v>
      </c>
      <c r="F10" t="s">
        <v>439</v>
      </c>
      <c r="G10" t="s">
        <v>440</v>
      </c>
    </row>
    <row r="11" spans="1:7">
      <c r="A11" t="s">
        <v>361</v>
      </c>
      <c r="B11" t="s">
        <v>441</v>
      </c>
      <c r="C11" t="s">
        <v>442</v>
      </c>
      <c r="D11">
        <v>18</v>
      </c>
      <c r="E11" t="s">
        <v>443</v>
      </c>
      <c r="F11" t="s">
        <v>444</v>
      </c>
      <c r="G11" t="s">
        <v>445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8.796875" defaultRowHeight="13.8"/>
  <cols>
    <col min="1" max="5" width="18" customWidth="1"/>
  </cols>
  <sheetData>
    <row r="1" spans="1:5">
      <c r="A1" s="2" t="s">
        <v>1</v>
      </c>
      <c r="B1" s="2" t="s">
        <v>446</v>
      </c>
      <c r="C1" s="2" t="s">
        <v>400</v>
      </c>
      <c r="D1" s="2" t="s">
        <v>447</v>
      </c>
      <c r="E1" s="2" t="s">
        <v>448</v>
      </c>
    </row>
    <row r="2" spans="1:5">
      <c r="A2" t="s">
        <v>17</v>
      </c>
      <c r="C2">
        <v>18</v>
      </c>
      <c r="D2" s="1">
        <f t="shared" ref="D2:D11" si="0">B2/C2</f>
        <v>0</v>
      </c>
      <c r="E2" t="str">
        <f t="shared" ref="E2:E11" si="1">IF(D2&lt;0.4,"Faible",IF(D2&lt;0.6,"Modéré",IF(D2&lt;0.8,"Élevé","Très élevé")))</f>
        <v>Faible</v>
      </c>
    </row>
    <row r="3" spans="1:5">
      <c r="A3" t="s">
        <v>57</v>
      </c>
      <c r="C3">
        <v>18</v>
      </c>
      <c r="D3" s="1">
        <f t="shared" si="0"/>
        <v>0</v>
      </c>
      <c r="E3" t="str">
        <f t="shared" si="1"/>
        <v>Faible</v>
      </c>
    </row>
    <row r="4" spans="1:5">
      <c r="A4" t="s">
        <v>95</v>
      </c>
      <c r="C4">
        <v>18</v>
      </c>
      <c r="D4" s="1">
        <f t="shared" si="0"/>
        <v>0</v>
      </c>
      <c r="E4" t="str">
        <f t="shared" si="1"/>
        <v>Faible</v>
      </c>
    </row>
    <row r="5" spans="1:5">
      <c r="A5" t="s">
        <v>133</v>
      </c>
      <c r="C5">
        <v>18</v>
      </c>
      <c r="D5" s="1">
        <f t="shared" si="0"/>
        <v>0</v>
      </c>
      <c r="E5" t="str">
        <f t="shared" si="1"/>
        <v>Faible</v>
      </c>
    </row>
    <row r="6" spans="1:5">
      <c r="A6" t="s">
        <v>171</v>
      </c>
      <c r="C6">
        <v>18</v>
      </c>
      <c r="D6" s="1">
        <f t="shared" si="0"/>
        <v>0</v>
      </c>
      <c r="E6" t="str">
        <f t="shared" si="1"/>
        <v>Faible</v>
      </c>
    </row>
    <row r="7" spans="1:5">
      <c r="A7" t="s">
        <v>209</v>
      </c>
      <c r="C7">
        <v>18</v>
      </c>
      <c r="D7" s="1">
        <f t="shared" si="0"/>
        <v>0</v>
      </c>
      <c r="E7" t="str">
        <f t="shared" si="1"/>
        <v>Faible</v>
      </c>
    </row>
    <row r="8" spans="1:5">
      <c r="A8" t="s">
        <v>247</v>
      </c>
      <c r="C8">
        <v>18</v>
      </c>
      <c r="D8" s="1">
        <f t="shared" si="0"/>
        <v>0</v>
      </c>
      <c r="E8" t="str">
        <f t="shared" si="1"/>
        <v>Faible</v>
      </c>
    </row>
    <row r="9" spans="1:5">
      <c r="A9" t="s">
        <v>285</v>
      </c>
      <c r="C9">
        <v>18</v>
      </c>
      <c r="D9" s="1">
        <f t="shared" si="0"/>
        <v>0</v>
      </c>
      <c r="E9" t="str">
        <f t="shared" si="1"/>
        <v>Faible</v>
      </c>
    </row>
    <row r="10" spans="1:5">
      <c r="A10" t="s">
        <v>323</v>
      </c>
      <c r="C10">
        <v>18</v>
      </c>
      <c r="D10" s="1">
        <f t="shared" si="0"/>
        <v>0</v>
      </c>
      <c r="E10" t="str">
        <f t="shared" si="1"/>
        <v>Faible</v>
      </c>
    </row>
    <row r="11" spans="1:5">
      <c r="A11" t="s">
        <v>361</v>
      </c>
      <c r="C11">
        <v>18</v>
      </c>
      <c r="D11" s="1">
        <f t="shared" si="0"/>
        <v>0</v>
      </c>
      <c r="E11" t="str">
        <f t="shared" si="1"/>
        <v>Faible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baseColWidth="10" defaultColWidth="8.796875" defaultRowHeight="13.8"/>
  <cols>
    <col min="1" max="1" width="120" customWidth="1"/>
  </cols>
  <sheetData>
    <row r="1" spans="1:1" ht="17.399999999999999">
      <c r="A1" s="4" t="s">
        <v>449</v>
      </c>
    </row>
    <row r="2" spans="1:1">
      <c r="A2" s="5"/>
    </row>
    <row r="3" spans="1:1" ht="27.6">
      <c r="A3" s="5" t="s">
        <v>450</v>
      </c>
    </row>
    <row r="4" spans="1:1">
      <c r="A4" s="5"/>
    </row>
    <row r="5" spans="1:1" ht="27.6">
      <c r="A5" s="5" t="s">
        <v>451</v>
      </c>
    </row>
    <row r="6" spans="1:1">
      <c r="A6" s="5"/>
    </row>
    <row r="7" spans="1:1">
      <c r="A7" s="5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Questions</vt:lpstr>
      <vt:lpstr>Dimensions</vt:lpstr>
      <vt:lpstr>Calculs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BRIET</dc:creator>
  <cp:lastModifiedBy>Dominique BRIET</cp:lastModifiedBy>
  <dcterms:created xsi:type="dcterms:W3CDTF">2026-06-29T19:17:29Z</dcterms:created>
  <dcterms:modified xsi:type="dcterms:W3CDTF">2026-06-29T19:17:29Z</dcterms:modified>
</cp:coreProperties>
</file>