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NQUE_72_V0.5" sheetId="2" state="visible" r:id="rId2"/>
    <sheet xmlns:r="http://schemas.openxmlformats.org/officeDocument/2006/relationships" name="REVUE_120_V0.5" sheetId="3" state="visible" r:id="rId3"/>
    <sheet xmlns:r="http://schemas.openxmlformats.org/officeDocument/2006/relationships" name="DIMENSION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CONTEXTUALISATION" sheetId="6" state="visible" r:id="rId6"/>
    <sheet xmlns:r="http://schemas.openxmlformats.org/officeDocument/2006/relationships" name="RECETTE_L1" sheetId="7" state="visible" r:id="rId7"/>
    <sheet xmlns:r="http://schemas.openxmlformats.org/officeDocument/2006/relationships" name="CALCULS" sheetId="8" state="visible" r:id="rId8"/>
    <sheet xmlns:r="http://schemas.openxmlformats.org/officeDocument/2006/relationships" name="RAPPORT" sheetId="9" state="visible" r:id="rId9"/>
    <sheet xmlns:r="http://schemas.openxmlformats.org/officeDocument/2006/relationships" name="RESSENTI" sheetId="10" state="visible" r:id="rId10"/>
    <sheet xmlns:r="http://schemas.openxmlformats.org/officeDocument/2006/relationships" name="PARAMETRES" sheetId="11" state="visible" r:id="rId11"/>
    <sheet xmlns:r="http://schemas.openxmlformats.org/officeDocument/2006/relationships" name="VALIDATION" sheetId="12" state="visible" r:id="rId12"/>
    <sheet xmlns:r="http://schemas.openxmlformats.org/officeDocument/2006/relationships" name="CHANGELOG" sheetId="13" state="visible" r:id="rId13"/>
    <sheet xmlns:r="http://schemas.openxmlformats.org/officeDocument/2006/relationships" name="ONET_CONFIG" sheetId="14" state="visible" r:id="rId14"/>
    <sheet xmlns:r="http://schemas.openxmlformats.org/officeDocument/2006/relationships" name="COMPARATIF" sheetId="15" state="visible" r:id="rId15"/>
    <sheet xmlns:r="http://schemas.openxmlformats.org/officeDocument/2006/relationships" name="TEST_SCORING" sheetId="16" state="visible" r:id="rId16"/>
    <sheet xmlns:r="http://schemas.openxmlformats.org/officeDocument/2006/relationships" name="LISTES" sheetId="17" state="hidden" r:id="rId17"/>
  </sheets>
  <definedNames>
    <definedName name="_xlnm._FilterDatabase" localSheetId="1" hidden="1">'BANQUE_72_V0.5'!$A$1:$N$73</definedName>
    <definedName name="_xlnm._FilterDatabase" localSheetId="2" hidden="1">'REVUE_120_V0.5'!$A$1:$M$121</definedName>
    <definedName name="_xlnm._FilterDatabase" localSheetId="3" hidden="1">'DIMENSIONS'!$A$4:$J$34</definedName>
    <definedName name="_xlnm._FilterDatabase" localSheetId="4" hidden="1">'QUESTIONS'!$A$4:$AP$124</definedName>
    <definedName name="_xlnm._FilterDatabase" localSheetId="5" hidden="1">'CONTEXTUALISATION'!$A$4:$O$124</definedName>
    <definedName name="_xlnm._FilterDatabase" localSheetId="6" hidden="1">'RECETTE_L1'!$A$4:$J$10</definedName>
    <definedName name="_xlnm._FilterDatabase" localSheetId="7" hidden="1">'CALCULS'!$A$4:$J$10</definedName>
    <definedName name="_xlnm._FilterDatabase" localSheetId="8" hidden="1">'RAPPORT'!$A$4:$J$14</definedName>
    <definedName name="_xlnm._FilterDatabase" localSheetId="9" hidden="1">'RESSENTI'!$A$4:$N$11</definedName>
    <definedName name="_xlnm._FilterDatabase" localSheetId="11" hidden="1">'VALIDATION'!$A$4:$R$124</definedName>
    <definedName name="_xlnm._FilterDatabase" localSheetId="12" hidden="1">'CHANGELOG'!$A$4:$H$7</definedName>
    <definedName name="_xlnm._FilterDatabase" localSheetId="13" hidden="1">'ONET_CONFIG'!$A$4:$G$12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666666"/>
      <sz val="10"/>
    </font>
    <font>
      <name val="Calibri"/>
      <b val="1"/>
      <color rgb="FF666666"/>
      <sz val="11"/>
    </font>
    <font>
      <name val="Calibri"/>
      <color rgb="FF666666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color rgb="FF008000"/>
      <sz val="11"/>
      <u val="single"/>
    </font>
    <font>
      <name val="Calibri"/>
      <color rgb="FF000000"/>
      <sz val="11"/>
    </font>
    <font>
      <name val="Calibri"/>
      <color rgb="FF008000"/>
      <sz val="11"/>
    </font>
    <font>
      <name val="Calibri"/>
      <b val="1"/>
      <sz val="11"/>
    </font>
    <font>
      <name val="Calibri"/>
      <b val="1"/>
      <color rgb="FFFFFFFF"/>
      <sz val="15"/>
    </font>
    <font>
      <name val="Calibri"/>
      <i val="1"/>
      <color rgb="FF404040"/>
      <sz val="10"/>
    </font>
    <font>
      <name val="Calibri"/>
      <b val="1"/>
      <color rgb="FFFFFFFF"/>
      <sz val="11"/>
    </font>
    <font>
      <name val="Calibri"/>
      <color rgb="FF008000"/>
      <sz val="11"/>
    </font>
    <font>
      <name val="Calibri"/>
      <color rgb="FF0000FF"/>
      <sz val="11"/>
    </font>
    <font>
      <name val="Calibri"/>
      <color rgb="FF666666"/>
      <sz val="11"/>
    </font>
    <font>
      <name val="Calibri"/>
      <i val="1"/>
      <color rgb="FF404040"/>
      <sz val="11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F4CCCC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0F8B8D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6" fillId="4" borderId="1" applyAlignment="1" pivotButton="0" quotePrefix="0" xfId="0">
      <alignment vertical="center" wrapText="1"/>
    </xf>
    <xf numFmtId="0" fontId="6" fillId="4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5" borderId="1" applyAlignment="1" pivotButton="0" quotePrefix="0" xfId="0">
      <alignment vertical="center" wrapText="1"/>
    </xf>
    <xf numFmtId="0" fontId="0" fillId="6" borderId="0" applyAlignment="1" pivotButton="0" quotePrefix="0" xfId="0">
      <alignment vertical="top" wrapText="1"/>
    </xf>
    <xf numFmtId="0" fontId="6" fillId="7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9" borderId="0" pivotButton="0" quotePrefix="0" xfId="0"/>
    <xf numFmtId="0" fontId="13" fillId="12" borderId="0" applyAlignment="1" pivotButton="0" quotePrefix="0" xfId="0">
      <alignment horizontal="center" vertical="center" wrapText="1"/>
    </xf>
    <xf numFmtId="0" fontId="14" fillId="0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3" fillId="12" borderId="0" applyAlignment="1" pivotButton="0" quotePrefix="0" xfId="0">
      <alignment horizontal="center" wrapText="1"/>
    </xf>
    <xf numFmtId="0" fontId="2" fillId="3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1" fillId="10" borderId="0" applyAlignment="1" pivotButton="0" quotePrefix="0" xfId="0">
      <alignment horizontal="left"/>
    </xf>
    <xf numFmtId="0" fontId="12" fillId="11" borderId="0" applyAlignment="1" pivotButton="0" quotePrefix="0" xfId="0">
      <alignment vertical="center" wrapText="1"/>
    </xf>
    <xf numFmtId="0" fontId="11" fillId="10" borderId="0" pivotButton="0" quotePrefix="0" xfId="0"/>
    <xf numFmtId="0" fontId="17" fillId="11" borderId="0" pivotButton="0" quotePrefix="0" xfId="0"/>
    <xf numFmtId="0" fontId="6" fillId="4" borderId="0" pivotButton="0" quotePrefix="0" xfId="0"/>
    <xf numFmtId="0" fontId="0" fillId="8" borderId="0" applyAlignment="1" pivotButton="0" quotePrefix="0" xfId="0">
      <alignment vertical="top" wrapText="1"/>
    </xf>
    <xf numFmtId="0" fontId="18" fillId="17" borderId="0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Clarté360</author>
  </authors>
  <commentList>
    <comment ref="K5" authorId="0" shapeId="0">
      <text>
        <t>Formulation validée à partir du document de relecture : PIP_RIASEC_CLARTE360_BANQUE_EXPERIMENTALE_120_ITEMS_REVUE_V0_1.</t>
      </text>
    </comment>
    <comment ref="K6" authorId="0" shapeId="0">
      <text>
        <t>Formulation validée à partir du document de relecture : PIP_RIASEC_CLARTE360_BANQUE_EXPERIMENTALE_120_ITEMS_REVUE_V0_1.</t>
      </text>
    </comment>
    <comment ref="K7" authorId="0" shapeId="0">
      <text>
        <t>Formulation validée à partir du document de relecture : PIP_RIASEC_CLARTE360_BANQUE_EXPERIMENTALE_120_ITEMS_REVUE_V0_1.</t>
      </text>
    </comment>
    <comment ref="K8" authorId="0" shapeId="0">
      <text>
        <t>Formulation validée à partir du document de relecture : PIP_RIASEC_CLARTE360_BANQUE_EXPERIMENTALE_120_ITEMS_REVUE_V0_1.</t>
      </text>
    </comment>
    <comment ref="K9" authorId="0" shapeId="0">
      <text>
        <t>Formulation validée à partir du document de relecture : PIP_RIASEC_CLARTE360_BANQUE_EXPERIMENTALE_120_ITEMS_REVUE_V0_1.</t>
      </text>
    </comment>
    <comment ref="K10" authorId="0" shapeId="0">
      <text>
        <t>Formulation validée à partir du document de relecture : PIP_RIASEC_CLARTE360_BANQUE_EXPERIMENTALE_120_ITEMS_REVUE_V0_1.</t>
      </text>
    </comment>
    <comment ref="K11" authorId="0" shapeId="0">
      <text>
        <t>Formulation validée à partir du document de relecture : PIP_RIASEC_CLARTE360_BANQUE_EXPERIMENTALE_120_ITEMS_REVUE_V0_1.</t>
      </text>
    </comment>
    <comment ref="K12" authorId="0" shapeId="0">
      <text>
        <t>Formulation validée à partir du document de relecture : PIP_RIASEC_CLARTE360_BANQUE_EXPERIMENTALE_120_ITEMS_REVUE_V0_1.</t>
      </text>
    </comment>
    <comment ref="K13" authorId="0" shapeId="0">
      <text>
        <t>Formulation validée à partir du document de relecture : PIP_RIASEC_CLARTE360_BANQUE_EXPERIMENTALE_120_ITEMS_REVUE_V0_1.</t>
      </text>
    </comment>
    <comment ref="K14" authorId="0" shapeId="0">
      <text>
        <t>Formulation validée à partir du document de relecture : PIP_RIASEC_CLARTE360_BANQUE_EXPERIMENTALE_120_ITEMS_REVUE_V0_1.</t>
      </text>
    </comment>
    <comment ref="K15" authorId="0" shapeId="0">
      <text>
        <t>Formulation validée à partir du document de relecture : PIP_RIASEC_CLARTE360_BANQUE_EXPERIMENTALE_120_ITEMS_REVUE_V0_1.</t>
      </text>
    </comment>
    <comment ref="K16" authorId="0" shapeId="0">
      <text>
        <t>Formulation validée à partir du document de relecture : PIP_RIASEC_CLARTE360_BANQUE_EXPERIMENTALE_120_ITEMS_REVUE_V0_1.</t>
      </text>
    </comment>
    <comment ref="K17" authorId="0" shapeId="0">
      <text>
        <t>Formulation validée à partir du document de relecture : PIP_RIASEC_CLARTE360_BANQUE_EXPERIMENTALE_120_ITEMS_REVUE_V0_1.</t>
      </text>
    </comment>
    <comment ref="K18" authorId="0" shapeId="0">
      <text>
        <t>Formulation validée à partir du document de relecture : PIP_RIASEC_CLARTE360_BANQUE_EXPERIMENTALE_120_ITEMS_REVUE_V0_1.</t>
      </text>
    </comment>
    <comment ref="K19" authorId="0" shapeId="0">
      <text>
        <t>Formulation validée à partir du document de relecture : PIP_RIASEC_CLARTE360_BANQUE_EXPERIMENTALE_120_ITEMS_REVUE_V0_1.</t>
      </text>
    </comment>
    <comment ref="K20" authorId="0" shapeId="0">
      <text>
        <t>Formulation validée à partir du document de relecture : PIP_RIASEC_CLARTE360_BANQUE_EXPERIMENTALE_120_ITEMS_REVUE_V0_1.</t>
      </text>
    </comment>
    <comment ref="K21" authorId="0" shapeId="0">
      <text>
        <t>Formulation validée à partir du document de relecture : PIP_RIASEC_CLARTE360_BANQUE_EXPERIMENTALE_120_ITEMS_REVUE_V0_1.</t>
      </text>
    </comment>
    <comment ref="K22" authorId="0" shapeId="0">
      <text>
        <t>Formulation validée à partir du document de relecture : PIP_RIASEC_CLARTE360_BANQUE_EXPERIMENTALE_120_ITEMS_REVUE_V0_1.</t>
      </text>
    </comment>
    <comment ref="K23" authorId="0" shapeId="0">
      <text>
        <t>Formulation validée à partir du document de relecture : PIP_RIASEC_CLARTE360_BANQUE_EXPERIMENTALE_120_ITEMS_REVUE_V0_1.</t>
      </text>
    </comment>
    <comment ref="K24" authorId="0" shapeId="0">
      <text>
        <t>Formulation validée à partir du document de relecture : PIP_RIASEC_CLARTE360_BANQUE_EXPERIMENTALE_120_ITEMS_REVUE_V0_1.</t>
      </text>
    </comment>
    <comment ref="K25" authorId="0" shapeId="0">
      <text>
        <t>Formulation validée à partir du document de relecture : PIP_RIASEC_CLARTE360_BANQUE_EXPERIMENTALE_120_ITEMS_REVUE_V0_1.</t>
      </text>
    </comment>
    <comment ref="K26" authorId="0" shapeId="0">
      <text>
        <t>Formulation validée à partir du document de relecture : PIP_RIASEC_CLARTE360_BANQUE_EXPERIMENTALE_120_ITEMS_REVUE_V0_1.</t>
      </text>
    </comment>
    <comment ref="K27" authorId="0" shapeId="0">
      <text>
        <t>Formulation validée à partir du document de relecture : PIP_RIASEC_CLARTE360_BANQUE_EXPERIMENTALE_120_ITEMS_REVUE_V0_1.</t>
      </text>
    </comment>
    <comment ref="K28" authorId="0" shapeId="0">
      <text>
        <t>Formulation validée à partir du document de relecture : PIP_RIASEC_CLARTE360_BANQUE_EXPERIMENTALE_120_ITEMS_REVUE_V0_1.</t>
      </text>
    </comment>
    <comment ref="K29" authorId="0" shapeId="0">
      <text>
        <t>Formulation validée à partir du document de relecture : PIP_RIASEC_CLARTE360_BANQUE_EXPERIMENTALE_120_ITEMS_REVUE_V0_1.</t>
      </text>
    </comment>
    <comment ref="K30" authorId="0" shapeId="0">
      <text>
        <t>Formulation validée à partir du document de relecture : PIP_RIASEC_CLARTE360_BANQUE_EXPERIMENTALE_120_ITEMS_REVUE_V0_1.</t>
      </text>
    </comment>
    <comment ref="K31" authorId="0" shapeId="0">
      <text>
        <t>Formulation validée à partir du document de relecture : PIP_RIASEC_CLARTE360_BANQUE_EXPERIMENTALE_120_ITEMS_REVUE_V0_1.</t>
      </text>
    </comment>
    <comment ref="K32" authorId="0" shapeId="0">
      <text>
        <t>Formulation validée à partir du document de relecture : PIP_RIASEC_CLARTE360_BANQUE_EXPERIMENTALE_120_ITEMS_REVUE_V0_1.</t>
      </text>
    </comment>
    <comment ref="K33" authorId="0" shapeId="0">
      <text>
        <t>Formulation validée à partir du document de relecture : PIP_RIASEC_CLARTE360_BANQUE_EXPERIMENTALE_120_ITEMS_REVUE_V0_1.</t>
      </text>
    </comment>
    <comment ref="K34" authorId="0" shapeId="0">
      <text>
        <t>Formulation validée à partir du document de relecture : PIP_RIASEC_CLARTE360_BANQUE_EXPERIMENTALE_120_ITEMS_REVUE_V0_1.</t>
      </text>
    </comment>
    <comment ref="K35" authorId="0" shapeId="0">
      <text>
        <t>Formulation validée à partir du document de relecture : PIP_RIASEC_CLARTE360_BANQUE_EXPERIMENTALE_120_ITEMS_REVUE_V0_1.</t>
      </text>
    </comment>
    <comment ref="K36" authorId="0" shapeId="0">
      <text>
        <t>Formulation validée à partir du document de relecture : PIP_RIASEC_CLARTE360_BANQUE_EXPERIMENTALE_120_ITEMS_REVUE_V0_1.</t>
      </text>
    </comment>
    <comment ref="K37" authorId="0" shapeId="0">
      <text>
        <t>Formulation validée à partir du document de relecture : PIP_RIASEC_CLARTE360_BANQUE_EXPERIMENTALE_120_ITEMS_REVUE_V0_1.</t>
      </text>
    </comment>
    <comment ref="K38" authorId="0" shapeId="0">
      <text>
        <t>Formulation validée à partir du document de relecture : PIP_RIASEC_CLARTE360_BANQUE_EXPERIMENTALE_120_ITEMS_REVUE_V0_1.</t>
      </text>
    </comment>
    <comment ref="K39" authorId="0" shapeId="0">
      <text>
        <t>Formulation validée à partir du document de relecture : PIP_RIASEC_CLARTE360_BANQUE_EXPERIMENTALE_120_ITEMS_REVUE_V0_1.</t>
      </text>
    </comment>
    <comment ref="K40" authorId="0" shapeId="0">
      <text>
        <t>Formulation validée à partir du document de relecture : PIP_RIASEC_CLARTE360_BANQUE_EXPERIMENTALE_120_ITEMS_REVUE_V0_1.</t>
      </text>
    </comment>
    <comment ref="K41" authorId="0" shapeId="0">
      <text>
        <t>Formulation validée à partir du document de relecture : PIP_RIASEC_CLARTE360_BANQUE_EXPERIMENTALE_120_ITEMS_REVUE_V0_1.</t>
      </text>
    </comment>
    <comment ref="K42" authorId="0" shapeId="0">
      <text>
        <t>Formulation validée à partir du document de relecture : PIP_RIASEC_CLARTE360_BANQUE_EXPERIMENTALE_120_ITEMS_REVUE_V0_1.</t>
      </text>
    </comment>
    <comment ref="K43" authorId="0" shapeId="0">
      <text>
        <t>Formulation validée à partir du document de relecture : PIP_RIASEC_CLARTE360_BANQUE_EXPERIMENTALE_120_ITEMS_REVUE_V0_1.</t>
      </text>
    </comment>
    <comment ref="K44" authorId="0" shapeId="0">
      <text>
        <t>Formulation validée à partir du document de relecture : PIP_RIASEC_CLARTE360_BANQUE_EXPERIMENTALE_120_ITEMS_REVUE_V0_1.</t>
      </text>
    </comment>
    <comment ref="K45" authorId="0" shapeId="0">
      <text>
        <t>Formulation validée à partir du document de relecture : PIP_RIASEC_CLARTE360_BANQUE_EXPERIMENTALE_120_ITEMS_REVUE_V0_1.</t>
      </text>
    </comment>
    <comment ref="K46" authorId="0" shapeId="0">
      <text>
        <t>Formulation validée à partir du document de relecture : PIP_RIASEC_CLARTE360_BANQUE_EXPERIMENTALE_120_ITEMS_REVUE_V0_1.</t>
      </text>
    </comment>
    <comment ref="K47" authorId="0" shapeId="0">
      <text>
        <t>Formulation validée à partir du document de relecture : PIP_RIASEC_CLARTE360_BANQUE_EXPERIMENTALE_120_ITEMS_REVUE_V0_1.</t>
      </text>
    </comment>
    <comment ref="K48" authorId="0" shapeId="0">
      <text>
        <t>Formulation validée à partir du document de relecture : PIP_RIASEC_CLARTE360_BANQUE_EXPERIMENTALE_120_ITEMS_REVUE_V0_1.</t>
      </text>
    </comment>
    <comment ref="K49" authorId="0" shapeId="0">
      <text>
        <t>Formulation validée à partir du document de relecture : PIP_RIASEC_CLARTE360_BANQUE_EXPERIMENTALE_120_ITEMS_REVUE_V0_1.</t>
      </text>
    </comment>
    <comment ref="K50" authorId="0" shapeId="0">
      <text>
        <t>Formulation validée à partir du document de relecture : PIP_RIASEC_CLARTE360_BANQUE_EXPERIMENTALE_120_ITEMS_REVUE_V0_1.</t>
      </text>
    </comment>
    <comment ref="K51" authorId="0" shapeId="0">
      <text>
        <t>Formulation validée à partir du document de relecture : PIP_RIASEC_CLARTE360_BANQUE_EXPERIMENTALE_120_ITEMS_REVUE_V0_1.</t>
      </text>
    </comment>
    <comment ref="K52" authorId="0" shapeId="0">
      <text>
        <t>Formulation validée à partir du document de relecture : PIP_RIASEC_CLARTE360_BANQUE_EXPERIMENTALE_120_ITEMS_REVUE_V0_1.</t>
      </text>
    </comment>
    <comment ref="K53" authorId="0" shapeId="0">
      <text>
        <t>Formulation validée à partir du document de relecture : PIP_RIASEC_CLARTE360_BANQUE_EXPERIMENTALE_120_ITEMS_REVUE_V0_1.</t>
      </text>
    </comment>
    <comment ref="K54" authorId="0" shapeId="0">
      <text>
        <t>Formulation validée à partir du document de relecture : PIP_RIASEC_CLARTE360_BANQUE_EXPERIMENTALE_120_ITEMS_REVUE_V0_1.</t>
      </text>
    </comment>
    <comment ref="K55" authorId="0" shapeId="0">
      <text>
        <t>Formulation validée à partir du document de relecture : PIP_RIASEC_CLARTE360_BANQUE_EXPERIMENTALE_120_ITEMS_REVUE_V0_1.</t>
      </text>
    </comment>
    <comment ref="K56" authorId="0" shapeId="0">
      <text>
        <t>Formulation validée à partir du document de relecture : PIP_RIASEC_CLARTE360_BANQUE_EXPERIMENTALE_120_ITEMS_REVUE_V0_1.</t>
      </text>
    </comment>
    <comment ref="K57" authorId="0" shapeId="0">
      <text>
        <t>Formulation validée à partir du document de relecture : PIP_RIASEC_CLARTE360_BANQUE_EXPERIMENTALE_120_ITEMS_REVUE_V0_1.</t>
      </text>
    </comment>
    <comment ref="K58" authorId="0" shapeId="0">
      <text>
        <t>Formulation validée à partir du document de relecture : PIP_RIASEC_CLARTE360_BANQUE_EXPERIMENTALE_120_ITEMS_REVUE_V0_1.</t>
      </text>
    </comment>
    <comment ref="K59" authorId="0" shapeId="0">
      <text>
        <t>Formulation validée à partir du document de relecture : PIP_RIASEC_CLARTE360_BANQUE_EXPERIMENTALE_120_ITEMS_REVUE_V0_1.</t>
      </text>
    </comment>
    <comment ref="K60" authorId="0" shapeId="0">
      <text>
        <t>Formulation validée à partir du document de relecture : PIP_RIASEC_CLARTE360_BANQUE_EXPERIMENTALE_120_ITEMS_REVUE_V0_1.</t>
      </text>
    </comment>
    <comment ref="K61" authorId="0" shapeId="0">
      <text>
        <t>Formulation validée à partir du document de relecture : PIP_RIASEC_CLARTE360_BANQUE_EXPERIMENTALE_120_ITEMS_REVUE_V0_1.</t>
      </text>
    </comment>
    <comment ref="K62" authorId="0" shapeId="0">
      <text>
        <t>Formulation validée à partir du document de relecture : PIP_RIASEC_CLARTE360_BANQUE_EXPERIMENTALE_120_ITEMS_REVUE_V0_1.</t>
      </text>
    </comment>
    <comment ref="K63" authorId="0" shapeId="0">
      <text>
        <t>Formulation validée à partir du document de relecture : PIP_RIASEC_CLARTE360_BANQUE_EXPERIMENTALE_120_ITEMS_REVUE_V0_1.</t>
      </text>
    </comment>
    <comment ref="K64" authorId="0" shapeId="0">
      <text>
        <t>Formulation validée à partir du document de relecture : PIP_RIASEC_CLARTE360_BANQUE_EXPERIMENTALE_120_ITEMS_REVUE_V0_1.</t>
      </text>
    </comment>
    <comment ref="K65" authorId="0" shapeId="0">
      <text>
        <t>Formulation validée à partir du document de relecture : PIP_RIASEC_CLARTE360_BANQUE_EXPERIMENTALE_120_ITEMS_REVUE_V0_1.</t>
      </text>
    </comment>
    <comment ref="K66" authorId="0" shapeId="0">
      <text>
        <t>Formulation validée à partir du document de relecture : PIP_RIASEC_CLARTE360_BANQUE_EXPERIMENTALE_120_ITEMS_REVUE_V0_1.</t>
      </text>
    </comment>
    <comment ref="K67" authorId="0" shapeId="0">
      <text>
        <t>Formulation validée à partir du document de relecture : PIP_RIASEC_CLARTE360_BANQUE_EXPERIMENTALE_120_ITEMS_REVUE_V0_1.</t>
      </text>
    </comment>
    <comment ref="K68" authorId="0" shapeId="0">
      <text>
        <t>Formulation validée à partir du document de relecture : PIP_RIASEC_CLARTE360_BANQUE_EXPERIMENTALE_120_ITEMS_REVUE_V0_1.</t>
      </text>
    </comment>
    <comment ref="K69" authorId="0" shapeId="0">
      <text>
        <t>Formulation validée à partir du document de relecture : PIP_RIASEC_CLARTE360_BANQUE_EXPERIMENTALE_120_ITEMS_REVUE_V0_1.</t>
      </text>
    </comment>
    <comment ref="K70" authorId="0" shapeId="0">
      <text>
        <t>Formulation validée à partir du document de relecture : PIP_RIASEC_CLARTE360_BANQUE_EXPERIMENTALE_120_ITEMS_REVUE_V0_1.</t>
      </text>
    </comment>
    <comment ref="K71" authorId="0" shapeId="0">
      <text>
        <t>Formulation validée à partir du document de relecture : PIP_RIASEC_CLARTE360_BANQUE_EXPERIMENTALE_120_ITEMS_REVUE_V0_1.</t>
      </text>
    </comment>
    <comment ref="K72" authorId="0" shapeId="0">
      <text>
        <t>Formulation validée à partir du document de relecture : PIP_RIASEC_CLARTE360_BANQUE_EXPERIMENTALE_120_ITEMS_REVUE_V0_1.</t>
      </text>
    </comment>
    <comment ref="K73" authorId="0" shapeId="0">
      <text>
        <t>Formulation validée à partir du document de relecture : PIP_RIASEC_CLARTE360_BANQUE_EXPERIMENTALE_120_ITEMS_REVUE_V0_1.</t>
      </text>
    </comment>
    <comment ref="K74" authorId="0" shapeId="0">
      <text>
        <t>Formulation validée à partir du document de relecture : PIP_RIASEC_CLARTE360_BANQUE_EXPERIMENTALE_120_ITEMS_REVUE_V0_1.</t>
      </text>
    </comment>
    <comment ref="K75" authorId="0" shapeId="0">
      <text>
        <t>Formulation validée à partir du document de relecture : PIP_RIASEC_CLARTE360_BANQUE_EXPERIMENTALE_120_ITEMS_REVUE_V0_1.</t>
      </text>
    </comment>
    <comment ref="K76" authorId="0" shapeId="0">
      <text>
        <t>Formulation validée à partir du document de relecture : PIP_RIASEC_CLARTE360_BANQUE_EXPERIMENTALE_120_ITEMS_REVUE_V0_1.</t>
      </text>
    </comment>
    <comment ref="K77" authorId="0" shapeId="0">
      <text>
        <t>Formulation validée à partir du document de relecture : PIP_RIASEC_CLARTE360_BANQUE_EXPERIMENTALE_120_ITEMS_REVUE_V0_1.</t>
      </text>
    </comment>
    <comment ref="K78" authorId="0" shapeId="0">
      <text>
        <t>Formulation validée à partir du document de relecture : PIP_RIASEC_CLARTE360_BANQUE_EXPERIMENTALE_120_ITEMS_REVUE_V0_1.</t>
      </text>
    </comment>
    <comment ref="K79" authorId="0" shapeId="0">
      <text>
        <t>Formulation validée à partir du document de relecture : PIP_RIASEC_CLARTE360_BANQUE_EXPERIMENTALE_120_ITEMS_REVUE_V0_1.</t>
      </text>
    </comment>
    <comment ref="K80" authorId="0" shapeId="0">
      <text>
        <t>Formulation validée à partir du document de relecture : PIP_RIASEC_CLARTE360_BANQUE_EXPERIMENTALE_120_ITEMS_REVUE_V0_1.</t>
      </text>
    </comment>
    <comment ref="K81" authorId="0" shapeId="0">
      <text>
        <t>Formulation validée à partir du document de relecture : PIP_RIASEC_CLARTE360_BANQUE_EXPERIMENTALE_120_ITEMS_REVUE_V0_1.</t>
      </text>
    </comment>
    <comment ref="K82" authorId="0" shapeId="0">
      <text>
        <t>Formulation validée à partir du document de relecture : PIP_RIASEC_CLARTE360_BANQUE_EXPERIMENTALE_120_ITEMS_REVUE_V0_1.</t>
      </text>
    </comment>
    <comment ref="K83" authorId="0" shapeId="0">
      <text>
        <t>Formulation validée à partir du document de relecture : PIP_RIASEC_CLARTE360_BANQUE_EXPERIMENTALE_120_ITEMS_REVUE_V0_1.</t>
      </text>
    </comment>
    <comment ref="K84" authorId="0" shapeId="0">
      <text>
        <t>Formulation validée à partir du document de relecture : PIP_RIASEC_CLARTE360_BANQUE_EXPERIMENTALE_120_ITEMS_REVUE_V0_1.</t>
      </text>
    </comment>
    <comment ref="K85" authorId="0" shapeId="0">
      <text>
        <t>Formulation validée à partir du document de relecture : PIP_RIASEC_CLARTE360_BANQUE_EXPERIMENTALE_120_ITEMS_REVUE_V0_1.</t>
      </text>
    </comment>
    <comment ref="K86" authorId="0" shapeId="0">
      <text>
        <t>Formulation validée à partir du document de relecture : PIP_RIASEC_CLARTE360_BANQUE_EXPERIMENTALE_120_ITEMS_REVUE_V0_1.</t>
      </text>
    </comment>
    <comment ref="K87" authorId="0" shapeId="0">
      <text>
        <t>Formulation validée à partir du document de relecture : PIP_RIASEC_CLARTE360_BANQUE_EXPERIMENTALE_120_ITEMS_REVUE_V0_1.</t>
      </text>
    </comment>
    <comment ref="K88" authorId="0" shapeId="0">
      <text>
        <t>Formulation validée à partir du document de relecture : PIP_RIASEC_CLARTE360_BANQUE_EXPERIMENTALE_120_ITEMS_REVUE_V0_1.</t>
      </text>
    </comment>
    <comment ref="K89" authorId="0" shapeId="0">
      <text>
        <t>Formulation validée à partir du document de relecture : PIP_RIASEC_CLARTE360_BANQUE_EXPERIMENTALE_120_ITEMS_REVUE_V0_1.</t>
      </text>
    </comment>
    <comment ref="K90" authorId="0" shapeId="0">
      <text>
        <t>Formulation validée à partir du document de relecture : PIP_RIASEC_CLARTE360_BANQUE_EXPERIMENTALE_120_ITEMS_REVUE_V0_1.</t>
      </text>
    </comment>
    <comment ref="K91" authorId="0" shapeId="0">
      <text>
        <t>Formulation validée à partir du document de relecture : PIP_RIASEC_CLARTE360_BANQUE_EXPERIMENTALE_120_ITEMS_REVUE_V0_1.</t>
      </text>
    </comment>
    <comment ref="K92" authorId="0" shapeId="0">
      <text>
        <t>Formulation validée à partir du document de relecture : PIP_RIASEC_CLARTE360_BANQUE_EXPERIMENTALE_120_ITEMS_REVUE_V0_1.</t>
      </text>
    </comment>
    <comment ref="K93" authorId="0" shapeId="0">
      <text>
        <t>Formulation validée à partir du document de relecture : PIP_RIASEC_CLARTE360_BANQUE_EXPERIMENTALE_120_ITEMS_REVUE_V0_1.</t>
      </text>
    </comment>
    <comment ref="K94" authorId="0" shapeId="0">
      <text>
        <t>Formulation validée à partir du document de relecture : PIP_RIASEC_CLARTE360_BANQUE_EXPERIMENTALE_120_ITEMS_REVUE_V0_1.</t>
      </text>
    </comment>
    <comment ref="K95" authorId="0" shapeId="0">
      <text>
        <t>Formulation validée à partir du document de relecture : PIP_RIASEC_CLARTE360_BANQUE_EXPERIMENTALE_120_ITEMS_REVUE_V0_1.</t>
      </text>
    </comment>
    <comment ref="K96" authorId="0" shapeId="0">
      <text>
        <t>Formulation validée à partir du document de relecture : PIP_RIASEC_CLARTE360_BANQUE_EXPERIMENTALE_120_ITEMS_REVUE_V0_1.</t>
      </text>
    </comment>
    <comment ref="K97" authorId="0" shapeId="0">
      <text>
        <t>Formulation validée à partir du document de relecture : PIP_RIASEC_CLARTE360_BANQUE_EXPERIMENTALE_120_ITEMS_REVUE_V0_1.</t>
      </text>
    </comment>
    <comment ref="K98" authorId="0" shapeId="0">
      <text>
        <t>Formulation validée à partir du document de relecture : PIP_RIASEC_CLARTE360_BANQUE_EXPERIMENTALE_120_ITEMS_REVUE_V0_1.</t>
      </text>
    </comment>
    <comment ref="K99" authorId="0" shapeId="0">
      <text>
        <t>Formulation validée à partir du document de relecture : PIP_RIASEC_CLARTE360_BANQUE_EXPERIMENTALE_120_ITEMS_REVUE_V0_1.</t>
      </text>
    </comment>
    <comment ref="K100" authorId="0" shapeId="0">
      <text>
        <t>Formulation validée à partir du document de relecture : PIP_RIASEC_CLARTE360_BANQUE_EXPERIMENTALE_120_ITEMS_REVUE_V0_1.</t>
      </text>
    </comment>
    <comment ref="K101" authorId="0" shapeId="0">
      <text>
        <t>Formulation validée à partir du document de relecture : PIP_RIASEC_CLARTE360_BANQUE_EXPERIMENTALE_120_ITEMS_REVUE_V0_1.</t>
      </text>
    </comment>
    <comment ref="K102" authorId="0" shapeId="0">
      <text>
        <t>Formulation validée à partir du document de relecture : PIP_RIASEC_CLARTE360_BANQUE_EXPERIMENTALE_120_ITEMS_REVUE_V0_1.</t>
      </text>
    </comment>
    <comment ref="K103" authorId="0" shapeId="0">
      <text>
        <t>Formulation validée à partir du document de relecture : PIP_RIASEC_CLARTE360_BANQUE_EXPERIMENTALE_120_ITEMS_REVUE_V0_1.</t>
      </text>
    </comment>
    <comment ref="K104" authorId="0" shapeId="0">
      <text>
        <t>Formulation validée à partir du document de relecture : PIP_RIASEC_CLARTE360_BANQUE_EXPERIMENTALE_120_ITEMS_REVUE_V0_1.</t>
      </text>
    </comment>
    <comment ref="K105" authorId="0" shapeId="0">
      <text>
        <t>Formulation validée à partir du document de relecture : PIP_RIASEC_CLARTE360_BANQUE_EXPERIMENTALE_120_ITEMS_REVUE_V0_1.</t>
      </text>
    </comment>
    <comment ref="K106" authorId="0" shapeId="0">
      <text>
        <t>Formulation validée à partir du document de relecture : PIP_RIASEC_CLARTE360_BANQUE_EXPERIMENTALE_120_ITEMS_REVUE_V0_1.</t>
      </text>
    </comment>
    <comment ref="K107" authorId="0" shapeId="0">
      <text>
        <t>Formulation validée à partir du document de relecture : PIP_RIASEC_CLARTE360_BANQUE_EXPERIMENTALE_120_ITEMS_REVUE_V0_1.</t>
      </text>
    </comment>
    <comment ref="K108" authorId="0" shapeId="0">
      <text>
        <t>Formulation validée à partir du document de relecture : PIP_RIASEC_CLARTE360_BANQUE_EXPERIMENTALE_120_ITEMS_REVUE_V0_1.</t>
      </text>
    </comment>
    <comment ref="K109" authorId="0" shapeId="0">
      <text>
        <t>Formulation validée à partir du document de relecture : PIP_RIASEC_CLARTE360_BANQUE_EXPERIMENTALE_120_ITEMS_REVUE_V0_1.</t>
      </text>
    </comment>
    <comment ref="K110" authorId="0" shapeId="0">
      <text>
        <t>Formulation validée à partir du document de relecture : PIP_RIASEC_CLARTE360_BANQUE_EXPERIMENTALE_120_ITEMS_REVUE_V0_1.</t>
      </text>
    </comment>
    <comment ref="K111" authorId="0" shapeId="0">
      <text>
        <t>Formulation validée à partir du document de relecture : PIP_RIASEC_CLARTE360_BANQUE_EXPERIMENTALE_120_ITEMS_REVUE_V0_1.</t>
      </text>
    </comment>
    <comment ref="K112" authorId="0" shapeId="0">
      <text>
        <t>Formulation validée à partir du document de relecture : PIP_RIASEC_CLARTE360_BANQUE_EXPERIMENTALE_120_ITEMS_REVUE_V0_1.</t>
      </text>
    </comment>
    <comment ref="K113" authorId="0" shapeId="0">
      <text>
        <t>Formulation validée à partir du document de relecture : PIP_RIASEC_CLARTE360_BANQUE_EXPERIMENTALE_120_ITEMS_REVUE_V0_1.</t>
      </text>
    </comment>
    <comment ref="K114" authorId="0" shapeId="0">
      <text>
        <t>Formulation validée à partir du document de relecture : PIP_RIASEC_CLARTE360_BANQUE_EXPERIMENTALE_120_ITEMS_REVUE_V0_1.</t>
      </text>
    </comment>
    <comment ref="K115" authorId="0" shapeId="0">
      <text>
        <t>Formulation validée à partir du document de relecture : PIP_RIASEC_CLARTE360_BANQUE_EXPERIMENTALE_120_ITEMS_REVUE_V0_1.</t>
      </text>
    </comment>
    <comment ref="K116" authorId="0" shapeId="0">
      <text>
        <t>Formulation validée à partir du document de relecture : PIP_RIASEC_CLARTE360_BANQUE_EXPERIMENTALE_120_ITEMS_REVUE_V0_1.</t>
      </text>
    </comment>
    <comment ref="K117" authorId="0" shapeId="0">
      <text>
        <t>Formulation validée à partir du document de relecture : PIP_RIASEC_CLARTE360_BANQUE_EXPERIMENTALE_120_ITEMS_REVUE_V0_1.</t>
      </text>
    </comment>
    <comment ref="K118" authorId="0" shapeId="0">
      <text>
        <t>Formulation validée à partir du document de relecture : PIP_RIASEC_CLARTE360_BANQUE_EXPERIMENTALE_120_ITEMS_REVUE_V0_1.</t>
      </text>
    </comment>
    <comment ref="K119" authorId="0" shapeId="0">
      <text>
        <t>Formulation validée à partir du document de relecture : PIP_RIASEC_CLARTE360_BANQUE_EXPERIMENTALE_120_ITEMS_REVUE_V0_1.</t>
      </text>
    </comment>
    <comment ref="K120" authorId="0" shapeId="0">
      <text>
        <t>Formulation validée à partir du document de relecture : PIP_RIASEC_CLARTE360_BANQUE_EXPERIMENTALE_120_ITEMS_REVUE_V0_1.</t>
      </text>
    </comment>
    <comment ref="K121" authorId="0" shapeId="0">
      <text>
        <t>Formulation validée à partir du document de relecture : PIP_RIASEC_CLARTE360_BANQUE_EXPERIMENTALE_120_ITEMS_REVUE_V0_1.</t>
      </text>
    </comment>
    <comment ref="K122" authorId="0" shapeId="0">
      <text>
        <t>Formulation validée à partir du document de relecture : PIP_RIASEC_CLARTE360_BANQUE_EXPERIMENTALE_120_ITEMS_REVUE_V0_1.</t>
      </text>
    </comment>
    <comment ref="K123" authorId="0" shapeId="0">
      <text>
        <t>Formulation validée à partir du document de relecture : PIP_RIASEC_CLARTE360_BANQUE_EXPERIMENTALE_120_ITEMS_REVUE_V0_1.</t>
      </text>
    </comment>
    <comment ref="K124" authorId="0" shapeId="0">
      <text>
        <t>Formulation validée à partir du document de relecture : PIP_RIASEC_CLARTE360_BANQUE_EXPERIMENTALE_120_ITEMS_REVUE_V0_1.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H24"/>
  <sheetViews>
    <sheetView showGridLines="0" tabSelected="1" zoomScale="85" workbookViewId="0">
      <pane ySplit="3" topLeftCell="A4" activePane="bottomLeft" state="frozen"/>
      <selection pane="bottomLeft" activeCell="A1" sqref="A1:H1"/>
    </sheetView>
  </sheetViews>
  <sheetFormatPr baseColWidth="10" defaultColWidth="8.88671875" defaultRowHeight="14.4"/>
  <cols>
    <col width="34" customWidth="1" style="34" min="1" max="1"/>
    <col width="85" customWidth="1" style="34" min="2" max="2"/>
    <col width="85" customWidth="1" style="34" min="4" max="4"/>
  </cols>
  <sheetData>
    <row r="1" ht="25.95" customHeight="1" s="34">
      <c r="A1" s="35" t="inlineStr">
        <is>
          <t>CLARTÉ360 — TABLEUR MAÎTRE PIP RIASEC</t>
        </is>
      </c>
    </row>
    <row r="2" ht="30" customHeight="1" s="34">
      <c r="A2" s="33" t="inlineStr">
        <is>
          <t>V0.4 — Revue de contextualisation des 120 items + journal de recette L1 | formulations source conservées | exemples distincts du scoring</t>
        </is>
      </c>
    </row>
    <row r="4" ht="30" customHeight="1" s="34">
      <c r="A4" s="1" t="inlineStr">
        <is>
          <t>Champ</t>
        </is>
      </c>
      <c r="B4" s="1" t="inlineStr">
        <is>
          <t>Valeur</t>
        </is>
      </c>
      <c r="C4" s="40" t="n"/>
      <c r="D4" s="40" t="inlineStr">
        <is>
          <t>Mode d’emploi</t>
        </is>
      </c>
      <c r="E4" s="40" t="n"/>
      <c r="F4" s="40" t="n"/>
      <c r="G4" s="40" t="n"/>
      <c r="H4" s="40" t="n"/>
    </row>
    <row r="5">
      <c r="A5" s="3" t="inlineStr">
        <is>
          <t>Nom</t>
        </is>
      </c>
      <c r="B5" s="4" t="inlineStr">
        <is>
          <t>CLARTE360_PIP_RIASEC_TABLEUR_MAITRE</t>
        </is>
      </c>
      <c r="D5" s="5" t="inlineStr">
        <is>
          <t>1. Rédiger les items dans QUESTIONS sans modifier les IDs.</t>
        </is>
      </c>
    </row>
    <row r="6">
      <c r="A6" s="3" t="inlineStr">
        <is>
          <t>Version tableur</t>
        </is>
      </c>
      <c r="B6" s="6" t="inlineStr">
        <is>
          <t>0.4</t>
        </is>
      </c>
      <c r="D6" s="5" t="inlineStr">
        <is>
          <t>2. Passer les risques/biais de A_EVALUER à FAIBLE/MOYEN/ELEVE après revue.</t>
        </is>
      </c>
    </row>
    <row r="7" ht="28.8" customHeight="1" s="34">
      <c r="A7" s="3" t="inlineStr">
        <is>
          <t>Statut</t>
        </is>
      </c>
      <c r="B7" s="6" t="inlineStr">
        <is>
          <t>BANQUE EXPÉRIMENTALE QUALIFIÉE — 120 items au statut PILOTE ; validation empirique à poursuivre</t>
        </is>
      </c>
      <c r="D7" s="5" t="inlineStr">
        <is>
          <t>3. Changer le statut BROUILLON → REVU → PILOTE → ACTIF selon validation.</t>
        </is>
      </c>
    </row>
    <row r="8">
      <c r="A8" s="3" t="inlineStr">
        <is>
          <t>Date</t>
        </is>
      </c>
      <c r="B8" s="4" t="inlineStr">
        <is>
          <t>10/09/2026</t>
        </is>
      </c>
      <c r="D8" s="5" t="inlineStr">
        <is>
          <t>4. Contrôler PARAMETRES : tous les contrôles critiques doivent être OK avant export.</t>
        </is>
      </c>
    </row>
    <row r="9">
      <c r="A9" s="3" t="inlineStr">
        <is>
          <t>Référentiel méthodologique</t>
        </is>
      </c>
      <c r="B9" s="4" t="inlineStr">
        <is>
          <t>REFERENTIEL_METHODOLOGIQUE_PIP_RIASEC_CLARTE360_V1_0.docx</t>
        </is>
      </c>
      <c r="D9" s="5" t="inlineStr">
        <is>
          <t>5. L’application utilisera un export JSON/versionné ; le classeur reste la source métier.</t>
        </is>
      </c>
    </row>
    <row r="10">
      <c r="A10" s="3" t="inlineStr">
        <is>
          <t>CDC</t>
        </is>
      </c>
      <c r="B10" s="4" t="inlineStr">
        <is>
          <t>CDC_PIP_RIASEC_CLARTE360_ONET_V1_4.docx</t>
        </is>
      </c>
      <c r="D10" s="5" t="inlineStr">
        <is>
          <t>6. O*NET est appelé via API officielle ; seule la configuration non secrète figure dans ONET_CONFIG.</t>
        </is>
      </c>
    </row>
    <row r="11">
      <c r="A11" s="3" t="inlineStr">
        <is>
          <t>Banque cible expérimentale</t>
        </is>
      </c>
      <c r="B11" s="4" t="inlineStr">
        <is>
          <t>120 emplacements candidats : 20 par dimension, 4 par facette</t>
        </is>
      </c>
      <c r="D11" t="inlineStr">
        <is>
          <t>7. La formulation source reste inchangée tant qu’une décision méthodologique explicite n’est pas prise.</t>
        </is>
      </c>
    </row>
    <row r="12">
      <c r="A12" s="3" t="inlineStr">
        <is>
          <t>Version finale visée</t>
        </is>
      </c>
      <c r="B12" s="4" t="inlineStr">
        <is>
          <t>60 à 72 items après validation progressive</t>
        </is>
      </c>
      <c r="D12" t="inlineStr">
        <is>
          <t>8. Les exemples de contextualisation sont gérés dans CONTEXTUALISATION et ne participent jamais au scoring.</t>
        </is>
      </c>
    </row>
    <row r="13">
      <c r="A13" s="3" t="inlineStr">
        <is>
          <t>Scoring PIP</t>
        </is>
      </c>
      <c r="B13" s="4" t="inlineStr">
        <is>
          <t>Réponse 1–5, moyenne par dimension, indice = 25 × (moyenne − 1)</t>
        </is>
      </c>
      <c r="D13" t="inlineStr">
        <is>
          <t>9. Toute modification d’exemple doit être revue pour hybridité, désirabilité et familiarité sectorielle.</t>
        </is>
      </c>
    </row>
    <row r="14" ht="28.8" customHeight="1" s="34">
      <c r="A14" s="3" t="inlineStr">
        <is>
          <t>O*NET</t>
        </is>
      </c>
      <c r="B14" s="4" t="inlineStr">
        <is>
          <t>Instrument externe distinct ; cible d’intégration via O*NET Web Services API. Aucun item O*NET ni clé API dans ce classeur.</t>
        </is>
      </c>
      <c r="D14" t="inlineStr">
        <is>
          <t>10. Les anomalies issues de la recette réelle sont suivies dans RECETTE_L1.</t>
        </is>
      </c>
    </row>
    <row r="15" ht="28.8" customHeight="1" s="34">
      <c r="A15" s="3" t="inlineStr">
        <is>
          <t>Sécurité</t>
        </is>
      </c>
      <c r="B15" s="4" t="inlineStr">
        <is>
          <t>Classeur et exports côté serveur / dépôt privé. Jamais exposer mapping, scoring ou banque complète au navigateur.</t>
        </is>
      </c>
    </row>
    <row r="16" ht="28.8" customHeight="1" s="34">
      <c r="A16" s="3" t="inlineStr">
        <is>
          <t>Règle de source de vérité</t>
        </is>
      </c>
      <c r="B16" s="4" t="inlineStr">
        <is>
          <t>Le tableur maître est éditable ; l’application consomme un export contrôlé/versionné et ne devient pas une seconde source de vérité.</t>
        </is>
      </c>
    </row>
    <row r="19">
      <c r="A19" s="40" t="inlineStr">
        <is>
          <t>Sources externes de référence</t>
        </is>
      </c>
    </row>
    <row r="20">
      <c r="A20" s="7" t="inlineStr">
        <is>
          <t>https://www.onetcenter.org/IP.html</t>
        </is>
      </c>
    </row>
    <row r="21">
      <c r="A21" s="7" t="inlineStr">
        <is>
          <t>https://services.onetcenter.org/</t>
        </is>
      </c>
    </row>
    <row r="22">
      <c r="A22" s="7" t="inlineStr">
        <is>
          <t>https://www.onetcenter.org/license_tools.html</t>
        </is>
      </c>
    </row>
    <row r="23">
      <c r="A23" s="7" t="inlineStr">
        <is>
          <t>https://www.onetcenter.org/reports/IP_Manual.html</t>
        </is>
      </c>
    </row>
    <row r="24">
      <c r="A24" s="7" t="inlineStr">
        <is>
          <t>https://www.onetcenter.org/reports/Voc_Interests.html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4" min="1" max="1"/>
    <col width="28" customWidth="1" style="34" min="2" max="2"/>
    <col width="12" customWidth="1" style="34" min="3" max="3"/>
    <col width="18" customWidth="1" style="34" min="4" max="4"/>
    <col width="12" customWidth="1" style="34" min="5" max="5"/>
    <col width="12" customWidth="1" style="34" min="6" max="6"/>
    <col width="10" customWidth="1" style="34" min="7" max="7"/>
    <col width="55" customWidth="1" style="34" min="8" max="8"/>
    <col width="70" customWidth="1" style="34" min="9" max="9"/>
    <col width="22" customWidth="1" style="34" min="10" max="10"/>
    <col width="55" customWidth="1" style="34" min="11" max="11"/>
    <col width="18" customWidth="1" style="34" min="12" max="12"/>
    <col width="20" customWidth="1" style="34" min="13" max="13"/>
    <col width="24" customWidth="1" style="34" min="14" max="14"/>
  </cols>
  <sheetData>
    <row r="1">
      <c r="A1" s="42" t="inlineStr">
        <is>
          <t>ordre</t>
        </is>
      </c>
      <c r="B1" s="42" t="inlineStr">
        <is>
          <t>item_id_source</t>
        </is>
      </c>
      <c r="C1" s="42" t="inlineStr">
        <is>
          <t>item_version</t>
        </is>
      </c>
      <c r="D1" s="42" t="inlineStr">
        <is>
          <t>bank_version</t>
        </is>
      </c>
      <c r="E1" s="42" t="inlineStr">
        <is>
          <t>dimension</t>
        </is>
      </c>
      <c r="F1" s="42" t="inlineStr">
        <is>
          <t>facette</t>
        </is>
      </c>
      <c r="G1" s="42" t="inlineStr">
        <is>
          <t>bloc</t>
        </is>
      </c>
      <c r="H1" s="42" t="inlineStr">
        <is>
          <t>formulation_v0_4</t>
        </is>
      </c>
      <c r="I1" s="42" t="inlineStr">
        <is>
          <t>formulation_v0_5_concrete</t>
        </is>
      </c>
      <c r="J1" s="42" t="inlineStr">
        <is>
          <t>decision</t>
        </is>
      </c>
      <c r="K1" s="42" t="inlineStr">
        <is>
          <t>justification_selection</t>
        </is>
      </c>
      <c r="L1" s="42" t="inlineStr">
        <is>
          <t>risque_hybridite</t>
        </is>
      </c>
      <c r="M1" s="42" t="inlineStr">
        <is>
          <t>risque_desirabilite</t>
        </is>
      </c>
      <c r="N1" s="42" t="inlineStr">
        <is>
          <t>risque_familiarite_sectorielle</t>
        </is>
      </c>
    </row>
    <row r="2">
      <c r="A2" s="9" t="n">
        <v>1</v>
      </c>
      <c r="B2" s="9" t="inlineStr">
        <is>
          <t>PIP-ACT-R-R1-001</t>
        </is>
      </c>
      <c r="C2" s="9" t="inlineStr">
        <is>
          <t>0.5</t>
        </is>
      </c>
      <c r="D2" s="9" t="inlineStr">
        <is>
          <t>PIP-BANK-0.4</t>
        </is>
      </c>
      <c r="E2" s="9" t="inlineStr">
        <is>
          <t>R</t>
        </is>
      </c>
      <c r="F2" s="9" t="inlineStr">
        <is>
          <t>R1</t>
        </is>
      </c>
      <c r="G2" s="9" t="inlineStr">
        <is>
          <t>ACT</t>
        </is>
      </c>
      <c r="H2" s="9" t="inlineStr">
        <is>
          <t>Assembler des éléments pour fabriquer un objet fonctionnel.</t>
        </is>
      </c>
      <c r="I2" s="9" t="inlineStr">
        <is>
          <t>Assembler les pièces d’un petit meuble ou d’un support pour qu’il soit solide et utilisable.</t>
        </is>
      </c>
      <c r="J2" s="9" t="inlineStr">
        <is>
          <t>RETENU</t>
        </is>
      </c>
      <c r="K2" s="9" t="inlineStr">
        <is>
          <t>Couverture de facette + activité observable ; priorité ACT, complétée par SIT à faible risque.</t>
        </is>
      </c>
      <c r="L2" s="9" t="inlineStr">
        <is>
          <t>FAIBLE</t>
        </is>
      </c>
      <c r="M2" s="9" t="inlineStr">
        <is>
          <t>FAIBLE</t>
        </is>
      </c>
      <c r="N2" s="9" t="inlineStr">
        <is>
          <t>MOYEN</t>
        </is>
      </c>
    </row>
    <row r="3">
      <c r="A3" s="9" t="n">
        <v>2</v>
      </c>
      <c r="B3" s="9" t="inlineStr">
        <is>
          <t>PIP-ACT-R-R1-002</t>
        </is>
      </c>
      <c r="C3" s="9" t="inlineStr">
        <is>
          <t>0.5</t>
        </is>
      </c>
      <c r="D3" s="9" t="inlineStr">
        <is>
          <t>PIP-BANK-0.4</t>
        </is>
      </c>
      <c r="E3" s="9" t="inlineStr">
        <is>
          <t>R</t>
        </is>
      </c>
      <c r="F3" s="9" t="inlineStr">
        <is>
          <t>R1</t>
        </is>
      </c>
      <c r="G3" s="9" t="inlineStr">
        <is>
          <t>ACT</t>
        </is>
      </c>
      <c r="H3" s="9" t="inlineStr">
        <is>
          <t>Transformer une matière ou un matériau pour lui donner une forme utile.</t>
        </is>
      </c>
      <c r="I3" s="9" t="inlineStr">
        <is>
          <t>Travailler du bois, du métal ou un autre matériau pour obtenir une pièce ayant une fonction précise.</t>
        </is>
      </c>
      <c r="J3" s="9" t="inlineStr">
        <is>
          <t>RETENU</t>
        </is>
      </c>
      <c r="K3" s="9" t="inlineStr">
        <is>
          <t>Couverture de facette + activité observable ; priorité ACT, complétée par SIT à faible risque.</t>
        </is>
      </c>
      <c r="L3" s="9" t="inlineStr">
        <is>
          <t>FAIBLE</t>
        </is>
      </c>
      <c r="M3" s="9" t="inlineStr">
        <is>
          <t>FAIBLE</t>
        </is>
      </c>
      <c r="N3" s="9" t="inlineStr">
        <is>
          <t>MOYEN</t>
        </is>
      </c>
    </row>
    <row r="4">
      <c r="A4" s="9" t="n">
        <v>3</v>
      </c>
      <c r="B4" s="9" t="inlineStr">
        <is>
          <t>PIP-SIT-R-R1-003</t>
        </is>
      </c>
      <c r="C4" s="9" t="inlineStr">
        <is>
          <t>0.5</t>
        </is>
      </c>
      <c r="D4" s="9" t="inlineStr">
        <is>
          <t>PIP-BANK-0.4</t>
        </is>
      </c>
      <c r="E4" s="9" t="inlineStr">
        <is>
          <t>R</t>
        </is>
      </c>
      <c r="F4" s="9" t="inlineStr">
        <is>
          <t>R1</t>
        </is>
      </c>
      <c r="G4" s="9" t="inlineStr">
        <is>
          <t>SIT</t>
        </is>
      </c>
      <c r="H4" s="9" t="inlineStr">
        <is>
          <t>Prendre en charge la réalisation concrète d’un objet ou d’une structure à partir d’éléments séparés.</t>
        </is>
      </c>
      <c r="I4" s="9" t="inlineStr">
        <is>
          <t>À partir de pièces séparées, réaliser concrètement une étagère, un présentoir ou une petite structure.</t>
        </is>
      </c>
      <c r="J4" s="9" t="inlineStr">
        <is>
          <t>RETENU</t>
        </is>
      </c>
      <c r="K4" s="9" t="inlineStr">
        <is>
          <t>Couverture de facette + activité observable ; priorité ACT, complétée par SIT à faible risque.</t>
        </is>
      </c>
      <c r="L4" s="9" t="inlineStr">
        <is>
          <t>FAIBLE</t>
        </is>
      </c>
      <c r="M4" s="9" t="inlineStr">
        <is>
          <t>FAIBLE</t>
        </is>
      </c>
      <c r="N4" s="9" t="inlineStr">
        <is>
          <t>MOYEN</t>
        </is>
      </c>
    </row>
    <row r="5">
      <c r="A5" s="9" t="n">
        <v>4</v>
      </c>
      <c r="B5" s="9" t="inlineStr">
        <is>
          <t>PIP-ACT-R-R2-005</t>
        </is>
      </c>
      <c r="C5" s="9" t="inlineStr">
        <is>
          <t>0.5</t>
        </is>
      </c>
      <c r="D5" s="9" t="inlineStr">
        <is>
          <t>PIP-BANK-0.4</t>
        </is>
      </c>
      <c r="E5" s="9" t="inlineStr">
        <is>
          <t>R</t>
        </is>
      </c>
      <c r="F5" s="9" t="inlineStr">
        <is>
          <t>R2</t>
        </is>
      </c>
      <c r="G5" s="9" t="inlineStr">
        <is>
          <t>ACT</t>
        </is>
      </c>
      <c r="H5" s="9" t="inlineStr">
        <is>
          <t>Installer un équipement pour qu’il soit prêt à fonctionner.</t>
        </is>
      </c>
      <c r="I5" s="9" t="inlineStr">
        <is>
          <t>Installer un poste de travail, un appareil ou un équipement puis vérifier qu’il fonctionne.</t>
        </is>
      </c>
      <c r="J5" s="9" t="inlineStr">
        <is>
          <t>RETENU</t>
        </is>
      </c>
      <c r="K5" s="9" t="inlineStr">
        <is>
          <t>Couverture de facette + activité observable ; priorité ACT, complétée par SIT à faible risque.</t>
        </is>
      </c>
      <c r="L5" s="9" t="inlineStr">
        <is>
          <t>FAIBLE</t>
        </is>
      </c>
      <c r="M5" s="9" t="inlineStr">
        <is>
          <t>FAIBLE</t>
        </is>
      </c>
      <c r="N5" s="9" t="inlineStr">
        <is>
          <t>MOYEN</t>
        </is>
      </c>
    </row>
    <row r="6">
      <c r="A6" s="9" t="n">
        <v>5</v>
      </c>
      <c r="B6" s="9" t="inlineStr">
        <is>
          <t>PIP-ACT-R-R2-006</t>
        </is>
      </c>
      <c r="C6" s="9" t="inlineStr">
        <is>
          <t>0.5</t>
        </is>
      </c>
      <c r="D6" s="9" t="inlineStr">
        <is>
          <t>PIP-BANK-0.4</t>
        </is>
      </c>
      <c r="E6" s="9" t="inlineStr">
        <is>
          <t>R</t>
        </is>
      </c>
      <c r="F6" s="9" t="inlineStr">
        <is>
          <t>R2</t>
        </is>
      </c>
      <c r="G6" s="9" t="inlineStr">
        <is>
          <t>ACT</t>
        </is>
      </c>
      <c r="H6" s="9" t="inlineStr">
        <is>
          <t>Réparer un matériel qui ne fonctionne plus correctement.</t>
        </is>
      </c>
      <c r="I6" s="9" t="inlineStr">
        <is>
          <t>Rechercher la panne d’un appareil simple puis intervenir concrètement pour le remettre en service.</t>
        </is>
      </c>
      <c r="J6" s="9" t="inlineStr">
        <is>
          <t>RETENU</t>
        </is>
      </c>
      <c r="K6" s="9" t="inlineStr">
        <is>
          <t>Couverture de facette + activité observable ; priorité ACT, complétée par SIT à faible risque.</t>
        </is>
      </c>
      <c r="L6" s="9" t="inlineStr">
        <is>
          <t>MOYEN</t>
        </is>
      </c>
      <c r="M6" s="9" t="inlineStr">
        <is>
          <t>FAIBLE</t>
        </is>
      </c>
      <c r="N6" s="9" t="inlineStr">
        <is>
          <t>MOYEN</t>
        </is>
      </c>
    </row>
    <row r="7">
      <c r="A7" s="9" t="n">
        <v>6</v>
      </c>
      <c r="B7" s="9" t="inlineStr">
        <is>
          <t>PIP-ACT-R-R3-009</t>
        </is>
      </c>
      <c r="C7" s="9" t="inlineStr">
        <is>
          <t>0.5</t>
        </is>
      </c>
      <c r="D7" s="9" t="inlineStr">
        <is>
          <t>PIP-BANK-0.4</t>
        </is>
      </c>
      <c r="E7" s="9" t="inlineStr">
        <is>
          <t>R</t>
        </is>
      </c>
      <c r="F7" s="9" t="inlineStr">
        <is>
          <t>R3</t>
        </is>
      </c>
      <c r="G7" s="9" t="inlineStr">
        <is>
          <t>ACT</t>
        </is>
      </c>
      <c r="H7" s="9" t="inlineStr">
        <is>
          <t>Utiliser des outils pour réaliser une tâche concrète avec précision.</t>
        </is>
      </c>
      <c r="I7" s="9" t="inlineStr">
        <is>
          <t>Utiliser des outils de mesure et des outils manuels pour réaliser un montage avec précision.</t>
        </is>
      </c>
      <c r="J7" s="9" t="inlineStr">
        <is>
          <t>RETENU</t>
        </is>
      </c>
      <c r="K7" s="9" t="inlineStr">
        <is>
          <t>Couverture de facette + activité observable ; priorité ACT, complétée par SIT à faible risque.</t>
        </is>
      </c>
      <c r="L7" s="9" t="inlineStr">
        <is>
          <t>FAIBLE</t>
        </is>
      </c>
      <c r="M7" s="9" t="inlineStr">
        <is>
          <t>FAIBLE</t>
        </is>
      </c>
      <c r="N7" s="9" t="inlineStr">
        <is>
          <t>MOYEN</t>
        </is>
      </c>
    </row>
    <row r="8">
      <c r="A8" s="9" t="n">
        <v>7</v>
      </c>
      <c r="B8" s="9" t="inlineStr">
        <is>
          <t>PIP-ACT-R-R3-010</t>
        </is>
      </c>
      <c r="C8" s="9" t="inlineStr">
        <is>
          <t>0.5</t>
        </is>
      </c>
      <c r="D8" s="9" t="inlineStr">
        <is>
          <t>PIP-BANK-0.4</t>
        </is>
      </c>
      <c r="E8" s="9" t="inlineStr">
        <is>
          <t>R</t>
        </is>
      </c>
      <c r="F8" s="9" t="inlineStr">
        <is>
          <t>R3</t>
        </is>
      </c>
      <c r="G8" s="9" t="inlineStr">
        <is>
          <t>ACT</t>
        </is>
      </c>
      <c r="H8" s="9" t="inlineStr">
        <is>
          <t>Piloter ou régler une machine pour obtenir le résultat attendu.</t>
        </is>
      </c>
      <c r="I8" s="9" t="inlineStr">
        <is>
          <t>Régler une machine ou un équipement pour obtenir une dimension, une forme ou un résultat précis.</t>
        </is>
      </c>
      <c r="J8" s="9" t="inlineStr">
        <is>
          <t>RETENU</t>
        </is>
      </c>
      <c r="K8" s="9" t="inlineStr">
        <is>
          <t>Couverture de facette + activité observable ; priorité ACT, complétée par SIT à faible risque.</t>
        </is>
      </c>
      <c r="L8" s="9" t="inlineStr">
        <is>
          <t>FAIBLE</t>
        </is>
      </c>
      <c r="M8" s="9" t="inlineStr">
        <is>
          <t>FAIBLE</t>
        </is>
      </c>
      <c r="N8" s="9" t="inlineStr">
        <is>
          <t>MOYEN</t>
        </is>
      </c>
    </row>
    <row r="9">
      <c r="A9" s="9" t="n">
        <v>8</v>
      </c>
      <c r="B9" s="9" t="inlineStr">
        <is>
          <t>PIP-SIT-R-R3-011</t>
        </is>
      </c>
      <c r="C9" s="9" t="inlineStr">
        <is>
          <t>0.5</t>
        </is>
      </c>
      <c r="D9" s="9" t="inlineStr">
        <is>
          <t>PIP-BANK-0.4</t>
        </is>
      </c>
      <c r="E9" s="9" t="inlineStr">
        <is>
          <t>R</t>
        </is>
      </c>
      <c r="F9" s="9" t="inlineStr">
        <is>
          <t>R3</t>
        </is>
      </c>
      <c r="G9" s="9" t="inlineStr">
        <is>
          <t>SIT</t>
        </is>
      </c>
      <c r="H9" s="9" t="inlineStr">
        <is>
          <t>Prendre en charge une tâche qui nécessite de manipuler directement un appareil ou un équipement.</t>
        </is>
      </c>
      <c r="I9" s="9" t="inlineStr">
        <is>
          <t>Réaliser une opération qui demande de manipuler directement un appareil, une machine ou un instrument.</t>
        </is>
      </c>
      <c r="J9" s="9" t="inlineStr">
        <is>
          <t>RETENU</t>
        </is>
      </c>
      <c r="K9" s="9" t="inlineStr">
        <is>
          <t>Couverture de facette + activité observable ; priorité ACT, complétée par SIT à faible risque.</t>
        </is>
      </c>
      <c r="L9" s="9" t="inlineStr">
        <is>
          <t>FAIBLE</t>
        </is>
      </c>
      <c r="M9" s="9" t="inlineStr">
        <is>
          <t>FAIBLE</t>
        </is>
      </c>
      <c r="N9" s="9" t="inlineStr">
        <is>
          <t>MOYEN</t>
        </is>
      </c>
    </row>
    <row r="10">
      <c r="A10" s="9" t="n">
        <v>9</v>
      </c>
      <c r="B10" s="9" t="inlineStr">
        <is>
          <t>PIP-ACT-R-R4-013</t>
        </is>
      </c>
      <c r="C10" s="9" t="inlineStr">
        <is>
          <t>0.5</t>
        </is>
      </c>
      <c r="D10" s="9" t="inlineStr">
        <is>
          <t>PIP-BANK-0.4</t>
        </is>
      </c>
      <c r="E10" s="9" t="inlineStr">
        <is>
          <t>R</t>
        </is>
      </c>
      <c r="F10" s="9" t="inlineStr">
        <is>
          <t>R4</t>
        </is>
      </c>
      <c r="G10" s="9" t="inlineStr">
        <is>
          <t>ACT</t>
        </is>
      </c>
      <c r="H10" s="9" t="inlineStr">
        <is>
          <t>Se rendre sur différents sites pour intervenir directement sur le terrain.</t>
        </is>
      </c>
      <c r="I10" s="9" t="inlineStr">
        <is>
          <t>Se déplacer sur plusieurs sites pour constater une situation et intervenir directement sur place.</t>
        </is>
      </c>
      <c r="J10" s="9" t="inlineStr">
        <is>
          <t>RETENU</t>
        </is>
      </c>
      <c r="K10" s="9" t="inlineStr">
        <is>
          <t>Couverture de facette + activité observable ; priorité ACT, complétée par SIT à faible risque.</t>
        </is>
      </c>
      <c r="L10" s="9" t="inlineStr">
        <is>
          <t>FAIBLE</t>
        </is>
      </c>
      <c r="M10" s="9" t="inlineStr">
        <is>
          <t>FAIBLE</t>
        </is>
      </c>
      <c r="N10" s="9" t="inlineStr">
        <is>
          <t>MOYEN</t>
        </is>
      </c>
    </row>
    <row r="11">
      <c r="A11" s="9" t="n">
        <v>10</v>
      </c>
      <c r="B11" s="9" t="inlineStr">
        <is>
          <t>PIP-ACT-R-R4-014</t>
        </is>
      </c>
      <c r="C11" s="9" t="inlineStr">
        <is>
          <t>0.5</t>
        </is>
      </c>
      <c r="D11" s="9" t="inlineStr">
        <is>
          <t>PIP-BANK-0.4</t>
        </is>
      </c>
      <c r="E11" s="9" t="inlineStr">
        <is>
          <t>R</t>
        </is>
      </c>
      <c r="F11" s="9" t="inlineStr">
        <is>
          <t>R4</t>
        </is>
      </c>
      <c r="G11" s="9" t="inlineStr">
        <is>
          <t>ACT</t>
        </is>
      </c>
      <c r="H11" s="9" t="inlineStr">
        <is>
          <t>Réaliser une activité professionnelle principalement en extérieur.</t>
        </is>
      </c>
      <c r="I11" s="9" t="inlineStr">
        <is>
          <t>Passer l’essentiel de sa journée de travail dehors, sur un chantier, un site naturel ou un espace extérieur.</t>
        </is>
      </c>
      <c r="J11" s="9" t="inlineStr">
        <is>
          <t>RETENU</t>
        </is>
      </c>
      <c r="K11" s="9" t="inlineStr">
        <is>
          <t>Couverture de facette + activité observable ; priorité ACT, complétée par SIT à faible risque.</t>
        </is>
      </c>
      <c r="L11" s="9" t="inlineStr">
        <is>
          <t>FAIBLE</t>
        </is>
      </c>
      <c r="M11" s="9" t="inlineStr">
        <is>
          <t>FAIBLE</t>
        </is>
      </c>
      <c r="N11" s="9" t="inlineStr">
        <is>
          <t>MOYEN</t>
        </is>
      </c>
    </row>
    <row r="12">
      <c r="A12" s="9" t="n">
        <v>11</v>
      </c>
      <c r="B12" s="9" t="inlineStr">
        <is>
          <t>PIP-ACT-R-R5-017</t>
        </is>
      </c>
      <c r="C12" s="9" t="inlineStr">
        <is>
          <t>0.5</t>
        </is>
      </c>
      <c r="D12" s="9" t="inlineStr">
        <is>
          <t>PIP-BANK-0.4</t>
        </is>
      </c>
      <c r="E12" s="9" t="inlineStr">
        <is>
          <t>R</t>
        </is>
      </c>
      <c r="F12" s="9" t="inlineStr">
        <is>
          <t>R5</t>
        </is>
      </c>
      <c r="G12" s="9" t="inlineStr">
        <is>
          <t>ACT</t>
        </is>
      </c>
      <c r="H12" s="9" t="inlineStr">
        <is>
          <t>S’occuper concrètement de plantes ou d’animaux dans le cadre du travail.</t>
        </is>
      </c>
      <c r="I12" s="9" t="inlineStr">
        <is>
          <t>S’occuper concrètement de cultures, de plantes ou d’animaux : nourrir, entretenir, surveiller leur état.</t>
        </is>
      </c>
      <c r="J12" s="9" t="inlineStr">
        <is>
          <t>RETENU</t>
        </is>
      </c>
      <c r="K12" s="9" t="inlineStr">
        <is>
          <t>Couverture de facette + activité observable ; priorité ACT, complétée par SIT à faible risque.</t>
        </is>
      </c>
      <c r="L12" s="9" t="inlineStr">
        <is>
          <t>MOYEN</t>
        </is>
      </c>
      <c r="M12" s="9" t="inlineStr">
        <is>
          <t>FAIBLE</t>
        </is>
      </c>
      <c r="N12" s="9" t="inlineStr">
        <is>
          <t>MOYEN</t>
        </is>
      </c>
    </row>
    <row r="13">
      <c r="A13" s="9" t="n">
        <v>12</v>
      </c>
      <c r="B13" s="9" t="inlineStr">
        <is>
          <t>PIP-ACT-R-R5-018</t>
        </is>
      </c>
      <c r="C13" s="9" t="inlineStr">
        <is>
          <t>0.5</t>
        </is>
      </c>
      <c r="D13" s="9" t="inlineStr">
        <is>
          <t>PIP-BANK-0.4</t>
        </is>
      </c>
      <c r="E13" s="9" t="inlineStr">
        <is>
          <t>R</t>
        </is>
      </c>
      <c r="F13" s="9" t="inlineStr">
        <is>
          <t>R5</t>
        </is>
      </c>
      <c r="G13" s="9" t="inlineStr">
        <is>
          <t>ACT</t>
        </is>
      </c>
      <c r="H13" s="9" t="inlineStr">
        <is>
          <t>Manipuler des matériaux ou des produits pour réaliser une tâche physique utile.</t>
        </is>
      </c>
      <c r="I13" s="9" t="inlineStr">
        <is>
          <t>Manipuler des matériaux, déplacer des éléments ou préparer physiquement des produits pour réaliser une opération utile.</t>
        </is>
      </c>
      <c r="J13" s="9" t="inlineStr">
        <is>
          <t>RETENU</t>
        </is>
      </c>
      <c r="K13" s="9" t="inlineStr">
        <is>
          <t>Couverture de facette + activité observable ; priorité ACT, complétée par SIT à faible risque.</t>
        </is>
      </c>
      <c r="L13" s="9" t="inlineStr">
        <is>
          <t>FAIBLE</t>
        </is>
      </c>
      <c r="M13" s="9" t="inlineStr">
        <is>
          <t>FAIBLE</t>
        </is>
      </c>
      <c r="N13" s="9" t="inlineStr">
        <is>
          <t>MOYEN</t>
        </is>
      </c>
    </row>
    <row r="14">
      <c r="A14" s="9" t="n">
        <v>13</v>
      </c>
      <c r="B14" s="9" t="inlineStr">
        <is>
          <t>PIP-ACT-I-I1-001</t>
        </is>
      </c>
      <c r="C14" s="9" t="inlineStr">
        <is>
          <t>0.5</t>
        </is>
      </c>
      <c r="D14" s="9" t="inlineStr">
        <is>
          <t>PIP-BANK-0.4</t>
        </is>
      </c>
      <c r="E14" s="9" t="inlineStr">
        <is>
          <t>I</t>
        </is>
      </c>
      <c r="F14" s="9" t="inlineStr">
        <is>
          <t>I1</t>
        </is>
      </c>
      <c r="G14" s="9" t="inlineStr">
        <is>
          <t>ACT</t>
        </is>
      </c>
      <c r="H14" s="9" t="inlineStr">
        <is>
          <t>Observer attentivement une situation pour en repérer les caractéristiques importantes.</t>
        </is>
      </c>
      <c r="I14" s="9" t="inlineStr">
        <is>
          <t>Observer un fonctionnement, un phénomène ou une situation et relever les détails importants avant de conclure.</t>
        </is>
      </c>
      <c r="J14" s="9" t="inlineStr">
        <is>
          <t>RETENU</t>
        </is>
      </c>
      <c r="K14" s="9" t="inlineStr">
        <is>
          <t>Couverture de facette + activité observable ; priorité ACT, complétée par SIT à faible risque.</t>
        </is>
      </c>
      <c r="L14" s="9" t="inlineStr">
        <is>
          <t>FAIBLE</t>
        </is>
      </c>
      <c r="M14" s="9" t="inlineStr">
        <is>
          <t>FAIBLE</t>
        </is>
      </c>
      <c r="N14" s="9" t="inlineStr">
        <is>
          <t>FAIBLE</t>
        </is>
      </c>
    </row>
    <row r="15">
      <c r="A15" s="9" t="n">
        <v>14</v>
      </c>
      <c r="B15" s="9" t="inlineStr">
        <is>
          <t>PIP-ACT-I-I1-002</t>
        </is>
      </c>
      <c r="C15" s="9" t="inlineStr">
        <is>
          <t>0.5</t>
        </is>
      </c>
      <c r="D15" s="9" t="inlineStr">
        <is>
          <t>PIP-BANK-0.4</t>
        </is>
      </c>
      <c r="E15" s="9" t="inlineStr">
        <is>
          <t>I</t>
        </is>
      </c>
      <c r="F15" s="9" t="inlineStr">
        <is>
          <t>I1</t>
        </is>
      </c>
      <c r="G15" s="9" t="inlineStr">
        <is>
          <t>ACT</t>
        </is>
      </c>
      <c r="H15" s="9" t="inlineStr">
        <is>
          <t>Comparer plusieurs informations ou observations pour identifier ce qui les distingue.</t>
        </is>
      </c>
      <c r="I15" s="9" t="inlineStr">
        <is>
          <t>Comparer deux séries d’informations ou d’observations pour identifier précisément ce qui diffère.</t>
        </is>
      </c>
      <c r="J15" s="9" t="inlineStr">
        <is>
          <t>RETENU</t>
        </is>
      </c>
      <c r="K15" s="9" t="inlineStr">
        <is>
          <t>Couverture de facette + activité observable ; priorité ACT, complétée par SIT à faible risque.</t>
        </is>
      </c>
      <c r="L15" s="9" t="inlineStr">
        <is>
          <t>FAIBLE</t>
        </is>
      </c>
      <c r="M15" s="9" t="inlineStr">
        <is>
          <t>FAIBLE</t>
        </is>
      </c>
      <c r="N15" s="9" t="inlineStr">
        <is>
          <t>FAIBLE</t>
        </is>
      </c>
    </row>
    <row r="16">
      <c r="A16" s="9" t="n">
        <v>15</v>
      </c>
      <c r="B16" s="9" t="inlineStr">
        <is>
          <t>PIP-SIT-I-I1-003</t>
        </is>
      </c>
      <c r="C16" s="9" t="inlineStr">
        <is>
          <t>0.5</t>
        </is>
      </c>
      <c r="D16" s="9" t="inlineStr">
        <is>
          <t>PIP-BANK-0.4</t>
        </is>
      </c>
      <c r="E16" s="9" t="inlineStr">
        <is>
          <t>I</t>
        </is>
      </c>
      <c r="F16" s="9" t="inlineStr">
        <is>
          <t>I1</t>
        </is>
      </c>
      <c r="G16" s="9" t="inlineStr">
        <is>
          <t>SIT</t>
        </is>
      </c>
      <c r="H16" s="9" t="inlineStr">
        <is>
          <t>Examiner une situation nouvelle afin de comprendre précisément ce qui s’y passe.</t>
        </is>
      </c>
      <c r="I16" s="9" t="inlineStr">
        <is>
          <t>Face à une situation inhabituelle, prendre le temps d’examiner les faits avant d’avancer une explication.</t>
        </is>
      </c>
      <c r="J16" s="9" t="inlineStr">
        <is>
          <t>RETENU</t>
        </is>
      </c>
      <c r="K16" s="9" t="inlineStr">
        <is>
          <t>Couverture de facette + activité observable ; priorité ACT, complétée par SIT à faible risque.</t>
        </is>
      </c>
      <c r="L16" s="9" t="inlineStr">
        <is>
          <t>FAIBLE</t>
        </is>
      </c>
      <c r="M16" s="9" t="inlineStr">
        <is>
          <t>FAIBLE</t>
        </is>
      </c>
      <c r="N16" s="9" t="inlineStr">
        <is>
          <t>FAIBLE</t>
        </is>
      </c>
    </row>
    <row r="17">
      <c r="A17" s="9" t="n">
        <v>16</v>
      </c>
      <c r="B17" s="9" t="inlineStr">
        <is>
          <t>PIP-ACT-I-I2-005</t>
        </is>
      </c>
      <c r="C17" s="9" t="inlineStr">
        <is>
          <t>0.5</t>
        </is>
      </c>
      <c r="D17" s="9" t="inlineStr">
        <is>
          <t>PIP-BANK-0.4</t>
        </is>
      </c>
      <c r="E17" s="9" t="inlineStr">
        <is>
          <t>I</t>
        </is>
      </c>
      <c r="F17" s="9" t="inlineStr">
        <is>
          <t>I2</t>
        </is>
      </c>
      <c r="G17" s="9" t="inlineStr">
        <is>
          <t>ACT</t>
        </is>
      </c>
      <c r="H17" s="9" t="inlineStr">
        <is>
          <t>Analyser plusieurs informations pour comprendre les liens entre elles.</t>
        </is>
      </c>
      <c r="I17" s="9" t="inlineStr">
        <is>
          <t>Analyser plusieurs données pour comprendre comment elles sont liées et ce qu’elles expliquent.</t>
        </is>
      </c>
      <c r="J17" s="9" t="inlineStr">
        <is>
          <t>RETENU</t>
        </is>
      </c>
      <c r="K17" s="9" t="inlineStr">
        <is>
          <t>Couverture de facette + activité observable ; priorité ACT, complétée par SIT à faible risque.</t>
        </is>
      </c>
      <c r="L17" s="9" t="inlineStr">
        <is>
          <t>FAIBLE</t>
        </is>
      </c>
      <c r="M17" s="9" t="inlineStr">
        <is>
          <t>FAIBLE</t>
        </is>
      </c>
      <c r="N17" s="9" t="inlineStr">
        <is>
          <t>FAIBLE</t>
        </is>
      </c>
    </row>
    <row r="18">
      <c r="A18" s="9" t="n">
        <v>17</v>
      </c>
      <c r="B18" s="9" t="inlineStr">
        <is>
          <t>PIP-ACT-I-I2-006</t>
        </is>
      </c>
      <c r="C18" s="9" t="inlineStr">
        <is>
          <t>0.5</t>
        </is>
      </c>
      <c r="D18" s="9" t="inlineStr">
        <is>
          <t>PIP-BANK-0.4</t>
        </is>
      </c>
      <c r="E18" s="9" t="inlineStr">
        <is>
          <t>I</t>
        </is>
      </c>
      <c r="F18" s="9" t="inlineStr">
        <is>
          <t>I2</t>
        </is>
      </c>
      <c r="G18" s="9" t="inlineStr">
        <is>
          <t>ACT</t>
        </is>
      </c>
      <c r="H18" s="9" t="inlineStr">
        <is>
          <t>Décomposer un problème complexe en plusieurs éléments pour mieux le comprendre.</t>
        </is>
      </c>
      <c r="I18" s="9" t="inlineStr">
        <is>
          <t>Découper un problème complexe en plusieurs questions plus simples afin d’en comprendre la logique.</t>
        </is>
      </c>
      <c r="J18" s="9" t="inlineStr">
        <is>
          <t>RETENU</t>
        </is>
      </c>
      <c r="K18" s="9" t="inlineStr">
        <is>
          <t>Couverture de facette + activité observable ; priorité ACT, complétée par SIT à faible risque.</t>
        </is>
      </c>
      <c r="L18" s="9" t="inlineStr">
        <is>
          <t>FAIBLE</t>
        </is>
      </c>
      <c r="M18" s="9" t="inlineStr">
        <is>
          <t>FAIBLE</t>
        </is>
      </c>
      <c r="N18" s="9" t="inlineStr">
        <is>
          <t>FAIBLE</t>
        </is>
      </c>
    </row>
    <row r="19">
      <c r="A19" s="9" t="n">
        <v>18</v>
      </c>
      <c r="B19" s="9" t="inlineStr">
        <is>
          <t>PIP-SIT-I-I2-007</t>
        </is>
      </c>
      <c r="C19" s="9" t="inlineStr">
        <is>
          <t>0.5</t>
        </is>
      </c>
      <c r="D19" s="9" t="inlineStr">
        <is>
          <t>PIP-BANK-0.4</t>
        </is>
      </c>
      <c r="E19" s="9" t="inlineStr">
        <is>
          <t>I</t>
        </is>
      </c>
      <c r="F19" s="9" t="inlineStr">
        <is>
          <t>I2</t>
        </is>
      </c>
      <c r="G19" s="9" t="inlineStr">
        <is>
          <t>SIT</t>
        </is>
      </c>
      <c r="H19" s="9" t="inlineStr">
        <is>
          <t>Faire face à un problème où il faut raisonner étape par étape avant de trouver une explication.</t>
        </is>
      </c>
      <c r="I19" s="9" t="inlineStr">
        <is>
          <t>Un problème n’a pas de réponse évidente : raisonner étape par étape pour comprendre ce qui se passe.</t>
        </is>
      </c>
      <c r="J19" s="9" t="inlineStr">
        <is>
          <t>RETENU</t>
        </is>
      </c>
      <c r="K19" s="9" t="inlineStr">
        <is>
          <t>Couverture de facette + activité observable ; priorité ACT, complétée par SIT à faible risque.</t>
        </is>
      </c>
      <c r="L19" s="9" t="inlineStr">
        <is>
          <t>FAIBLE</t>
        </is>
      </c>
      <c r="M19" s="9" t="inlineStr">
        <is>
          <t>FAIBLE</t>
        </is>
      </c>
      <c r="N19" s="9" t="inlineStr">
        <is>
          <t>FAIBLE</t>
        </is>
      </c>
    </row>
    <row r="20">
      <c r="A20" s="9" t="n">
        <v>19</v>
      </c>
      <c r="B20" s="9" t="inlineStr">
        <is>
          <t>PIP-ACT-I-I3-009</t>
        </is>
      </c>
      <c r="C20" s="9" t="inlineStr">
        <is>
          <t>0.5</t>
        </is>
      </c>
      <c r="D20" s="9" t="inlineStr">
        <is>
          <t>PIP-BANK-0.4</t>
        </is>
      </c>
      <c r="E20" s="9" t="inlineStr">
        <is>
          <t>I</t>
        </is>
      </c>
      <c r="F20" s="9" t="inlineStr">
        <is>
          <t>I3</t>
        </is>
      </c>
      <c r="G20" s="9" t="inlineStr">
        <is>
          <t>ACT</t>
        </is>
      </c>
      <c r="H20" s="9" t="inlineStr">
        <is>
          <t>Rechercher des informations provenant de plusieurs sources pour répondre à une question.</t>
        </is>
      </c>
      <c r="I20" s="9" t="inlineStr">
        <is>
          <t>Chercher des informations dans plusieurs sources fiables pour répondre à une question précise.</t>
        </is>
      </c>
      <c r="J20" s="9" t="inlineStr">
        <is>
          <t>RETENU</t>
        </is>
      </c>
      <c r="K20" s="9" t="inlineStr">
        <is>
          <t>Couverture de facette + activité observable ; priorité ACT, complétée par SIT à faible risque.</t>
        </is>
      </c>
      <c r="L20" s="9" t="inlineStr">
        <is>
          <t>FAIBLE</t>
        </is>
      </c>
      <c r="M20" s="9" t="inlineStr">
        <is>
          <t>FAIBLE</t>
        </is>
      </c>
      <c r="N20" s="9" t="inlineStr">
        <is>
          <t>FAIBLE</t>
        </is>
      </c>
    </row>
    <row r="21">
      <c r="A21" s="9" t="n">
        <v>20</v>
      </c>
      <c r="B21" s="9" t="inlineStr">
        <is>
          <t>PIP-ACT-I-I3-010</t>
        </is>
      </c>
      <c r="C21" s="9" t="inlineStr">
        <is>
          <t>0.5</t>
        </is>
      </c>
      <c r="D21" s="9" t="inlineStr">
        <is>
          <t>PIP-BANK-0.4</t>
        </is>
      </c>
      <c r="E21" s="9" t="inlineStr">
        <is>
          <t>I</t>
        </is>
      </c>
      <c r="F21" s="9" t="inlineStr">
        <is>
          <t>I3</t>
        </is>
      </c>
      <c r="G21" s="9" t="inlineStr">
        <is>
          <t>ACT</t>
        </is>
      </c>
      <c r="H21" s="9" t="inlineStr">
        <is>
          <t>Enquêter pour vérifier ce qui est exact lorsqu’une situation reste incertaine.</t>
        </is>
      </c>
      <c r="I21" s="9" t="inlineStr">
        <is>
          <t>Vérifier une information incertaine en recoupant des sources et en recherchant des éléments de preuve.</t>
        </is>
      </c>
      <c r="J21" s="9" t="inlineStr">
        <is>
          <t>RETENU</t>
        </is>
      </c>
      <c r="K21" s="9" t="inlineStr">
        <is>
          <t>Couverture de facette + activité observable ; priorité ACT, complétée par SIT à faible risque.</t>
        </is>
      </c>
      <c r="L21" s="9" t="inlineStr">
        <is>
          <t>FAIBLE</t>
        </is>
      </c>
      <c r="M21" s="9" t="inlineStr">
        <is>
          <t>FAIBLE</t>
        </is>
      </c>
      <c r="N21" s="9" t="inlineStr">
        <is>
          <t>FAIBLE</t>
        </is>
      </c>
    </row>
    <row r="22">
      <c r="A22" s="9" t="n">
        <v>21</v>
      </c>
      <c r="B22" s="9" t="inlineStr">
        <is>
          <t>PIP-ACT-I-I4-013</t>
        </is>
      </c>
      <c r="C22" s="9" t="inlineStr">
        <is>
          <t>0.5</t>
        </is>
      </c>
      <c r="D22" s="9" t="inlineStr">
        <is>
          <t>PIP-BANK-0.4</t>
        </is>
      </c>
      <c r="E22" s="9" t="inlineStr">
        <is>
          <t>I</t>
        </is>
      </c>
      <c r="F22" s="9" t="inlineStr">
        <is>
          <t>I4</t>
        </is>
      </c>
      <c r="G22" s="9" t="inlineStr">
        <is>
          <t>ACT</t>
        </is>
      </c>
      <c r="H22" s="9" t="inlineStr">
        <is>
          <t>Tester une hypothèse pour voir si elle se vérifie.</t>
        </is>
      </c>
      <c r="I22" s="9" t="inlineStr">
        <is>
          <t>Tester une hypothèse en définissant une manière simple de vérifier si elle se confirme.</t>
        </is>
      </c>
      <c r="J22" s="9" t="inlineStr">
        <is>
          <t>RETENU</t>
        </is>
      </c>
      <c r="K22" s="9" t="inlineStr">
        <is>
          <t>Couverture de facette + activité observable ; priorité ACT, complétée par SIT à faible risque.</t>
        </is>
      </c>
      <c r="L22" s="9" t="inlineStr">
        <is>
          <t>FAIBLE</t>
        </is>
      </c>
      <c r="M22" s="9" t="inlineStr">
        <is>
          <t>FAIBLE</t>
        </is>
      </c>
      <c r="N22" s="9" t="inlineStr">
        <is>
          <t>FAIBLE</t>
        </is>
      </c>
    </row>
    <row r="23">
      <c r="A23" s="9" t="n">
        <v>22</v>
      </c>
      <c r="B23" s="9" t="inlineStr">
        <is>
          <t>PIP-ACT-I-I4-014</t>
        </is>
      </c>
      <c r="C23" s="9" t="inlineStr">
        <is>
          <t>0.5</t>
        </is>
      </c>
      <c r="D23" s="9" t="inlineStr">
        <is>
          <t>PIP-BANK-0.4</t>
        </is>
      </c>
      <c r="E23" s="9" t="inlineStr">
        <is>
          <t>I</t>
        </is>
      </c>
      <c r="F23" s="9" t="inlineStr">
        <is>
          <t>I4</t>
        </is>
      </c>
      <c r="G23" s="9" t="inlineStr">
        <is>
          <t>ACT</t>
        </is>
      </c>
      <c r="H23" s="9" t="inlineStr">
        <is>
          <t>Comparer plusieurs essais pour comprendre ce qui produit un résultat différent.</t>
        </is>
      </c>
      <c r="I23" s="9" t="inlineStr">
        <is>
          <t>Réaliser plusieurs essais en modifiant un paramètre pour comprendre ce qui change le résultat.</t>
        </is>
      </c>
      <c r="J23" s="9" t="inlineStr">
        <is>
          <t>RETENU</t>
        </is>
      </c>
      <c r="K23" s="9" t="inlineStr">
        <is>
          <t>Couverture de facette + activité observable ; priorité ACT, complétée par SIT à faible risque.</t>
        </is>
      </c>
      <c r="L23" s="9" t="inlineStr">
        <is>
          <t>FAIBLE</t>
        </is>
      </c>
      <c r="M23" s="9" t="inlineStr">
        <is>
          <t>FAIBLE</t>
        </is>
      </c>
      <c r="N23" s="9" t="inlineStr">
        <is>
          <t>FAIBLE</t>
        </is>
      </c>
    </row>
    <row r="24">
      <c r="A24" s="9" t="n">
        <v>23</v>
      </c>
      <c r="B24" s="9" t="inlineStr">
        <is>
          <t>PIP-ACT-I-I5-017</t>
        </is>
      </c>
      <c r="C24" s="9" t="inlineStr">
        <is>
          <t>0.5</t>
        </is>
      </c>
      <c r="D24" s="9" t="inlineStr">
        <is>
          <t>PIP-BANK-0.4</t>
        </is>
      </c>
      <c r="E24" s="9" t="inlineStr">
        <is>
          <t>I</t>
        </is>
      </c>
      <c r="F24" s="9" t="inlineStr">
        <is>
          <t>I5</t>
        </is>
      </c>
      <c r="G24" s="9" t="inlineStr">
        <is>
          <t>ACT</t>
        </is>
      </c>
      <c r="H24" s="9" t="inlineStr">
        <is>
          <t>Chercher la cause d’un problème pour pouvoir l’expliquer.</t>
        </is>
      </c>
      <c r="I24" s="9" t="inlineStr">
        <is>
          <t>Rechercher la cause d’un dysfonctionnement ou d’un phénomène avant de proposer une explication.</t>
        </is>
      </c>
      <c r="J24" s="9" t="inlineStr">
        <is>
          <t>RETENU</t>
        </is>
      </c>
      <c r="K24" s="9" t="inlineStr">
        <is>
          <t>Couverture de facette + activité observable ; priorité ACT, complétée par SIT à faible risque.</t>
        </is>
      </c>
      <c r="L24" s="9" t="inlineStr">
        <is>
          <t>FAIBLE</t>
        </is>
      </c>
      <c r="M24" s="9" t="inlineStr">
        <is>
          <t>FAIBLE</t>
        </is>
      </c>
      <c r="N24" s="9" t="inlineStr">
        <is>
          <t>FAIBLE</t>
        </is>
      </c>
    </row>
    <row r="25">
      <c r="A25" s="9" t="n">
        <v>24</v>
      </c>
      <c r="B25" s="9" t="inlineStr">
        <is>
          <t>PIP-ACT-I-I5-018</t>
        </is>
      </c>
      <c r="C25" s="9" t="inlineStr">
        <is>
          <t>0.5</t>
        </is>
      </c>
      <c r="D25" s="9" t="inlineStr">
        <is>
          <t>PIP-BANK-0.4</t>
        </is>
      </c>
      <c r="E25" s="9" t="inlineStr">
        <is>
          <t>I</t>
        </is>
      </c>
      <c r="F25" s="9" t="inlineStr">
        <is>
          <t>I5</t>
        </is>
      </c>
      <c r="G25" s="9" t="inlineStr">
        <is>
          <t>ACT</t>
        </is>
      </c>
      <c r="H25" s="9" t="inlineStr">
        <is>
          <t>Résoudre un problème nouveau en construisant une solution fondée sur les informations disponibles.</t>
        </is>
      </c>
      <c r="I25" s="9" t="inlineStr">
        <is>
          <t>Résoudre un problème nouveau en utilisant les informations disponibles pour construire une solution raisonnée.</t>
        </is>
      </c>
      <c r="J25" s="9" t="inlineStr">
        <is>
          <t>RETENU</t>
        </is>
      </c>
      <c r="K25" s="9" t="inlineStr">
        <is>
          <t>Couverture de facette + activité observable ; priorité ACT, complétée par SIT à faible risque.</t>
        </is>
      </c>
      <c r="L25" s="9" t="inlineStr">
        <is>
          <t>FAIBLE</t>
        </is>
      </c>
      <c r="M25" s="9" t="inlineStr">
        <is>
          <t>FAIBLE</t>
        </is>
      </c>
      <c r="N25" s="9" t="inlineStr">
        <is>
          <t>FAIBLE</t>
        </is>
      </c>
    </row>
    <row r="26">
      <c r="A26" s="9" t="n">
        <v>25</v>
      </c>
      <c r="B26" s="9" t="inlineStr">
        <is>
          <t>PIP-ACT-A-A1-001</t>
        </is>
      </c>
      <c r="C26" s="9" t="inlineStr">
        <is>
          <t>0.5</t>
        </is>
      </c>
      <c r="D26" s="9" t="inlineStr">
        <is>
          <t>PIP-BANK-0.4</t>
        </is>
      </c>
      <c r="E26" s="9" t="inlineStr">
        <is>
          <t>A</t>
        </is>
      </c>
      <c r="F26" s="9" t="inlineStr">
        <is>
          <t>A1</t>
        </is>
      </c>
      <c r="G26" s="9" t="inlineStr">
        <is>
          <t>ACT</t>
        </is>
      </c>
      <c r="H26" s="9" t="inlineStr">
        <is>
          <t>Imaginer plusieurs idées nouvelles à partir d’un même sujet.</t>
        </is>
      </c>
      <c r="I26" s="9" t="inlineStr">
        <is>
          <t>Imaginer plusieurs concepts différents pour répondre à un même thème ou à une même demande.</t>
        </is>
      </c>
      <c r="J26" s="9" t="inlineStr">
        <is>
          <t>RETENU</t>
        </is>
      </c>
      <c r="K26" s="9" t="inlineStr">
        <is>
          <t>Couverture de facette + activité observable ; priorité ACT, complétée par SIT à faible risque.</t>
        </is>
      </c>
      <c r="L26" s="9" t="inlineStr">
        <is>
          <t>FAIBLE</t>
        </is>
      </c>
      <c r="M26" s="9" t="inlineStr">
        <is>
          <t>FAIBLE</t>
        </is>
      </c>
      <c r="N26" s="9" t="inlineStr">
        <is>
          <t>FAIBLE</t>
        </is>
      </c>
    </row>
    <row r="27">
      <c r="A27" s="9" t="n">
        <v>26</v>
      </c>
      <c r="B27" s="9" t="inlineStr">
        <is>
          <t>PIP-ACT-A-A1-002</t>
        </is>
      </c>
      <c r="C27" s="9" t="inlineStr">
        <is>
          <t>0.5</t>
        </is>
      </c>
      <c r="D27" s="9" t="inlineStr">
        <is>
          <t>PIP-BANK-0.4</t>
        </is>
      </c>
      <c r="E27" s="9" t="inlineStr">
        <is>
          <t>A</t>
        </is>
      </c>
      <c r="F27" s="9" t="inlineStr">
        <is>
          <t>A1</t>
        </is>
      </c>
      <c r="G27" s="9" t="inlineStr">
        <is>
          <t>ACT</t>
        </is>
      </c>
      <c r="H27" s="9" t="inlineStr">
        <is>
          <t>Inventer une manière originale de présenter ou de réaliser quelque chose.</t>
        </is>
      </c>
      <c r="I27" s="9" t="inlineStr">
        <is>
          <t>Inventer une manière originale de présenter un message, un objet ou une expérience.</t>
        </is>
      </c>
      <c r="J27" s="9" t="inlineStr">
        <is>
          <t>RETENU</t>
        </is>
      </c>
      <c r="K27" s="9" t="inlineStr">
        <is>
          <t>Couverture de facette + activité observable ; priorité ACT, complétée par SIT à faible risque.</t>
        </is>
      </c>
      <c r="L27" s="9" t="inlineStr">
        <is>
          <t>FAIBLE</t>
        </is>
      </c>
      <c r="M27" s="9" t="inlineStr">
        <is>
          <t>FAIBLE</t>
        </is>
      </c>
      <c r="N27" s="9" t="inlineStr">
        <is>
          <t>FAIBLE</t>
        </is>
      </c>
    </row>
    <row r="28">
      <c r="A28" s="9" t="n">
        <v>27</v>
      </c>
      <c r="B28" s="9" t="inlineStr">
        <is>
          <t>PIP-SIT-A-A1-003</t>
        </is>
      </c>
      <c r="C28" s="9" t="inlineStr">
        <is>
          <t>0.5</t>
        </is>
      </c>
      <c r="D28" s="9" t="inlineStr">
        <is>
          <t>PIP-BANK-0.4</t>
        </is>
      </c>
      <c r="E28" s="9" t="inlineStr">
        <is>
          <t>A</t>
        </is>
      </c>
      <c r="F28" s="9" t="inlineStr">
        <is>
          <t>A1</t>
        </is>
      </c>
      <c r="G28" s="9" t="inlineStr">
        <is>
          <t>SIT</t>
        </is>
      </c>
      <c r="H28" s="9" t="inlineStr">
        <is>
          <t>Faire face à une demande pour laquelle aucune solution n’est imposée et imaginer une proposition nouvelle.</t>
        </is>
      </c>
      <c r="I28" s="9" t="inlineStr">
        <is>
          <t>Une demande est ouverte et aucune solution n’est imposée : imaginer une proposition nouvelle et personnelle.</t>
        </is>
      </c>
      <c r="J28" s="9" t="inlineStr">
        <is>
          <t>RETENU</t>
        </is>
      </c>
      <c r="K28" s="9" t="inlineStr">
        <is>
          <t>Couverture de facette + activité observable ; priorité ACT, complétée par SIT à faible risque.</t>
        </is>
      </c>
      <c r="L28" s="9" t="inlineStr">
        <is>
          <t>FAIBLE</t>
        </is>
      </c>
      <c r="M28" s="9" t="inlineStr">
        <is>
          <t>FAIBLE</t>
        </is>
      </c>
      <c r="N28" s="9" t="inlineStr">
        <is>
          <t>FAIBLE</t>
        </is>
      </c>
    </row>
    <row r="29">
      <c r="A29" s="9" t="n">
        <v>28</v>
      </c>
      <c r="B29" s="9" t="inlineStr">
        <is>
          <t>PIP-ACT-A-A2-005</t>
        </is>
      </c>
      <c r="C29" s="9" t="inlineStr">
        <is>
          <t>0.5</t>
        </is>
      </c>
      <c r="D29" s="9" t="inlineStr">
        <is>
          <t>PIP-BANK-0.4</t>
        </is>
      </c>
      <c r="E29" s="9" t="inlineStr">
        <is>
          <t>A</t>
        </is>
      </c>
      <c r="F29" s="9" t="inlineStr">
        <is>
          <t>A2</t>
        </is>
      </c>
      <c r="G29" s="9" t="inlineStr">
        <is>
          <t>ACT</t>
        </is>
      </c>
      <c r="H29" s="9" t="inlineStr">
        <is>
          <t>Concevoir l’organisation visuelle ou la forme d’un support pour qu’il exprime une intention.</t>
        </is>
      </c>
      <c r="I29" s="9" t="inlineStr">
        <is>
          <t>Concevoir librement la mise en page d’une affiche, d’une brochure ou d’un support visuel pour transmettre une intention.</t>
        </is>
      </c>
      <c r="J29" s="9" t="inlineStr">
        <is>
          <t>RETENU</t>
        </is>
      </c>
      <c r="K29" s="9" t="inlineStr">
        <is>
          <t>Couverture de facette + activité observable ; priorité ACT, complétée par SIT à faible risque.</t>
        </is>
      </c>
      <c r="L29" s="9" t="inlineStr">
        <is>
          <t>MOYEN</t>
        </is>
      </c>
      <c r="M29" s="9" t="inlineStr">
        <is>
          <t>FAIBLE</t>
        </is>
      </c>
      <c r="N29" s="9" t="inlineStr">
        <is>
          <t>FAIBLE</t>
        </is>
      </c>
    </row>
    <row r="30">
      <c r="A30" s="9" t="n">
        <v>29</v>
      </c>
      <c r="B30" s="9" t="inlineStr">
        <is>
          <t>PIP-ACT-A-A2-006</t>
        </is>
      </c>
      <c r="C30" s="9" t="inlineStr">
        <is>
          <t>0.5</t>
        </is>
      </c>
      <c r="D30" s="9" t="inlineStr">
        <is>
          <t>PIP-BANK-0.4</t>
        </is>
      </c>
      <c r="E30" s="9" t="inlineStr">
        <is>
          <t>A</t>
        </is>
      </c>
      <c r="F30" s="9" t="inlineStr">
        <is>
          <t>A2</t>
        </is>
      </c>
      <c r="G30" s="9" t="inlineStr">
        <is>
          <t>ACT</t>
        </is>
      </c>
      <c r="H30" s="9" t="inlineStr">
        <is>
          <t>Composer différents éléments pour créer un ensemble cohérent et personnel.</t>
        </is>
      </c>
      <c r="I30" s="9" t="inlineStr">
        <is>
          <t>Composer un ensemble en choisissant personnellement la disposition des formes, textes, images, sons ou autres éléments.</t>
        </is>
      </c>
      <c r="J30" s="9" t="inlineStr">
        <is>
          <t>RETENU</t>
        </is>
      </c>
      <c r="K30" s="9" t="inlineStr">
        <is>
          <t>Couverture de facette + activité observable ; priorité ACT, complétée par SIT à faible risque.</t>
        </is>
      </c>
      <c r="L30" s="9" t="inlineStr">
        <is>
          <t>FAIBLE</t>
        </is>
      </c>
      <c r="M30" s="9" t="inlineStr">
        <is>
          <t>FAIBLE</t>
        </is>
      </c>
      <c r="N30" s="9" t="inlineStr">
        <is>
          <t>FAIBLE</t>
        </is>
      </c>
    </row>
    <row r="31">
      <c r="A31" s="9" t="n">
        <v>30</v>
      </c>
      <c r="B31" s="9" t="inlineStr">
        <is>
          <t>PIP-SIT-A-A2-007</t>
        </is>
      </c>
      <c r="C31" s="9" t="inlineStr">
        <is>
          <t>0.5</t>
        </is>
      </c>
      <c r="D31" s="9" t="inlineStr">
        <is>
          <t>PIP-BANK-0.4</t>
        </is>
      </c>
      <c r="E31" s="9" t="inlineStr">
        <is>
          <t>A</t>
        </is>
      </c>
      <c r="F31" s="9" t="inlineStr">
        <is>
          <t>A2</t>
        </is>
      </c>
      <c r="G31" s="9" t="inlineStr">
        <is>
          <t>SIT</t>
        </is>
      </c>
      <c r="H31" s="9" t="inlineStr">
        <is>
          <t>Créer une proposition en choisissant librement la manière d’agencer plusieurs éléments.</t>
        </is>
      </c>
      <c r="I31" s="9" t="inlineStr">
        <is>
          <t>Créer une proposition en décidant librement comment agencer les éléments d’un support visuel, d’un espace ou d’une présentation créative.</t>
        </is>
      </c>
      <c r="J31" s="9" t="inlineStr">
        <is>
          <t>RETENU</t>
        </is>
      </c>
      <c r="K31" s="9" t="inlineStr">
        <is>
          <t>Couverture de facette + activité observable ; priorité ACT, complétée par SIT à faible risque.</t>
        </is>
      </c>
      <c r="L31" s="9" t="inlineStr">
        <is>
          <t>FAIBLE</t>
        </is>
      </c>
      <c r="M31" s="9" t="inlineStr">
        <is>
          <t>FAIBLE</t>
        </is>
      </c>
      <c r="N31" s="9" t="inlineStr">
        <is>
          <t>FAIBLE</t>
        </is>
      </c>
    </row>
    <row r="32">
      <c r="A32" s="9" t="n">
        <v>31</v>
      </c>
      <c r="B32" s="9" t="inlineStr">
        <is>
          <t>PIP-ACT-A-A3-009</t>
        </is>
      </c>
      <c r="C32" s="9" t="inlineStr">
        <is>
          <t>0.5</t>
        </is>
      </c>
      <c r="D32" s="9" t="inlineStr">
        <is>
          <t>PIP-BANK-0.4</t>
        </is>
      </c>
      <c r="E32" s="9" t="inlineStr">
        <is>
          <t>A</t>
        </is>
      </c>
      <c r="F32" s="9" t="inlineStr">
        <is>
          <t>A3</t>
        </is>
      </c>
      <c r="G32" s="9" t="inlineStr">
        <is>
          <t>ACT</t>
        </is>
      </c>
      <c r="H32" s="9" t="inlineStr">
        <is>
          <t>Écrire un texte pour transmettre une idée, une émotion ou un point de vue.</t>
        </is>
      </c>
      <c r="I32" s="9" t="inlineStr">
        <is>
          <t>Écrire un texte, un récit ou un message destiné à faire ressentir une idée, une émotion ou un point de vue.</t>
        </is>
      </c>
      <c r="J32" s="9" t="inlineStr">
        <is>
          <t>RETENU</t>
        </is>
      </c>
      <c r="K32" s="9" t="inlineStr">
        <is>
          <t>Couverture de facette + activité observable ; priorité ACT, complétée par SIT à faible risque.</t>
        </is>
      </c>
      <c r="L32" s="9" t="inlineStr">
        <is>
          <t>FAIBLE</t>
        </is>
      </c>
      <c r="M32" s="9" t="inlineStr">
        <is>
          <t>FAIBLE</t>
        </is>
      </c>
      <c r="N32" s="9" t="inlineStr">
        <is>
          <t>FAIBLE</t>
        </is>
      </c>
    </row>
    <row r="33">
      <c r="A33" s="9" t="n">
        <v>32</v>
      </c>
      <c r="B33" s="9" t="inlineStr">
        <is>
          <t>PIP-ACT-A-A3-010</t>
        </is>
      </c>
      <c r="C33" s="9" t="inlineStr">
        <is>
          <t>0.5</t>
        </is>
      </c>
      <c r="D33" s="9" t="inlineStr">
        <is>
          <t>PIP-BANK-0.4</t>
        </is>
      </c>
      <c r="E33" s="9" t="inlineStr">
        <is>
          <t>A</t>
        </is>
      </c>
      <c r="F33" s="9" t="inlineStr">
        <is>
          <t>A3</t>
        </is>
      </c>
      <c r="G33" s="9" t="inlineStr">
        <is>
          <t>ACT</t>
        </is>
      </c>
      <c r="H33" s="9" t="inlineStr">
        <is>
          <t>Mettre en récit un sujet pour le rendre vivant et expressif.</t>
        </is>
      </c>
      <c r="I33" s="9" t="inlineStr">
        <is>
          <t>Transformer un sujet factuel en récit vivant pour capter l’attention d’un public.</t>
        </is>
      </c>
      <c r="J33" s="9" t="inlineStr">
        <is>
          <t>RETENU</t>
        </is>
      </c>
      <c r="K33" s="9" t="inlineStr">
        <is>
          <t>Couverture de facette + activité observable ; priorité ACT, complétée par SIT à faible risque.</t>
        </is>
      </c>
      <c r="L33" s="9" t="inlineStr">
        <is>
          <t>FAIBLE</t>
        </is>
      </c>
      <c r="M33" s="9" t="inlineStr">
        <is>
          <t>FAIBLE</t>
        </is>
      </c>
      <c r="N33" s="9" t="inlineStr">
        <is>
          <t>FAIBLE</t>
        </is>
      </c>
    </row>
    <row r="34">
      <c r="A34" s="9" t="n">
        <v>33</v>
      </c>
      <c r="B34" s="9" t="inlineStr">
        <is>
          <t>PIP-ACT-A-A4-013</t>
        </is>
      </c>
      <c r="C34" s="9" t="inlineStr">
        <is>
          <t>0.5</t>
        </is>
      </c>
      <c r="D34" s="9" t="inlineStr">
        <is>
          <t>PIP-BANK-0.4</t>
        </is>
      </c>
      <c r="E34" s="9" t="inlineStr">
        <is>
          <t>A</t>
        </is>
      </c>
      <c r="F34" s="9" t="inlineStr">
        <is>
          <t>A4</t>
        </is>
      </c>
      <c r="G34" s="9" t="inlineStr">
        <is>
          <t>ACT</t>
        </is>
      </c>
      <c r="H34" s="9" t="inlineStr">
        <is>
          <t>Créer une composition visuelle en jouant sur les formes, les images ou les couleurs.</t>
        </is>
      </c>
      <c r="I34" s="9" t="inlineStr">
        <is>
          <t>Créer une affiche, une illustration ou une composition visuelle en jouant librement sur les formes et les couleurs.</t>
        </is>
      </c>
      <c r="J34" s="9" t="inlineStr">
        <is>
          <t>RETENU</t>
        </is>
      </c>
      <c r="K34" s="9" t="inlineStr">
        <is>
          <t>Couverture de facette + activité observable ; priorité ACT, complétée par SIT à faible risque.</t>
        </is>
      </c>
      <c r="L34" s="9" t="inlineStr">
        <is>
          <t>FAIBLE</t>
        </is>
      </c>
      <c r="M34" s="9" t="inlineStr">
        <is>
          <t>FAIBLE</t>
        </is>
      </c>
      <c r="N34" s="9" t="inlineStr">
        <is>
          <t>FAIBLE</t>
        </is>
      </c>
    </row>
    <row r="35">
      <c r="A35" s="9" t="n">
        <v>34</v>
      </c>
      <c r="B35" s="9" t="inlineStr">
        <is>
          <t>PIP-ACT-A-A4-014</t>
        </is>
      </c>
      <c r="C35" s="9" t="inlineStr">
        <is>
          <t>0.5</t>
        </is>
      </c>
      <c r="D35" s="9" t="inlineStr">
        <is>
          <t>PIP-BANK-0.4</t>
        </is>
      </c>
      <c r="E35" s="9" t="inlineStr">
        <is>
          <t>A</t>
        </is>
      </c>
      <c r="F35" s="9" t="inlineStr">
        <is>
          <t>A4</t>
        </is>
      </c>
      <c r="G35" s="9" t="inlineStr">
        <is>
          <t>ACT</t>
        </is>
      </c>
      <c r="H35" s="9" t="inlineStr">
        <is>
          <t>Imaginer une ambiance à partir de sons, d’images, de matières ou d’un espace.</t>
        </is>
      </c>
      <c r="I35" s="9" t="inlineStr">
        <is>
          <t>Imaginer l’ambiance d’un espace, d’un événement ou d’un contenu à partir de sons, d’images, de matières ou de lumière.</t>
        </is>
      </c>
      <c r="J35" s="9" t="inlineStr">
        <is>
          <t>RETENU</t>
        </is>
      </c>
      <c r="K35" s="9" t="inlineStr">
        <is>
          <t>Couverture de facette + activité observable ; priorité ACT, complétée par SIT à faible risque.</t>
        </is>
      </c>
      <c r="L35" s="9" t="inlineStr">
        <is>
          <t>FAIBLE</t>
        </is>
      </c>
      <c r="M35" s="9" t="inlineStr">
        <is>
          <t>FAIBLE</t>
        </is>
      </c>
      <c r="N35" s="9" t="inlineStr">
        <is>
          <t>FAIBLE</t>
        </is>
      </c>
    </row>
    <row r="36">
      <c r="A36" s="9" t="n">
        <v>35</v>
      </c>
      <c r="B36" s="9" t="inlineStr">
        <is>
          <t>PIP-ACT-A-A5-017</t>
        </is>
      </c>
      <c r="C36" s="9" t="inlineStr">
        <is>
          <t>0.5</t>
        </is>
      </c>
      <c r="D36" s="9" t="inlineStr">
        <is>
          <t>PIP-BANK-0.4</t>
        </is>
      </c>
      <c r="E36" s="9" t="inlineStr">
        <is>
          <t>A</t>
        </is>
      </c>
      <c r="F36" s="9" t="inlineStr">
        <is>
          <t>A5</t>
        </is>
      </c>
      <c r="G36" s="9" t="inlineStr">
        <is>
          <t>ACT</t>
        </is>
      </c>
      <c r="H36" s="9" t="inlineStr">
        <is>
          <t>Explorer plusieurs pistes créatives avant de choisir celle qui convient le mieux.</t>
        </is>
      </c>
      <c r="I36" s="9" t="inlineStr">
        <is>
          <t>Explorer plusieurs pistes créatives pour un même projet avant de retenir celle qui exprime le mieux l’intention recherchée.</t>
        </is>
      </c>
      <c r="J36" s="9" t="inlineStr">
        <is>
          <t>RETENU</t>
        </is>
      </c>
      <c r="K36" s="9" t="inlineStr">
        <is>
          <t>Couverture de facette + activité observable ; priorité ACT, complétée par SIT à faible risque.</t>
        </is>
      </c>
      <c r="L36" s="9" t="inlineStr">
        <is>
          <t>FAIBLE</t>
        </is>
      </c>
      <c r="M36" s="9" t="inlineStr">
        <is>
          <t>FAIBLE</t>
        </is>
      </c>
      <c r="N36" s="9" t="inlineStr">
        <is>
          <t>FAIBLE</t>
        </is>
      </c>
    </row>
    <row r="37">
      <c r="A37" s="9" t="n">
        <v>36</v>
      </c>
      <c r="B37" s="9" t="inlineStr">
        <is>
          <t>PIP-ACT-A-A5-018</t>
        </is>
      </c>
      <c r="C37" s="9" t="inlineStr">
        <is>
          <t>0.5</t>
        </is>
      </c>
      <c r="D37" s="9" t="inlineStr">
        <is>
          <t>PIP-BANK-0.4</t>
        </is>
      </c>
      <c r="E37" s="9" t="inlineStr">
        <is>
          <t>A</t>
        </is>
      </c>
      <c r="F37" s="9" t="inlineStr">
        <is>
          <t>A5</t>
        </is>
      </c>
      <c r="G37" s="9" t="inlineStr">
        <is>
          <t>ACT</t>
        </is>
      </c>
      <c r="H37" s="9" t="inlineStr">
        <is>
          <t>Réinventer une manière habituelle de faire pour proposer une approche originale.</t>
        </is>
      </c>
      <c r="I37" s="9" t="inlineStr">
        <is>
          <t>Repenser une manière habituelle de présenter ou de réaliser quelque chose afin de proposer une approche originale.</t>
        </is>
      </c>
      <c r="J37" s="9" t="inlineStr">
        <is>
          <t>RETENU</t>
        </is>
      </c>
      <c r="K37" s="9" t="inlineStr">
        <is>
          <t>Couverture de facette + activité observable ; priorité ACT, complétée par SIT à faible risque.</t>
        </is>
      </c>
      <c r="L37" s="9" t="inlineStr">
        <is>
          <t>FAIBLE</t>
        </is>
      </c>
      <c r="M37" s="9" t="inlineStr">
        <is>
          <t>FAIBLE</t>
        </is>
      </c>
      <c r="N37" s="9" t="inlineStr">
        <is>
          <t>FAIBLE</t>
        </is>
      </c>
    </row>
    <row r="38">
      <c r="A38" s="9" t="n">
        <v>37</v>
      </c>
      <c r="B38" s="9" t="inlineStr">
        <is>
          <t>PIP-ACT-S-S1-001</t>
        </is>
      </c>
      <c r="C38" s="9" t="inlineStr">
        <is>
          <t>0.5</t>
        </is>
      </c>
      <c r="D38" s="9" t="inlineStr">
        <is>
          <t>PIP-BANK-0.4</t>
        </is>
      </c>
      <c r="E38" s="9" t="inlineStr">
        <is>
          <t>S</t>
        </is>
      </c>
      <c r="F38" s="9" t="inlineStr">
        <is>
          <t>S1</t>
        </is>
      </c>
      <c r="G38" s="9" t="inlineStr">
        <is>
          <t>ACT</t>
        </is>
      </c>
      <c r="H38" s="9" t="inlineStr">
        <is>
          <t>Expliquer un sujet à une personne pour l’aider à le comprendre.</t>
        </is>
      </c>
      <c r="I38" s="9" t="inlineStr">
        <is>
          <t>Expliquer une notion à une personne jusqu’à ce qu’elle puisse la comprendre par elle-même.</t>
        </is>
      </c>
      <c r="J38" s="9" t="inlineStr">
        <is>
          <t>RETENU</t>
        </is>
      </c>
      <c r="K38" s="9" t="inlineStr">
        <is>
          <t>Couverture de facette + activité observable ; priorité ACT, complétée par SIT à faible risque.</t>
        </is>
      </c>
      <c r="L38" s="9" t="inlineStr">
        <is>
          <t>FAIBLE</t>
        </is>
      </c>
      <c r="M38" s="9" t="inlineStr">
        <is>
          <t>MOYEN</t>
        </is>
      </c>
      <c r="N38" s="9" t="inlineStr">
        <is>
          <t>FAIBLE</t>
        </is>
      </c>
    </row>
    <row r="39">
      <c r="A39" s="9" t="n">
        <v>38</v>
      </c>
      <c r="B39" s="9" t="inlineStr">
        <is>
          <t>PIP-ACT-S-S1-002</t>
        </is>
      </c>
      <c r="C39" s="9" t="inlineStr">
        <is>
          <t>0.5</t>
        </is>
      </c>
      <c r="D39" s="9" t="inlineStr">
        <is>
          <t>PIP-BANK-0.4</t>
        </is>
      </c>
      <c r="E39" s="9" t="inlineStr">
        <is>
          <t>S</t>
        </is>
      </c>
      <c r="F39" s="9" t="inlineStr">
        <is>
          <t>S1</t>
        </is>
      </c>
      <c r="G39" s="9" t="inlineStr">
        <is>
          <t>ACT</t>
        </is>
      </c>
      <c r="H39" s="9" t="inlineStr">
        <is>
          <t>Montrer à quelqu’un comment réaliser une tâche afin qu’il puisse ensuite la faire seul.</t>
        </is>
      </c>
      <c r="I39" s="9" t="inlineStr">
        <is>
          <t>Montrer étape par étape à quelqu’un comment réaliser une tâche pour qu’il puisse ensuite la refaire seul.</t>
        </is>
      </c>
      <c r="J39" s="9" t="inlineStr">
        <is>
          <t>RETENU</t>
        </is>
      </c>
      <c r="K39" s="9" t="inlineStr">
        <is>
          <t>Couverture de facette + activité observable ; priorité ACT, complétée par SIT à faible risque.</t>
        </is>
      </c>
      <c r="L39" s="9" t="inlineStr">
        <is>
          <t>FAIBLE</t>
        </is>
      </c>
      <c r="M39" s="9" t="inlineStr">
        <is>
          <t>MOYEN</t>
        </is>
      </c>
      <c r="N39" s="9" t="inlineStr">
        <is>
          <t>FAIBLE</t>
        </is>
      </c>
    </row>
    <row r="40">
      <c r="A40" s="9" t="n">
        <v>39</v>
      </c>
      <c r="B40" s="9" t="inlineStr">
        <is>
          <t>PIP-SIT-S-S1-003</t>
        </is>
      </c>
      <c r="C40" s="9" t="inlineStr">
        <is>
          <t>0.5</t>
        </is>
      </c>
      <c r="D40" s="9" t="inlineStr">
        <is>
          <t>PIP-BANK-0.4</t>
        </is>
      </c>
      <c r="E40" s="9" t="inlineStr">
        <is>
          <t>S</t>
        </is>
      </c>
      <c r="F40" s="9" t="inlineStr">
        <is>
          <t>S1</t>
        </is>
      </c>
      <c r="G40" s="9" t="inlineStr">
        <is>
          <t>SIT</t>
        </is>
      </c>
      <c r="H40" s="9" t="inlineStr">
        <is>
          <t>Adapter sa manière d’expliquer lorsqu’une personne ne comprend pas du premier coup.</t>
        </is>
      </c>
      <c r="I40" s="9" t="inlineStr">
        <is>
          <t>Une personne ne comprend pas une première explication : chercher une autre manière de lui présenter les choses.</t>
        </is>
      </c>
      <c r="J40" s="9" t="inlineStr">
        <is>
          <t>RETENU</t>
        </is>
      </c>
      <c r="K40" s="9" t="inlineStr">
        <is>
          <t>Couverture de facette + activité observable ; priorité ACT, complétée par SIT à faible risque.</t>
        </is>
      </c>
      <c r="L40" s="9" t="inlineStr">
        <is>
          <t>FAIBLE</t>
        </is>
      </c>
      <c r="M40" s="9" t="inlineStr">
        <is>
          <t>MOYEN</t>
        </is>
      </c>
      <c r="N40" s="9" t="inlineStr">
        <is>
          <t>FAIBLE</t>
        </is>
      </c>
    </row>
    <row r="41">
      <c r="A41" s="9" t="n">
        <v>40</v>
      </c>
      <c r="B41" s="9" t="inlineStr">
        <is>
          <t>PIP-ACT-S-S2-005</t>
        </is>
      </c>
      <c r="C41" s="9" t="inlineStr">
        <is>
          <t>0.5</t>
        </is>
      </c>
      <c r="D41" s="9" t="inlineStr">
        <is>
          <t>PIP-BANK-0.4</t>
        </is>
      </c>
      <c r="E41" s="9" t="inlineStr">
        <is>
          <t>S</t>
        </is>
      </c>
      <c r="F41" s="9" t="inlineStr">
        <is>
          <t>S2</t>
        </is>
      </c>
      <c r="G41" s="9" t="inlineStr">
        <is>
          <t>ACT</t>
        </is>
      </c>
      <c r="H41" s="9" t="inlineStr">
        <is>
          <t>Accompagner une personne dans la réalisation d’un objectif qui compte pour elle.</t>
        </is>
      </c>
      <c r="I41" s="9" t="inlineStr">
        <is>
          <t>Accompagner une personne dans les étapes nécessaires pour atteindre un objectif qui compte pour elle.</t>
        </is>
      </c>
      <c r="J41" s="9" t="inlineStr">
        <is>
          <t>RETENU</t>
        </is>
      </c>
      <c r="K41" s="9" t="inlineStr">
        <is>
          <t>Couverture de facette + activité observable ; priorité ACT, complétée par SIT à faible risque.</t>
        </is>
      </c>
      <c r="L41" s="9" t="inlineStr">
        <is>
          <t>FAIBLE</t>
        </is>
      </c>
      <c r="M41" s="9" t="inlineStr">
        <is>
          <t>MOYEN</t>
        </is>
      </c>
      <c r="N41" s="9" t="inlineStr">
        <is>
          <t>FAIBLE</t>
        </is>
      </c>
    </row>
    <row r="42">
      <c r="A42" s="9" t="n">
        <v>41</v>
      </c>
      <c r="B42" s="9" t="inlineStr">
        <is>
          <t>PIP-ACT-S-S2-006</t>
        </is>
      </c>
      <c r="C42" s="9" t="inlineStr">
        <is>
          <t>0.5</t>
        </is>
      </c>
      <c r="D42" s="9" t="inlineStr">
        <is>
          <t>PIP-BANK-0.4</t>
        </is>
      </c>
      <c r="E42" s="9" t="inlineStr">
        <is>
          <t>S</t>
        </is>
      </c>
      <c r="F42" s="9" t="inlineStr">
        <is>
          <t>S2</t>
        </is>
      </c>
      <c r="G42" s="9" t="inlineStr">
        <is>
          <t>ACT</t>
        </is>
      </c>
      <c r="H42" s="9" t="inlineStr">
        <is>
          <t>Soutenir quelqu’un qui rencontre une difficulté dans son parcours.</t>
        </is>
      </c>
      <c r="I42" s="9" t="inlineStr">
        <is>
          <t>Soutenir quelqu’un qui traverse une difficulté professionnelle ou personnelle liée à son parcours.</t>
        </is>
      </c>
      <c r="J42" s="9" t="inlineStr">
        <is>
          <t>RETENU</t>
        </is>
      </c>
      <c r="K42" s="9" t="inlineStr">
        <is>
          <t>Couverture de facette + activité observable ; priorité ACT, complétée par SIT à faible risque.</t>
        </is>
      </c>
      <c r="L42" s="9" t="inlineStr">
        <is>
          <t>FAIBLE</t>
        </is>
      </c>
      <c r="M42" s="9" t="inlineStr">
        <is>
          <t>MOYEN</t>
        </is>
      </c>
      <c r="N42" s="9" t="inlineStr">
        <is>
          <t>FAIBLE</t>
        </is>
      </c>
    </row>
    <row r="43">
      <c r="A43" s="9" t="n">
        <v>42</v>
      </c>
      <c r="B43" s="9" t="inlineStr">
        <is>
          <t>PIP-SIT-S-S2-007</t>
        </is>
      </c>
      <c r="C43" s="9" t="inlineStr">
        <is>
          <t>0.5</t>
        </is>
      </c>
      <c r="D43" s="9" t="inlineStr">
        <is>
          <t>PIP-BANK-0.4</t>
        </is>
      </c>
      <c r="E43" s="9" t="inlineStr">
        <is>
          <t>S</t>
        </is>
      </c>
      <c r="F43" s="9" t="inlineStr">
        <is>
          <t>S2</t>
        </is>
      </c>
      <c r="G43" s="9" t="inlineStr">
        <is>
          <t>SIT</t>
        </is>
      </c>
      <c r="H43" s="9" t="inlineStr">
        <is>
          <t>Être aux côtés d’une personne pendant une période de changement et l’aider à avancer.</t>
        </is>
      </c>
      <c r="I43" s="9" t="inlineStr">
        <is>
          <t>Être présent auprès d’une personne pendant un changement important et l’aider à avancer progressivement.</t>
        </is>
      </c>
      <c r="J43" s="9" t="inlineStr">
        <is>
          <t>RETENU</t>
        </is>
      </c>
      <c r="K43" s="9" t="inlineStr">
        <is>
          <t>Couverture de facette + activité observable ; priorité ACT, complétée par SIT à faible risque.</t>
        </is>
      </c>
      <c r="L43" s="9" t="inlineStr">
        <is>
          <t>FAIBLE</t>
        </is>
      </c>
      <c r="M43" s="9" t="inlineStr">
        <is>
          <t>MOYEN</t>
        </is>
      </c>
      <c r="N43" s="9" t="inlineStr">
        <is>
          <t>FAIBLE</t>
        </is>
      </c>
    </row>
    <row r="44">
      <c r="A44" s="9" t="n">
        <v>43</v>
      </c>
      <c r="B44" s="9" t="inlineStr">
        <is>
          <t>PIP-ACT-S-S3-009</t>
        </is>
      </c>
      <c r="C44" s="9" t="inlineStr">
        <is>
          <t>0.5</t>
        </is>
      </c>
      <c r="D44" s="9" t="inlineStr">
        <is>
          <t>PIP-BANK-0.4</t>
        </is>
      </c>
      <c r="E44" s="9" t="inlineStr">
        <is>
          <t>S</t>
        </is>
      </c>
      <c r="F44" s="9" t="inlineStr">
        <is>
          <t>S3</t>
        </is>
      </c>
      <c r="G44" s="9" t="inlineStr">
        <is>
          <t>ACT</t>
        </is>
      </c>
      <c r="H44" s="9" t="inlineStr">
        <is>
          <t>Écouter la situation d’une personne puis l’aider à identifier les options qui s’offrent à elle.</t>
        </is>
      </c>
      <c r="I44" s="9" t="inlineStr">
        <is>
          <t>Écouter la situation d’une personne puis l’aider à repérer les différentes options possibles.</t>
        </is>
      </c>
      <c r="J44" s="9" t="inlineStr">
        <is>
          <t>RETENU</t>
        </is>
      </c>
      <c r="K44" s="9" t="inlineStr">
        <is>
          <t>Couverture de facette + activité observable ; priorité ACT, complétée par SIT à faible risque.</t>
        </is>
      </c>
      <c r="L44" s="9" t="inlineStr">
        <is>
          <t>MOYEN</t>
        </is>
      </c>
      <c r="M44" s="9" t="inlineStr">
        <is>
          <t>MOYEN</t>
        </is>
      </c>
      <c r="N44" s="9" t="inlineStr">
        <is>
          <t>FAIBLE</t>
        </is>
      </c>
    </row>
    <row r="45">
      <c r="A45" s="9" t="n">
        <v>44</v>
      </c>
      <c r="B45" s="9" t="inlineStr">
        <is>
          <t>PIP-ACT-S-S3-010</t>
        </is>
      </c>
      <c r="C45" s="9" t="inlineStr">
        <is>
          <t>0.5</t>
        </is>
      </c>
      <c r="D45" s="9" t="inlineStr">
        <is>
          <t>PIP-BANK-0.4</t>
        </is>
      </c>
      <c r="E45" s="9" t="inlineStr">
        <is>
          <t>S</t>
        </is>
      </c>
      <c r="F45" s="9" t="inlineStr">
        <is>
          <t>S3</t>
        </is>
      </c>
      <c r="G45" s="9" t="inlineStr">
        <is>
          <t>ACT</t>
        </is>
      </c>
      <c r="H45" s="9" t="inlineStr">
        <is>
          <t>Donner des informations utiles pour aider quelqu’un à faire un choix.</t>
        </is>
      </c>
      <c r="I45" s="9" t="inlineStr">
        <is>
          <t>Donner à quelqu’un les informations utiles pour qu’il puisse prendre lui-même une décision éclairée.</t>
        </is>
      </c>
      <c r="J45" s="9" t="inlineStr">
        <is>
          <t>RETENU</t>
        </is>
      </c>
      <c r="K45" s="9" t="inlineStr">
        <is>
          <t>Couverture de facette + activité observable ; priorité ACT, complétée par SIT à faible risque.</t>
        </is>
      </c>
      <c r="L45" s="9" t="inlineStr">
        <is>
          <t>FAIBLE</t>
        </is>
      </c>
      <c r="M45" s="9" t="inlineStr">
        <is>
          <t>MOYEN</t>
        </is>
      </c>
      <c r="N45" s="9" t="inlineStr">
        <is>
          <t>FAIBLE</t>
        </is>
      </c>
    </row>
    <row r="46">
      <c r="A46" s="9" t="n">
        <v>45</v>
      </c>
      <c r="B46" s="9" t="inlineStr">
        <is>
          <t>PIP-ACT-S-S4-013</t>
        </is>
      </c>
      <c r="C46" s="9" t="inlineStr">
        <is>
          <t>0.5</t>
        </is>
      </c>
      <c r="D46" s="9" t="inlineStr">
        <is>
          <t>PIP-BANK-0.4</t>
        </is>
      </c>
      <c r="E46" s="9" t="inlineStr">
        <is>
          <t>S</t>
        </is>
      </c>
      <c r="F46" s="9" t="inlineStr">
        <is>
          <t>S4</t>
        </is>
      </c>
      <c r="G46" s="9" t="inlineStr">
        <is>
          <t>ACT</t>
        </is>
      </c>
      <c r="H46" s="9" t="inlineStr">
        <is>
          <t>Prendre soin d’une personne qui a besoin d’aide pour préserver ou retrouver son bien-être.</t>
        </is>
      </c>
      <c r="I46" s="9" t="inlineStr">
        <is>
          <t>Aider concrètement une personne fragilisée à préserver ou retrouver son confort, sa santé ou son autonomie.</t>
        </is>
      </c>
      <c r="J46" s="9" t="inlineStr">
        <is>
          <t>RETENU</t>
        </is>
      </c>
      <c r="K46" s="9" t="inlineStr">
        <is>
          <t>Couverture de facette + activité observable ; priorité ACT, complétée par SIT à faible risque.</t>
        </is>
      </c>
      <c r="L46" s="9" t="inlineStr">
        <is>
          <t>FAIBLE</t>
        </is>
      </c>
      <c r="M46" s="9" t="inlineStr">
        <is>
          <t>MOYEN</t>
        </is>
      </c>
      <c r="N46" s="9" t="inlineStr">
        <is>
          <t>FAIBLE</t>
        </is>
      </c>
    </row>
    <row r="47">
      <c r="A47" s="9" t="n">
        <v>46</v>
      </c>
      <c r="B47" s="9" t="inlineStr">
        <is>
          <t>PIP-ACT-S-S4-014</t>
        </is>
      </c>
      <c r="C47" s="9" t="inlineStr">
        <is>
          <t>0.5</t>
        </is>
      </c>
      <c r="D47" s="9" t="inlineStr">
        <is>
          <t>PIP-BANK-0.4</t>
        </is>
      </c>
      <c r="E47" s="9" t="inlineStr">
        <is>
          <t>S</t>
        </is>
      </c>
      <c r="F47" s="9" t="inlineStr">
        <is>
          <t>S4</t>
        </is>
      </c>
      <c r="G47" s="9" t="inlineStr">
        <is>
          <t>ACT</t>
        </is>
      </c>
      <c r="H47" s="9" t="inlineStr">
        <is>
          <t>Réaliser des gestes d’assistance destinés à protéger la santé ou la sécurité d’une personne.</t>
        </is>
      </c>
      <c r="I47" s="9" t="inlineStr">
        <is>
          <t>Réaliser des gestes d’assistance ou de prévention destinés à protéger la santé ou la sécurité d’une personne.</t>
        </is>
      </c>
      <c r="J47" s="9" t="inlineStr">
        <is>
          <t>RETENU</t>
        </is>
      </c>
      <c r="K47" s="9" t="inlineStr">
        <is>
          <t>Couverture de facette + activité observable ; priorité ACT, complétée par SIT à faible risque.</t>
        </is>
      </c>
      <c r="L47" s="9" t="inlineStr">
        <is>
          <t>FAIBLE</t>
        </is>
      </c>
      <c r="M47" s="9" t="inlineStr">
        <is>
          <t>MOYEN</t>
        </is>
      </c>
      <c r="N47" s="9" t="inlineStr">
        <is>
          <t>MOYEN</t>
        </is>
      </c>
    </row>
    <row r="48">
      <c r="A48" s="9" t="n">
        <v>47</v>
      </c>
      <c r="B48" s="9" t="inlineStr">
        <is>
          <t>PIP-ACT-S-S5-017</t>
        </is>
      </c>
      <c r="C48" s="9" t="inlineStr">
        <is>
          <t>0.5</t>
        </is>
      </c>
      <c r="D48" s="9" t="inlineStr">
        <is>
          <t>PIP-BANK-0.4</t>
        </is>
      </c>
      <c r="E48" s="9" t="inlineStr">
        <is>
          <t>S</t>
        </is>
      </c>
      <c r="F48" s="9" t="inlineStr">
        <is>
          <t>S5</t>
        </is>
      </c>
      <c r="G48" s="9" t="inlineStr">
        <is>
          <t>ACT</t>
        </is>
      </c>
      <c r="H48" s="9" t="inlineStr">
        <is>
          <t>Accueillir une personne et l’aider à obtenir le service dont elle a besoin.</t>
        </is>
      </c>
      <c r="I48" s="9" t="inlineStr">
        <is>
          <t>Accueillir une personne, comprendre ce dont elle a besoin et l’aider à obtenir le service recherché.</t>
        </is>
      </c>
      <c r="J48" s="9" t="inlineStr">
        <is>
          <t>RETENU</t>
        </is>
      </c>
      <c r="K48" s="9" t="inlineStr">
        <is>
          <t>Couverture de facette + activité observable ; priorité ACT, complétée par SIT à faible risque.</t>
        </is>
      </c>
      <c r="L48" s="9" t="inlineStr">
        <is>
          <t>FAIBLE</t>
        </is>
      </c>
      <c r="M48" s="9" t="inlineStr">
        <is>
          <t>MOYEN</t>
        </is>
      </c>
      <c r="N48" s="9" t="inlineStr">
        <is>
          <t>FAIBLE</t>
        </is>
      </c>
    </row>
    <row r="49">
      <c r="A49" s="9" t="n">
        <v>48</v>
      </c>
      <c r="B49" s="9" t="inlineStr">
        <is>
          <t>PIP-ACT-S-S5-018</t>
        </is>
      </c>
      <c r="C49" s="9" t="inlineStr">
        <is>
          <t>0.5</t>
        </is>
      </c>
      <c r="D49" s="9" t="inlineStr">
        <is>
          <t>PIP-BANK-0.4</t>
        </is>
      </c>
      <c r="E49" s="9" t="inlineStr">
        <is>
          <t>S</t>
        </is>
      </c>
      <c r="F49" s="9" t="inlineStr">
        <is>
          <t>S5</t>
        </is>
      </c>
      <c r="G49" s="9" t="inlineStr">
        <is>
          <t>ACT</t>
        </is>
      </c>
      <c r="H49" s="9" t="inlineStr">
        <is>
          <t>Répondre concrètement à une demande afin de faciliter la démarche d’une personne.</t>
        </is>
      </c>
      <c r="I49" s="9" t="inlineStr">
        <is>
          <t>Répondre concrètement à la demande d’un usager ou d’un client afin de lui faciliter une démarche.</t>
        </is>
      </c>
      <c r="J49" s="9" t="inlineStr">
        <is>
          <t>RETENU</t>
        </is>
      </c>
      <c r="K49" s="9" t="inlineStr">
        <is>
          <t>Couverture de facette + activité observable ; priorité ACT, complétée par SIT à faible risque.</t>
        </is>
      </c>
      <c r="L49" s="9" t="inlineStr">
        <is>
          <t>FAIBLE</t>
        </is>
      </c>
      <c r="M49" s="9" t="inlineStr">
        <is>
          <t>MOYEN</t>
        </is>
      </c>
      <c r="N49" s="9" t="inlineStr">
        <is>
          <t>FAIBLE</t>
        </is>
      </c>
    </row>
    <row r="50">
      <c r="A50" s="9" t="n">
        <v>49</v>
      </c>
      <c r="B50" s="9" t="inlineStr">
        <is>
          <t>PIP-ACT-E-E1-001</t>
        </is>
      </c>
      <c r="C50" s="9" t="inlineStr">
        <is>
          <t>0.5</t>
        </is>
      </c>
      <c r="D50" s="9" t="inlineStr">
        <is>
          <t>PIP-BANK-0.4</t>
        </is>
      </c>
      <c r="E50" s="9" t="inlineStr">
        <is>
          <t>E</t>
        </is>
      </c>
      <c r="F50" s="9" t="inlineStr">
        <is>
          <t>E1</t>
        </is>
      </c>
      <c r="G50" s="9" t="inlineStr">
        <is>
          <t>ACT</t>
        </is>
      </c>
      <c r="H50" s="9" t="inlineStr">
        <is>
          <t>Lancer un nouveau projet à partir d’une idée ou d’une opportunité.</t>
        </is>
      </c>
      <c r="I50" s="9" t="inlineStr">
        <is>
          <t>Lancer un nouveau service, une activité ou un projet à partir d’une idée ou d’une opportunité identifiée.</t>
        </is>
      </c>
      <c r="J50" s="9" t="inlineStr">
        <is>
          <t>RETENU</t>
        </is>
      </c>
      <c r="K50" s="9" t="inlineStr">
        <is>
          <t>Couverture de facette + activité observable ; priorité ACT, complétée par SIT à faible risque.</t>
        </is>
      </c>
      <c r="L50" s="9" t="inlineStr">
        <is>
          <t>FAIBLE</t>
        </is>
      </c>
      <c r="M50" s="9" t="inlineStr">
        <is>
          <t>MOYEN</t>
        </is>
      </c>
      <c r="N50" s="9" t="inlineStr">
        <is>
          <t>FAIBLE</t>
        </is>
      </c>
    </row>
    <row r="51">
      <c r="A51" s="9" t="n">
        <v>50</v>
      </c>
      <c r="B51" s="9" t="inlineStr">
        <is>
          <t>PIP-ACT-E-E1-002</t>
        </is>
      </c>
      <c r="C51" s="9" t="inlineStr">
        <is>
          <t>0.5</t>
        </is>
      </c>
      <c r="D51" s="9" t="inlineStr">
        <is>
          <t>PIP-BANK-0.4</t>
        </is>
      </c>
      <c r="E51" s="9" t="inlineStr">
        <is>
          <t>E</t>
        </is>
      </c>
      <c r="F51" s="9" t="inlineStr">
        <is>
          <t>E1</t>
        </is>
      </c>
      <c r="G51" s="9" t="inlineStr">
        <is>
          <t>ACT</t>
        </is>
      </c>
      <c r="H51" s="9" t="inlineStr">
        <is>
          <t>Faire progresser un projet en identifiant de nouvelles possibilités de développement.</t>
        </is>
      </c>
      <c r="I51" s="9" t="inlineStr">
        <is>
          <t>Chercher de nouvelles possibilités pour développer un projet, une activité ou une offre existante.</t>
        </is>
      </c>
      <c r="J51" s="9" t="inlineStr">
        <is>
          <t>RETENU</t>
        </is>
      </c>
      <c r="K51" s="9" t="inlineStr">
        <is>
          <t>Couverture de facette + activité observable ; priorité ACT, complétée par SIT à faible risque.</t>
        </is>
      </c>
      <c r="L51" s="9" t="inlineStr">
        <is>
          <t>FAIBLE</t>
        </is>
      </c>
      <c r="M51" s="9" t="inlineStr">
        <is>
          <t>MOYEN</t>
        </is>
      </c>
      <c r="N51" s="9" t="inlineStr">
        <is>
          <t>FAIBLE</t>
        </is>
      </c>
    </row>
    <row r="52">
      <c r="A52" s="9" t="n">
        <v>51</v>
      </c>
      <c r="B52" s="9" t="inlineStr">
        <is>
          <t>PIP-SIT-E-E1-003</t>
        </is>
      </c>
      <c r="C52" s="9" t="inlineStr">
        <is>
          <t>0.5</t>
        </is>
      </c>
      <c r="D52" s="9" t="inlineStr">
        <is>
          <t>PIP-BANK-0.4</t>
        </is>
      </c>
      <c r="E52" s="9" t="inlineStr">
        <is>
          <t>E</t>
        </is>
      </c>
      <c r="F52" s="9" t="inlineStr">
        <is>
          <t>E1</t>
        </is>
      </c>
      <c r="G52" s="9" t="inlineStr">
        <is>
          <t>SIT</t>
        </is>
      </c>
      <c r="H52" s="9" t="inlineStr">
        <is>
          <t>Voir une opportunité et prendre l’initiative de la transformer en projet concret.</t>
        </is>
      </c>
      <c r="I52" s="9" t="inlineStr">
        <is>
          <t>Repérer une opportunité et prendre l’initiative de réunir les moyens nécessaires pour en faire un projet concret.</t>
        </is>
      </c>
      <c r="J52" s="9" t="inlineStr">
        <is>
          <t>RETENU</t>
        </is>
      </c>
      <c r="K52" s="9" t="inlineStr">
        <is>
          <t>Couverture de facette + activité observable ; priorité ACT, complétée par SIT à faible risque.</t>
        </is>
      </c>
      <c r="L52" s="9" t="inlineStr">
        <is>
          <t>FAIBLE</t>
        </is>
      </c>
      <c r="M52" s="9" t="inlineStr">
        <is>
          <t>MOYEN</t>
        </is>
      </c>
      <c r="N52" s="9" t="inlineStr">
        <is>
          <t>FAIBLE</t>
        </is>
      </c>
    </row>
    <row r="53">
      <c r="A53" s="9" t="n">
        <v>52</v>
      </c>
      <c r="B53" s="9" t="inlineStr">
        <is>
          <t>PIP-ACT-E-E2-005</t>
        </is>
      </c>
      <c r="C53" s="9" t="inlineStr">
        <is>
          <t>0.5</t>
        </is>
      </c>
      <c r="D53" s="9" t="inlineStr">
        <is>
          <t>PIP-BANK-0.4</t>
        </is>
      </c>
      <c r="E53" s="9" t="inlineStr">
        <is>
          <t>E</t>
        </is>
      </c>
      <c r="F53" s="9" t="inlineStr">
        <is>
          <t>E2</t>
        </is>
      </c>
      <c r="G53" s="9" t="inlineStr">
        <is>
          <t>ACT</t>
        </is>
      </c>
      <c r="H53" s="9" t="inlineStr">
        <is>
          <t>Présenter une proposition de façon à donner envie d’y adhérer.</t>
        </is>
      </c>
      <c r="I53" s="9" t="inlineStr">
        <is>
          <t>Présenter une proposition à un client, une équipe ou un partenaire de façon à susciter son adhésion.</t>
        </is>
      </c>
      <c r="J53" s="9" t="inlineStr">
        <is>
          <t>RETENU</t>
        </is>
      </c>
      <c r="K53" s="9" t="inlineStr">
        <is>
          <t>Couverture de facette + activité observable ; priorité ACT, complétée par SIT à faible risque.</t>
        </is>
      </c>
      <c r="L53" s="9" t="inlineStr">
        <is>
          <t>FAIBLE</t>
        </is>
      </c>
      <c r="M53" s="9" t="inlineStr">
        <is>
          <t>MOYEN</t>
        </is>
      </c>
      <c r="N53" s="9" t="inlineStr">
        <is>
          <t>FAIBLE</t>
        </is>
      </c>
    </row>
    <row r="54">
      <c r="A54" s="9" t="n">
        <v>53</v>
      </c>
      <c r="B54" s="9" t="inlineStr">
        <is>
          <t>PIP-ACT-E-E2-006</t>
        </is>
      </c>
      <c r="C54" s="9" t="inlineStr">
        <is>
          <t>0.5</t>
        </is>
      </c>
      <c r="D54" s="9" t="inlineStr">
        <is>
          <t>PIP-BANK-0.4</t>
        </is>
      </c>
      <c r="E54" s="9" t="inlineStr">
        <is>
          <t>E</t>
        </is>
      </c>
      <c r="F54" s="9" t="inlineStr">
        <is>
          <t>E2</t>
        </is>
      </c>
      <c r="G54" s="9" t="inlineStr">
        <is>
          <t>ACT</t>
        </is>
      </c>
      <c r="H54" s="9" t="inlineStr">
        <is>
          <t>Promouvoir un produit, un service ou une idée auprès d’un public.</t>
        </is>
      </c>
      <c r="I54" s="9" t="inlineStr">
        <is>
          <t>Promouvoir un produit, un service, un projet ou une idée auprès d’un public susceptible d’être intéressé.</t>
        </is>
      </c>
      <c r="J54" s="9" t="inlineStr">
        <is>
          <t>RETENU</t>
        </is>
      </c>
      <c r="K54" s="9" t="inlineStr">
        <is>
          <t>Couverture de facette + activité observable ; priorité ACT, complétée par SIT à faible risque.</t>
        </is>
      </c>
      <c r="L54" s="9" t="inlineStr">
        <is>
          <t>FAIBLE</t>
        </is>
      </c>
      <c r="M54" s="9" t="inlineStr">
        <is>
          <t>MOYEN</t>
        </is>
      </c>
      <c r="N54" s="9" t="inlineStr">
        <is>
          <t>FAIBLE</t>
        </is>
      </c>
    </row>
    <row r="55">
      <c r="A55" s="9" t="n">
        <v>54</v>
      </c>
      <c r="B55" s="9" t="inlineStr">
        <is>
          <t>PIP-SIT-E-E2-007</t>
        </is>
      </c>
      <c r="C55" s="9" t="inlineStr">
        <is>
          <t>0.5</t>
        </is>
      </c>
      <c r="D55" s="9" t="inlineStr">
        <is>
          <t>PIP-BANK-0.4</t>
        </is>
      </c>
      <c r="E55" s="9" t="inlineStr">
        <is>
          <t>E</t>
        </is>
      </c>
      <c r="F55" s="9" t="inlineStr">
        <is>
          <t>E2</t>
        </is>
      </c>
      <c r="G55" s="9" t="inlineStr">
        <is>
          <t>SIT</t>
        </is>
      </c>
      <c r="H55" s="9" t="inlineStr">
        <is>
          <t>Défendre une proposition devant des personnes qui hésitent afin d’obtenir leur adhésion.</t>
        </is>
      </c>
      <c r="I55" s="9" t="inlineStr">
        <is>
          <t>Défendre une proposition devant des personnes hésitantes afin de les convaincre de la retenir.</t>
        </is>
      </c>
      <c r="J55" s="9" t="inlineStr">
        <is>
          <t>RETENU</t>
        </is>
      </c>
      <c r="K55" s="9" t="inlineStr">
        <is>
          <t>Couverture de facette + activité observable ; priorité ACT, complétée par SIT à faible risque.</t>
        </is>
      </c>
      <c r="L55" s="9" t="inlineStr">
        <is>
          <t>FAIBLE</t>
        </is>
      </c>
      <c r="M55" s="9" t="inlineStr">
        <is>
          <t>MOYEN</t>
        </is>
      </c>
      <c r="N55" s="9" t="inlineStr">
        <is>
          <t>FAIBLE</t>
        </is>
      </c>
    </row>
    <row r="56">
      <c r="A56" s="9" t="n">
        <v>55</v>
      </c>
      <c r="B56" s="9" t="inlineStr">
        <is>
          <t>PIP-ACT-E-E3-009</t>
        </is>
      </c>
      <c r="C56" s="9" t="inlineStr">
        <is>
          <t>0.5</t>
        </is>
      </c>
      <c r="D56" s="9" t="inlineStr">
        <is>
          <t>PIP-BANK-0.4</t>
        </is>
      </c>
      <c r="E56" s="9" t="inlineStr">
        <is>
          <t>E</t>
        </is>
      </c>
      <c r="F56" s="9" t="inlineStr">
        <is>
          <t>E3</t>
        </is>
      </c>
      <c r="G56" s="9" t="inlineStr">
        <is>
          <t>ACT</t>
        </is>
      </c>
      <c r="H56" s="9" t="inlineStr">
        <is>
          <t>Négocier les conditions d’un accord entre plusieurs parties.</t>
        </is>
      </c>
      <c r="I56" s="9" t="inlineStr">
        <is>
          <t>Négocier avec plusieurs parties les conditions d’un accord afin de parvenir à une solution acceptable.</t>
        </is>
      </c>
      <c r="J56" s="9" t="inlineStr">
        <is>
          <t>RETENU</t>
        </is>
      </c>
      <c r="K56" s="9" t="inlineStr">
        <is>
          <t>Couverture de facette + activité observable ; priorité ACT, complétée par SIT à faible risque.</t>
        </is>
      </c>
      <c r="L56" s="9" t="inlineStr">
        <is>
          <t>FAIBLE</t>
        </is>
      </c>
      <c r="M56" s="9" t="inlineStr">
        <is>
          <t>MOYEN</t>
        </is>
      </c>
      <c r="N56" s="9" t="inlineStr">
        <is>
          <t>MOYEN</t>
        </is>
      </c>
    </row>
    <row r="57">
      <c r="A57" s="9" t="n">
        <v>56</v>
      </c>
      <c r="B57" s="9" t="inlineStr">
        <is>
          <t>PIP-ACT-E-E3-010</t>
        </is>
      </c>
      <c r="C57" s="9" t="inlineStr">
        <is>
          <t>0.5</t>
        </is>
      </c>
      <c r="D57" s="9" t="inlineStr">
        <is>
          <t>PIP-BANK-0.4</t>
        </is>
      </c>
      <c r="E57" s="9" t="inlineStr">
        <is>
          <t>E</t>
        </is>
      </c>
      <c r="F57" s="9" t="inlineStr">
        <is>
          <t>E3</t>
        </is>
      </c>
      <c r="G57" s="9" t="inlineStr">
        <is>
          <t>ACT</t>
        </is>
      </c>
      <c r="H57" s="9" t="inlineStr">
        <is>
          <t>Chercher un compromis lorsque des personnes défendent des intérêts différents.</t>
        </is>
      </c>
      <c r="I57" s="9" t="inlineStr">
        <is>
          <t>Rechercher un compromis lorsque deux personnes ou organisations défendent des intérêts différents.</t>
        </is>
      </c>
      <c r="J57" s="9" t="inlineStr">
        <is>
          <t>RETENU</t>
        </is>
      </c>
      <c r="K57" s="9" t="inlineStr">
        <is>
          <t>Couverture de facette + activité observable ; priorité ACT, complétée par SIT à faible risque.</t>
        </is>
      </c>
      <c r="L57" s="9" t="inlineStr">
        <is>
          <t>MOYEN</t>
        </is>
      </c>
      <c r="M57" s="9" t="inlineStr">
        <is>
          <t>MOYEN</t>
        </is>
      </c>
      <c r="N57" s="9" t="inlineStr">
        <is>
          <t>FAIBLE</t>
        </is>
      </c>
    </row>
    <row r="58">
      <c r="A58" s="9" t="n">
        <v>57</v>
      </c>
      <c r="B58" s="9" t="inlineStr">
        <is>
          <t>PIP-ACT-E-E4-013</t>
        </is>
      </c>
      <c r="C58" s="9" t="inlineStr">
        <is>
          <t>0.5</t>
        </is>
      </c>
      <c r="D58" s="9" t="inlineStr">
        <is>
          <t>PIP-BANK-0.4</t>
        </is>
      </c>
      <c r="E58" s="9" t="inlineStr">
        <is>
          <t>E</t>
        </is>
      </c>
      <c r="F58" s="9" t="inlineStr">
        <is>
          <t>E4</t>
        </is>
      </c>
      <c r="G58" s="9" t="inlineStr">
        <is>
          <t>ACT</t>
        </is>
      </c>
      <c r="H58" s="9" t="inlineStr">
        <is>
          <t>Coordonner le travail de plusieurs personnes pour faire avancer un projet.</t>
        </is>
      </c>
      <c r="I58" s="9" t="inlineStr">
        <is>
          <t>Coordonner plusieurs personnes, répartir les responsabilités et suivre l’avancement d’un projet.</t>
        </is>
      </c>
      <c r="J58" s="9" t="inlineStr">
        <is>
          <t>RETENU</t>
        </is>
      </c>
      <c r="K58" s="9" t="inlineStr">
        <is>
          <t>Couverture de facette + activité observable ; priorité ACT, complétée par SIT à faible risque.</t>
        </is>
      </c>
      <c r="L58" s="9" t="inlineStr">
        <is>
          <t>MOYEN</t>
        </is>
      </c>
      <c r="M58" s="9" t="inlineStr">
        <is>
          <t>MOYEN</t>
        </is>
      </c>
      <c r="N58" s="9" t="inlineStr">
        <is>
          <t>FAIBLE</t>
        </is>
      </c>
    </row>
    <row r="59">
      <c r="A59" s="9" t="n">
        <v>58</v>
      </c>
      <c r="B59" s="9" t="inlineStr">
        <is>
          <t>PIP-ACT-E-E4-014</t>
        </is>
      </c>
      <c r="C59" s="9" t="inlineStr">
        <is>
          <t>0.5</t>
        </is>
      </c>
      <c r="D59" s="9" t="inlineStr">
        <is>
          <t>PIP-BANK-0.4</t>
        </is>
      </c>
      <c r="E59" s="9" t="inlineStr">
        <is>
          <t>E</t>
        </is>
      </c>
      <c r="F59" s="9" t="inlineStr">
        <is>
          <t>E4</t>
        </is>
      </c>
      <c r="G59" s="9" t="inlineStr">
        <is>
          <t>ACT</t>
        </is>
      </c>
      <c r="H59" s="9" t="inlineStr">
        <is>
          <t>Prendre des décisions qui orientent l’action d’une équipe ou d’un projet.</t>
        </is>
      </c>
      <c r="I59" s="9" t="inlineStr">
        <is>
          <t>Prendre une décision qui donne une direction claire à une équipe ou à un projet.</t>
        </is>
      </c>
      <c r="J59" s="9" t="inlineStr">
        <is>
          <t>RETENU</t>
        </is>
      </c>
      <c r="K59" s="9" t="inlineStr">
        <is>
          <t>Couverture de facette + activité observable ; priorité ACT, complétée par SIT à faible risque.</t>
        </is>
      </c>
      <c r="L59" s="9" t="inlineStr">
        <is>
          <t>FAIBLE</t>
        </is>
      </c>
      <c r="M59" s="9" t="inlineStr">
        <is>
          <t>MOYEN</t>
        </is>
      </c>
      <c r="N59" s="9" t="inlineStr">
        <is>
          <t>FAIBLE</t>
        </is>
      </c>
    </row>
    <row r="60">
      <c r="A60" s="9" t="n">
        <v>59</v>
      </c>
      <c r="B60" s="9" t="inlineStr">
        <is>
          <t>PIP-ACT-E-E5-017</t>
        </is>
      </c>
      <c r="C60" s="9" t="inlineStr">
        <is>
          <t>0.5</t>
        </is>
      </c>
      <c r="D60" s="9" t="inlineStr">
        <is>
          <t>PIP-BANK-0.4</t>
        </is>
      </c>
      <c r="E60" s="9" t="inlineStr">
        <is>
          <t>E</t>
        </is>
      </c>
      <c r="F60" s="9" t="inlineStr">
        <is>
          <t>E5</t>
        </is>
      </c>
      <c r="G60" s="9" t="inlineStr">
        <is>
          <t>ACT</t>
        </is>
      </c>
      <c r="H60" s="9" t="inlineStr">
        <is>
          <t>Prendre la parole pour représenter une organisation, un projet ou une cause.</t>
        </is>
      </c>
      <c r="I60" s="9" t="inlineStr">
        <is>
          <t>Prendre la parole au nom d’une organisation, d’un projet ou d’une cause devant des interlocuteurs externes.</t>
        </is>
      </c>
      <c r="J60" s="9" t="inlineStr">
        <is>
          <t>RETENU</t>
        </is>
      </c>
      <c r="K60" s="9" t="inlineStr">
        <is>
          <t>Couverture de facette + activité observable ; priorité ACT, complétée par SIT à faible risque.</t>
        </is>
      </c>
      <c r="L60" s="9" t="inlineStr">
        <is>
          <t>FAIBLE</t>
        </is>
      </c>
      <c r="M60" s="9" t="inlineStr">
        <is>
          <t>MOYEN</t>
        </is>
      </c>
      <c r="N60" s="9" t="inlineStr">
        <is>
          <t>FAIBLE</t>
        </is>
      </c>
    </row>
    <row r="61">
      <c r="A61" s="9" t="n">
        <v>60</v>
      </c>
      <c r="B61" s="9" t="inlineStr">
        <is>
          <t>PIP-ACT-E-E5-018</t>
        </is>
      </c>
      <c r="C61" s="9" t="inlineStr">
        <is>
          <t>0.5</t>
        </is>
      </c>
      <c r="D61" s="9" t="inlineStr">
        <is>
          <t>PIP-BANK-0.4</t>
        </is>
      </c>
      <c r="E61" s="9" t="inlineStr">
        <is>
          <t>E</t>
        </is>
      </c>
      <c r="F61" s="9" t="inlineStr">
        <is>
          <t>E5</t>
        </is>
      </c>
      <c r="G61" s="9" t="inlineStr">
        <is>
          <t>ACT</t>
        </is>
      </c>
      <c r="H61" s="9" t="inlineStr">
        <is>
          <t>Mobiliser plusieurs personnes autour d’un objectif commun.</t>
        </is>
      </c>
      <c r="I61" s="9" t="inlineStr">
        <is>
          <t>Mobiliser plusieurs personnes autour d’un objectif et leur donner envie de contribuer.</t>
        </is>
      </c>
      <c r="J61" s="9" t="inlineStr">
        <is>
          <t>RETENU</t>
        </is>
      </c>
      <c r="K61" s="9" t="inlineStr">
        <is>
          <t>Couverture de facette + activité observable ; priorité ACT, complétée par SIT à faible risque.</t>
        </is>
      </c>
      <c r="L61" s="9" t="inlineStr">
        <is>
          <t>FAIBLE</t>
        </is>
      </c>
      <c r="M61" s="9" t="inlineStr">
        <is>
          <t>MOYEN</t>
        </is>
      </c>
      <c r="N61" s="9" t="inlineStr">
        <is>
          <t>FAIBLE</t>
        </is>
      </c>
    </row>
    <row r="62">
      <c r="A62" s="9" t="n">
        <v>61</v>
      </c>
      <c r="B62" s="9" t="inlineStr">
        <is>
          <t>PIP-ACT-C-C1-001</t>
        </is>
      </c>
      <c r="C62" s="9" t="inlineStr">
        <is>
          <t>0.5</t>
        </is>
      </c>
      <c r="D62" s="9" t="inlineStr">
        <is>
          <t>PIP-BANK-0.4</t>
        </is>
      </c>
      <c r="E62" s="9" t="inlineStr">
        <is>
          <t>C</t>
        </is>
      </c>
      <c r="F62" s="9" t="inlineStr">
        <is>
          <t>C1</t>
        </is>
      </c>
      <c r="G62" s="9" t="inlineStr">
        <is>
          <t>ACT</t>
        </is>
      </c>
      <c r="H62" s="9" t="inlineStr">
        <is>
          <t>Organiser des informations pour qu’elles soient faciles à retrouver et à utiliser.</t>
        </is>
      </c>
      <c r="I62" s="9" t="inlineStr">
        <is>
          <t>Organiser des dossiers ou informations dans une arborescence claire afin qu’ils soient rapidement retrouvés.</t>
        </is>
      </c>
      <c r="J62" s="9" t="inlineStr">
        <is>
          <t>RETENU</t>
        </is>
      </c>
      <c r="K62" s="9" t="inlineStr">
        <is>
          <t>Couverture de facette + activité observable ; priorité ACT, complétée par SIT à faible risque.</t>
        </is>
      </c>
      <c r="L62" s="9" t="inlineStr">
        <is>
          <t>FAIBLE</t>
        </is>
      </c>
      <c r="M62" s="9" t="inlineStr">
        <is>
          <t>MOYEN</t>
        </is>
      </c>
      <c r="N62" s="9" t="inlineStr">
        <is>
          <t>FAIBLE</t>
        </is>
      </c>
    </row>
    <row r="63">
      <c r="A63" s="9" t="n">
        <v>62</v>
      </c>
      <c r="B63" s="9" t="inlineStr">
        <is>
          <t>PIP-ACT-C-C1-002</t>
        </is>
      </c>
      <c r="C63" s="9" t="inlineStr">
        <is>
          <t>0.5</t>
        </is>
      </c>
      <c r="D63" s="9" t="inlineStr">
        <is>
          <t>PIP-BANK-0.4</t>
        </is>
      </c>
      <c r="E63" s="9" t="inlineStr">
        <is>
          <t>C</t>
        </is>
      </c>
      <c r="F63" s="9" t="inlineStr">
        <is>
          <t>C1</t>
        </is>
      </c>
      <c r="G63" s="9" t="inlineStr">
        <is>
          <t>ACT</t>
        </is>
      </c>
      <c r="H63" s="9" t="inlineStr">
        <is>
          <t>Classer des documents ou des données selon une structure claire.</t>
        </is>
      </c>
      <c r="I63" s="9" t="inlineStr">
        <is>
          <t>Classer des documents ou des données selon des catégories et des règles définies.</t>
        </is>
      </c>
      <c r="J63" s="9" t="inlineStr">
        <is>
          <t>RETENU</t>
        </is>
      </c>
      <c r="K63" s="9" t="inlineStr">
        <is>
          <t>Couverture de facette + activité observable ; priorité ACT, complétée par SIT à faible risque.</t>
        </is>
      </c>
      <c r="L63" s="9" t="inlineStr">
        <is>
          <t>FAIBLE</t>
        </is>
      </c>
      <c r="M63" s="9" t="inlineStr">
        <is>
          <t>MOYEN</t>
        </is>
      </c>
      <c r="N63" s="9" t="inlineStr">
        <is>
          <t>FAIBLE</t>
        </is>
      </c>
    </row>
    <row r="64">
      <c r="A64" s="9" t="n">
        <v>63</v>
      </c>
      <c r="B64" s="9" t="inlineStr">
        <is>
          <t>PIP-SIT-C-C1-003</t>
        </is>
      </c>
      <c r="C64" s="9" t="inlineStr">
        <is>
          <t>0.5</t>
        </is>
      </c>
      <c r="D64" s="9" t="inlineStr">
        <is>
          <t>PIP-BANK-0.4</t>
        </is>
      </c>
      <c r="E64" s="9" t="inlineStr">
        <is>
          <t>C</t>
        </is>
      </c>
      <c r="F64" s="9" t="inlineStr">
        <is>
          <t>C1</t>
        </is>
      </c>
      <c r="G64" s="9" t="inlineStr">
        <is>
          <t>SIT</t>
        </is>
      </c>
      <c r="H64" s="9" t="inlineStr">
        <is>
          <t>Remettre de l’ordre dans un ensemble d’informations dispersées afin qu’il devienne exploitable.</t>
        </is>
      </c>
      <c r="I64" s="9" t="inlineStr">
        <is>
          <t>Reprendre un ensemble de fichiers ou d’informations dispersés et les réorganiser pour qu’ils deviennent faciles à utiliser.</t>
        </is>
      </c>
      <c r="J64" s="9" t="inlineStr">
        <is>
          <t>RETENU</t>
        </is>
      </c>
      <c r="K64" s="9" t="inlineStr">
        <is>
          <t>Couverture de facette + activité observable ; priorité ACT, complétée par SIT à faible risque.</t>
        </is>
      </c>
      <c r="L64" s="9" t="inlineStr">
        <is>
          <t>FAIBLE</t>
        </is>
      </c>
      <c r="M64" s="9" t="inlineStr">
        <is>
          <t>MOYEN</t>
        </is>
      </c>
      <c r="N64" s="9" t="inlineStr">
        <is>
          <t>FAIBLE</t>
        </is>
      </c>
    </row>
    <row r="65">
      <c r="A65" s="9" t="n">
        <v>64</v>
      </c>
      <c r="B65" s="9" t="inlineStr">
        <is>
          <t>PIP-ACT-C-C2-005</t>
        </is>
      </c>
      <c r="C65" s="9" t="inlineStr">
        <is>
          <t>0.5</t>
        </is>
      </c>
      <c r="D65" s="9" t="inlineStr">
        <is>
          <t>PIP-BANK-0.4</t>
        </is>
      </c>
      <c r="E65" s="9" t="inlineStr">
        <is>
          <t>C</t>
        </is>
      </c>
      <c r="F65" s="9" t="inlineStr">
        <is>
          <t>C2</t>
        </is>
      </c>
      <c r="G65" s="9" t="inlineStr">
        <is>
          <t>ACT</t>
        </is>
      </c>
      <c r="H65" s="9" t="inlineStr">
        <is>
          <t>Enregistrer avec précision des informations dans un dossier ou un système.</t>
        </is>
      </c>
      <c r="I65" s="9" t="inlineStr">
        <is>
          <t>Saisir avec précision des informations dans un dossier, une base ou un système de suivi.</t>
        </is>
      </c>
      <c r="J65" s="9" t="inlineStr">
        <is>
          <t>RETENU</t>
        </is>
      </c>
      <c r="K65" s="9" t="inlineStr">
        <is>
          <t>Couverture de facette + activité observable ; priorité ACT, complétée par SIT à faible risque.</t>
        </is>
      </c>
      <c r="L65" s="9" t="inlineStr">
        <is>
          <t>FAIBLE</t>
        </is>
      </c>
      <c r="M65" s="9" t="inlineStr">
        <is>
          <t>MOYEN</t>
        </is>
      </c>
      <c r="N65" s="9" t="inlineStr">
        <is>
          <t>MOYEN</t>
        </is>
      </c>
    </row>
    <row r="66">
      <c r="A66" s="9" t="n">
        <v>65</v>
      </c>
      <c r="B66" s="9" t="inlineStr">
        <is>
          <t>PIP-ACT-C-C2-006</t>
        </is>
      </c>
      <c r="C66" s="9" t="inlineStr">
        <is>
          <t>0.5</t>
        </is>
      </c>
      <c r="D66" s="9" t="inlineStr">
        <is>
          <t>PIP-BANK-0.4</t>
        </is>
      </c>
      <c r="E66" s="9" t="inlineStr">
        <is>
          <t>C</t>
        </is>
      </c>
      <c r="F66" s="9" t="inlineStr">
        <is>
          <t>C2</t>
        </is>
      </c>
      <c r="G66" s="9" t="inlineStr">
        <is>
          <t>ACT</t>
        </is>
      </c>
      <c r="H66" s="9" t="inlineStr">
        <is>
          <t>Mettre régulièrement à jour des données pour qu’elles restent fiables.</t>
        </is>
      </c>
      <c r="I66" s="9" t="inlineStr">
        <is>
          <t>Mettre à jour régulièrement un fichier de suivi afin que les informations restent exactes et actuelles.</t>
        </is>
      </c>
      <c r="J66" s="9" t="inlineStr">
        <is>
          <t>RETENU</t>
        </is>
      </c>
      <c r="K66" s="9" t="inlineStr">
        <is>
          <t>Couverture de facette + activité observable ; priorité ACT, complétée par SIT à faible risque.</t>
        </is>
      </c>
      <c r="L66" s="9" t="inlineStr">
        <is>
          <t>FAIBLE</t>
        </is>
      </c>
      <c r="M66" s="9" t="inlineStr">
        <is>
          <t>MOYEN</t>
        </is>
      </c>
      <c r="N66" s="9" t="inlineStr">
        <is>
          <t>FAIBLE</t>
        </is>
      </c>
    </row>
    <row r="67">
      <c r="A67" s="9" t="n">
        <v>66</v>
      </c>
      <c r="B67" s="9" t="inlineStr">
        <is>
          <t>PIP-SIT-C-C2-007</t>
        </is>
      </c>
      <c r="C67" s="9" t="inlineStr">
        <is>
          <t>0.5</t>
        </is>
      </c>
      <c r="D67" s="9" t="inlineStr">
        <is>
          <t>PIP-BANK-0.4</t>
        </is>
      </c>
      <c r="E67" s="9" t="inlineStr">
        <is>
          <t>C</t>
        </is>
      </c>
      <c r="F67" s="9" t="inlineStr">
        <is>
          <t>C2</t>
        </is>
      </c>
      <c r="G67" s="9" t="inlineStr">
        <is>
          <t>SIT</t>
        </is>
      </c>
      <c r="H67" s="9" t="inlineStr">
        <is>
          <t>Reprendre un ensemble d’informations incomplètes et les mettre à jour de manière méthodique.</t>
        </is>
      </c>
      <c r="I67" s="9" t="inlineStr">
        <is>
          <t>Reprendre un dossier contenant des informations manquantes, les compléter et vérifier qu’il est à jour.</t>
        </is>
      </c>
      <c r="J67" s="9" t="inlineStr">
        <is>
          <t>RETENU</t>
        </is>
      </c>
      <c r="K67" s="9" t="inlineStr">
        <is>
          <t>Couverture de facette + activité observable ; priorité ACT, complétée par SIT à faible risque.</t>
        </is>
      </c>
      <c r="L67" s="9" t="inlineStr">
        <is>
          <t>FAIBLE</t>
        </is>
      </c>
      <c r="M67" s="9" t="inlineStr">
        <is>
          <t>MOYEN</t>
        </is>
      </c>
      <c r="N67" s="9" t="inlineStr">
        <is>
          <t>FAIBLE</t>
        </is>
      </c>
    </row>
    <row r="68">
      <c r="A68" s="9" t="n">
        <v>67</v>
      </c>
      <c r="B68" s="9" t="inlineStr">
        <is>
          <t>PIP-ACT-C-C3-009</t>
        </is>
      </c>
      <c r="C68" s="9" t="inlineStr">
        <is>
          <t>0.5</t>
        </is>
      </c>
      <c r="D68" s="9" t="inlineStr">
        <is>
          <t>PIP-BANK-0.4</t>
        </is>
      </c>
      <c r="E68" s="9" t="inlineStr">
        <is>
          <t>C</t>
        </is>
      </c>
      <c r="F68" s="9" t="inlineStr">
        <is>
          <t>C3</t>
        </is>
      </c>
      <c r="G68" s="9" t="inlineStr">
        <is>
          <t>ACT</t>
        </is>
      </c>
      <c r="H68" s="9" t="inlineStr">
        <is>
          <t>Vérifier l’exactitude d’informations avant qu’elles soient utilisées.</t>
        </is>
      </c>
      <c r="I68" s="9" t="inlineStr">
        <is>
          <t>Contrôler des informations avant leur utilisation afin de vérifier qu’elles sont exactes et complètes.</t>
        </is>
      </c>
      <c r="J68" s="9" t="inlineStr">
        <is>
          <t>RETENU</t>
        </is>
      </c>
      <c r="K68" s="9" t="inlineStr">
        <is>
          <t>Couverture de facette + activité observable ; priorité ACT, complétée par SIT à faible risque.</t>
        </is>
      </c>
      <c r="L68" s="9" t="inlineStr">
        <is>
          <t>FAIBLE</t>
        </is>
      </c>
      <c r="M68" s="9" t="inlineStr">
        <is>
          <t>MOYEN</t>
        </is>
      </c>
      <c r="N68" s="9" t="inlineStr">
        <is>
          <t>FAIBLE</t>
        </is>
      </c>
    </row>
    <row r="69">
      <c r="A69" s="9" t="n">
        <v>68</v>
      </c>
      <c r="B69" s="9" t="inlineStr">
        <is>
          <t>PIP-ACT-C-C3-010</t>
        </is>
      </c>
      <c r="C69" s="9" t="inlineStr">
        <is>
          <t>0.5</t>
        </is>
      </c>
      <c r="D69" s="9" t="inlineStr">
        <is>
          <t>PIP-BANK-0.4</t>
        </is>
      </c>
      <c r="E69" s="9" t="inlineStr">
        <is>
          <t>C</t>
        </is>
      </c>
      <c r="F69" s="9" t="inlineStr">
        <is>
          <t>C3</t>
        </is>
      </c>
      <c r="G69" s="9" t="inlineStr">
        <is>
          <t>ACT</t>
        </is>
      </c>
      <c r="H69" s="9" t="inlineStr">
        <is>
          <t>Comparer plusieurs données pour repérer une erreur ou une incohérence.</t>
        </is>
      </c>
      <c r="I69" s="9" t="inlineStr">
        <is>
          <t>Comparer des données entre plusieurs documents pour repérer une erreur, un écart ou une incohérence.</t>
        </is>
      </c>
      <c r="J69" s="9" t="inlineStr">
        <is>
          <t>RETENU</t>
        </is>
      </c>
      <c r="K69" s="9" t="inlineStr">
        <is>
          <t>Couverture de facette + activité observable ; priorité ACT, complétée par SIT à faible risque.</t>
        </is>
      </c>
      <c r="L69" s="9" t="inlineStr">
        <is>
          <t>MOYEN</t>
        </is>
      </c>
      <c r="M69" s="9" t="inlineStr">
        <is>
          <t>MOYEN</t>
        </is>
      </c>
      <c r="N69" s="9" t="inlineStr">
        <is>
          <t>FAIBLE</t>
        </is>
      </c>
    </row>
    <row r="70">
      <c r="A70" s="9" t="n">
        <v>69</v>
      </c>
      <c r="B70" s="9" t="inlineStr">
        <is>
          <t>PIP-ACT-C-C4-013</t>
        </is>
      </c>
      <c r="C70" s="9" t="inlineStr">
        <is>
          <t>0.5</t>
        </is>
      </c>
      <c r="D70" s="9" t="inlineStr">
        <is>
          <t>PIP-BANK-0.4</t>
        </is>
      </c>
      <c r="E70" s="9" t="inlineStr">
        <is>
          <t>C</t>
        </is>
      </c>
      <c r="F70" s="9" t="inlineStr">
        <is>
          <t>C4</t>
        </is>
      </c>
      <c r="G70" s="9" t="inlineStr">
        <is>
          <t>ACT</t>
        </is>
      </c>
      <c r="H70" s="9" t="inlineStr">
        <is>
          <t>Suivre une procédure définie pour réaliser une opération de façon conforme.</t>
        </is>
      </c>
      <c r="I70" s="9" t="inlineStr">
        <is>
          <t>Réaliser une opération en suivant une procédure précise afin de respecter les règles prévues.</t>
        </is>
      </c>
      <c r="J70" s="9" t="inlineStr">
        <is>
          <t>RETENU</t>
        </is>
      </c>
      <c r="K70" s="9" t="inlineStr">
        <is>
          <t>Couverture de facette + activité observable ; priorité ACT, complétée par SIT à faible risque.</t>
        </is>
      </c>
      <c r="L70" s="9" t="inlineStr">
        <is>
          <t>FAIBLE</t>
        </is>
      </c>
      <c r="M70" s="9" t="inlineStr">
        <is>
          <t>MOYEN</t>
        </is>
      </c>
      <c r="N70" s="9" t="inlineStr">
        <is>
          <t>MOYEN</t>
        </is>
      </c>
    </row>
    <row r="71">
      <c r="A71" s="9" t="n">
        <v>70</v>
      </c>
      <c r="B71" s="9" t="inlineStr">
        <is>
          <t>PIP-ACT-C-C4-014</t>
        </is>
      </c>
      <c r="C71" s="9" t="inlineStr">
        <is>
          <t>0.5</t>
        </is>
      </c>
      <c r="D71" s="9" t="inlineStr">
        <is>
          <t>PIP-BANK-0.4</t>
        </is>
      </c>
      <c r="E71" s="9" t="inlineStr">
        <is>
          <t>C</t>
        </is>
      </c>
      <c r="F71" s="9" t="inlineStr">
        <is>
          <t>C4</t>
        </is>
      </c>
      <c r="G71" s="9" t="inlineStr">
        <is>
          <t>ACT</t>
        </is>
      </c>
      <c r="H71" s="9" t="inlineStr">
        <is>
          <t>Vérifier qu’une activité respecte des règles ou des critères précis.</t>
        </is>
      </c>
      <c r="I71" s="9" t="inlineStr">
        <is>
          <t>Contrôler qu’une opération, un dossier ou une activité respecte les critères et règles applicables.</t>
        </is>
      </c>
      <c r="J71" s="9" t="inlineStr">
        <is>
          <t>RETENU</t>
        </is>
      </c>
      <c r="K71" s="9" t="inlineStr">
        <is>
          <t>Couverture de facette + activité observable ; priorité ACT, complétée par SIT à faible risque.</t>
        </is>
      </c>
      <c r="L71" s="9" t="inlineStr">
        <is>
          <t>FAIBLE</t>
        </is>
      </c>
      <c r="M71" s="9" t="inlineStr">
        <is>
          <t>MOYEN</t>
        </is>
      </c>
      <c r="N71" s="9" t="inlineStr">
        <is>
          <t>FAIBLE</t>
        </is>
      </c>
    </row>
    <row r="72">
      <c r="A72" s="9" t="n">
        <v>71</v>
      </c>
      <c r="B72" s="9" t="inlineStr">
        <is>
          <t>PIP-ACT-C-C5-017</t>
        </is>
      </c>
      <c r="C72" s="9" t="inlineStr">
        <is>
          <t>0.5</t>
        </is>
      </c>
      <c r="D72" s="9" t="inlineStr">
        <is>
          <t>PIP-BANK-0.4</t>
        </is>
      </c>
      <c r="E72" s="9" t="inlineStr">
        <is>
          <t>C</t>
        </is>
      </c>
      <c r="F72" s="9" t="inlineStr">
        <is>
          <t>C5</t>
        </is>
      </c>
      <c r="G72" s="9" t="inlineStr">
        <is>
          <t>ACT</t>
        </is>
      </c>
      <c r="H72" s="9" t="inlineStr">
        <is>
          <t>Suivre l’avancement d’un dossier jusqu’à sa clôture.</t>
        </is>
      </c>
      <c r="I72" s="9" t="inlineStr">
        <is>
          <t>Suivre un dossier depuis son ouverture jusqu’à sa clôture en vérifiant que chaque étape est réalisée.</t>
        </is>
      </c>
      <c r="J72" s="9" t="inlineStr">
        <is>
          <t>RETENU</t>
        </is>
      </c>
      <c r="K72" s="9" t="inlineStr">
        <is>
          <t>Couverture de facette + activité observable ; priorité ACT, complétée par SIT à faible risque.</t>
        </is>
      </c>
      <c r="L72" s="9" t="inlineStr">
        <is>
          <t>FAIBLE</t>
        </is>
      </c>
      <c r="M72" s="9" t="inlineStr">
        <is>
          <t>MOYEN</t>
        </is>
      </c>
      <c r="N72" s="9" t="inlineStr">
        <is>
          <t>MOYEN</t>
        </is>
      </c>
    </row>
    <row r="73">
      <c r="A73" s="9" t="n">
        <v>72</v>
      </c>
      <c r="B73" s="9" t="inlineStr">
        <is>
          <t>PIP-ACT-C-C5-018</t>
        </is>
      </c>
      <c r="C73" s="9" t="inlineStr">
        <is>
          <t>0.5</t>
        </is>
      </c>
      <c r="D73" s="9" t="inlineStr">
        <is>
          <t>PIP-BANK-0.4</t>
        </is>
      </c>
      <c r="E73" s="9" t="inlineStr">
        <is>
          <t>C</t>
        </is>
      </c>
      <c r="F73" s="9" t="inlineStr">
        <is>
          <t>C5</t>
        </is>
      </c>
      <c r="G73" s="9" t="inlineStr">
        <is>
          <t>ACT</t>
        </is>
      </c>
      <c r="H73" s="9" t="inlineStr">
        <is>
          <t>Planifier et suivre des échéances pour que plusieurs opérations soient réalisées au bon moment.</t>
        </is>
      </c>
      <c r="I73" s="9" t="inlineStr">
        <is>
          <t>Planifier plusieurs échéances et vérifier régulièrement que les opérations prévues sont réalisées au bon moment.</t>
        </is>
      </c>
      <c r="J73" s="9" t="inlineStr">
        <is>
          <t>RETENU</t>
        </is>
      </c>
      <c r="K73" s="9" t="inlineStr">
        <is>
          <t>Couverture de facette + activité observable ; priorité ACT, complétée par SIT à faible risque.</t>
        </is>
      </c>
      <c r="L73" s="9" t="inlineStr">
        <is>
          <t>MOYEN</t>
        </is>
      </c>
      <c r="M73" s="9" t="inlineStr">
        <is>
          <t>MOYEN</t>
        </is>
      </c>
      <c r="N73" s="9" t="inlineStr">
        <is>
          <t>FAIBLE</t>
        </is>
      </c>
    </row>
  </sheetData>
  <autoFilter ref="A1:N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4" min="1" max="1"/>
    <col width="28" customWidth="1" style="34" min="2" max="2"/>
    <col width="12" customWidth="1" style="34" min="3" max="3"/>
    <col width="18" customWidth="1" style="34" min="4" max="4"/>
    <col width="12" customWidth="1" style="34" min="5" max="5"/>
    <col width="12" customWidth="1" style="34" min="6" max="6"/>
    <col width="10" customWidth="1" style="34" min="7" max="7"/>
    <col width="55" customWidth="1" style="34" min="8" max="8"/>
    <col width="70" customWidth="1" style="34" min="9" max="9"/>
    <col width="22" customWidth="1" style="34" min="10" max="10"/>
    <col width="55" customWidth="1" style="34" min="11" max="11"/>
    <col width="18" customWidth="1" style="34" min="12" max="12"/>
    <col width="20" customWidth="1" style="34" min="13" max="13"/>
    <col width="24" customWidth="1" style="34" min="14" max="14"/>
  </cols>
  <sheetData>
    <row r="1">
      <c r="A1" s="42" t="inlineStr">
        <is>
          <t>item_id</t>
        </is>
      </c>
      <c r="B1" s="42" t="inlineStr">
        <is>
          <t>dimension</t>
        </is>
      </c>
      <c r="C1" s="42" t="inlineStr">
        <is>
          <t>facette</t>
        </is>
      </c>
      <c r="D1" s="42" t="inlineStr">
        <is>
          <t>bloc</t>
        </is>
      </c>
      <c r="E1" s="42" t="inlineStr">
        <is>
          <t>formulation_v0_4</t>
        </is>
      </c>
      <c r="F1" s="42" t="inlineStr">
        <is>
          <t>exemple_v0_4</t>
        </is>
      </c>
      <c r="G1" s="42" t="inlineStr">
        <is>
          <t>niveau_concretude</t>
        </is>
      </c>
      <c r="H1" s="42" t="inlineStr">
        <is>
          <t>ambiguite_chevauchement</t>
        </is>
      </c>
      <c r="I1" s="42" t="inlineStr">
        <is>
          <t>pertinence_professionnelle</t>
        </is>
      </c>
      <c r="J1" s="42" t="inlineStr">
        <is>
          <t>decision_v0_5</t>
        </is>
      </c>
      <c r="K1" s="42" t="inlineStr">
        <is>
          <t>formulation_v0_5_si_retenu</t>
        </is>
      </c>
      <c r="L1" s="42" t="inlineStr">
        <is>
          <t>motif</t>
        </is>
      </c>
      <c r="M1" s="42" t="inlineStr">
        <is>
          <t>bank_version_sortie</t>
        </is>
      </c>
    </row>
    <row r="2">
      <c r="A2" s="9" t="inlineStr">
        <is>
          <t>PIP-ACT-R-R1-001</t>
        </is>
      </c>
      <c r="B2" s="9" t="inlineStr">
        <is>
          <t>R</t>
        </is>
      </c>
      <c r="C2" s="9" t="inlineStr">
        <is>
          <t>R1</t>
        </is>
      </c>
      <c r="D2" s="9" t="inlineStr">
        <is>
          <t>ACT</t>
        </is>
      </c>
      <c r="E2" s="9" t="inlineStr">
        <is>
          <t>Assembler des éléments pour fabriquer un objet fonctionnel.</t>
        </is>
      </c>
      <c r="F2" s="9" t="inlineStr">
        <is>
          <t>Assembler les pièces d’un petit meuble ou d’un support pour qu’il soit solide et utilisable.</t>
        </is>
      </c>
      <c r="G2" s="9" t="inlineStr">
        <is>
          <t>MOYENNE</t>
        </is>
      </c>
      <c r="H2" s="9" t="inlineStr">
        <is>
          <t>FAIBLE</t>
        </is>
      </c>
      <c r="I2" s="9" t="inlineStr">
        <is>
          <t>FORTE</t>
        </is>
      </c>
      <c r="J2" s="9" t="inlineStr">
        <is>
          <t>MAINTIEN_REECRIT</t>
        </is>
      </c>
      <c r="K2" s="9" t="inlineStr">
        <is>
          <t>Assembler les pièces d’un petit meuble ou d’un support pour qu’il soit solide et utilisable.</t>
        </is>
      </c>
      <c r="L2" s="9" t="inlineStr">
        <is>
          <t>Retenu pour couverture de facette et formulation rendue directement concrète.</t>
        </is>
      </c>
      <c r="M2" s="9" t="inlineStr">
        <is>
          <t>PIP-BANK-0.4</t>
        </is>
      </c>
    </row>
    <row r="3">
      <c r="A3" s="9" t="inlineStr">
        <is>
          <t>PIP-ACT-R-R1-002</t>
        </is>
      </c>
      <c r="B3" s="9" t="inlineStr">
        <is>
          <t>R</t>
        </is>
      </c>
      <c r="C3" s="9" t="inlineStr">
        <is>
          <t>R1</t>
        </is>
      </c>
      <c r="D3" s="9" t="inlineStr">
        <is>
          <t>ACT</t>
        </is>
      </c>
      <c r="E3" s="9" t="inlineStr">
        <is>
          <t>Transformer une matière ou un matériau pour lui donner une forme utile.</t>
        </is>
      </c>
      <c r="F3" s="9" t="inlineStr">
        <is>
          <t>Travailler du bois, du métal ou un autre matériau pour obtenir une pièce ayant une fonction précise.</t>
        </is>
      </c>
      <c r="G3" s="9" t="inlineStr">
        <is>
          <t>MOYENNE</t>
        </is>
      </c>
      <c r="H3" s="9" t="inlineStr">
        <is>
          <t>FAIBLE</t>
        </is>
      </c>
      <c r="I3" s="9" t="inlineStr">
        <is>
          <t>FORTE</t>
        </is>
      </c>
      <c r="J3" s="9" t="inlineStr">
        <is>
          <t>MAINTIEN_REECRIT</t>
        </is>
      </c>
      <c r="K3" s="9" t="inlineStr">
        <is>
          <t>Travailler du bois, du métal ou un autre matériau pour obtenir une pièce ayant une fonction précise.</t>
        </is>
      </c>
      <c r="L3" s="9" t="inlineStr">
        <is>
          <t>Retenu pour couverture de facette et formulation rendue directement concrète.</t>
        </is>
      </c>
      <c r="M3" s="9" t="inlineStr">
        <is>
          <t>PIP-BANK-0.4</t>
        </is>
      </c>
    </row>
    <row r="4">
      <c r="A4" s="9" t="inlineStr">
        <is>
          <t>PIP-SIT-R-R1-003</t>
        </is>
      </c>
      <c r="B4" s="9" t="inlineStr">
        <is>
          <t>R</t>
        </is>
      </c>
      <c r="C4" s="9" t="inlineStr">
        <is>
          <t>R1</t>
        </is>
      </c>
      <c r="D4" s="9" t="inlineStr">
        <is>
          <t>SIT</t>
        </is>
      </c>
      <c r="E4" s="9" t="inlineStr">
        <is>
          <t>Prendre en charge la réalisation concrète d’un objet ou d’une structure à partir d’éléments séparés.</t>
        </is>
      </c>
      <c r="F4" s="9" t="inlineStr">
        <is>
          <t>À partir de pièces séparées, réaliser concrètement une étagère, un présentoir ou une petite structure.</t>
        </is>
      </c>
      <c r="G4" s="9" t="inlineStr">
        <is>
          <t>FAIBLE_A_MOYENNE</t>
        </is>
      </c>
      <c r="H4" s="9" t="inlineStr">
        <is>
          <t>FAIBLE</t>
        </is>
      </c>
      <c r="I4" s="9" t="inlineStr">
        <is>
          <t>FORTE</t>
        </is>
      </c>
      <c r="J4" s="9" t="inlineStr">
        <is>
          <t>MAINTIEN_REECRIT</t>
        </is>
      </c>
      <c r="K4" s="9" t="inlineStr">
        <is>
          <t>À partir de pièces séparées, réaliser concrètement une étagère, un présentoir ou une petite structure.</t>
        </is>
      </c>
      <c r="L4" s="9" t="inlineStr">
        <is>
          <t>Retenu pour couverture de facette et formulation rendue directement concrète.</t>
        </is>
      </c>
      <c r="M4" s="9" t="inlineStr">
        <is>
          <t>PIP-BANK-0.4</t>
        </is>
      </c>
    </row>
    <row r="5">
      <c r="A5" s="9" t="inlineStr">
        <is>
          <t>PIP-ENV-R-R1-004</t>
        </is>
      </c>
      <c r="B5" s="9" t="inlineStr">
        <is>
          <t>R</t>
        </is>
      </c>
      <c r="C5" s="9" t="inlineStr">
        <is>
          <t>R1</t>
        </is>
      </c>
      <c r="D5" s="9" t="inlineStr">
        <is>
          <t>ENV</t>
        </is>
      </c>
      <c r="E5" s="9" t="inlineStr">
        <is>
          <t>Travailler dans un contexte où l’on voit directement le résultat matériel de ce que l’on fabrique ou transforme.</t>
        </is>
      </c>
      <c r="F5" s="9" t="inlineStr">
        <is>
          <t>Évoluer dans un atelier ou un espace de fabrication où l’on voit physiquement ce qui a été produit.</t>
        </is>
      </c>
      <c r="G5" s="9" t="inlineStr">
        <is>
          <t>FAIBLE_A_MOYENNE</t>
        </is>
      </c>
      <c r="H5" s="9" t="inlineStr">
        <is>
          <t>FAIBLE</t>
        </is>
      </c>
      <c r="I5" s="9" t="inlineStr">
        <is>
          <t>MOYENNE</t>
        </is>
      </c>
      <c r="J5" s="9" t="inlineStr">
        <is>
          <t>RETRAIT_BANQUE72</t>
        </is>
      </c>
      <c r="K5" s="9" t="inlineStr"/>
      <c r="L5" s="9" t="inlineStr">
        <is>
          <t>Historique conservé ; item non nécessaire pour atteindre 12/dimension et ≥2/facette.</t>
        </is>
      </c>
      <c r="M5" s="9" t="inlineStr">
        <is>
          <t>PIP-BANK-0.3</t>
        </is>
      </c>
    </row>
    <row r="6">
      <c r="A6" s="9" t="inlineStr">
        <is>
          <t>PIP-ACT-R-R2-005</t>
        </is>
      </c>
      <c r="B6" s="9" t="inlineStr">
        <is>
          <t>R</t>
        </is>
      </c>
      <c r="C6" s="9" t="inlineStr">
        <is>
          <t>R2</t>
        </is>
      </c>
      <c r="D6" s="9" t="inlineStr">
        <is>
          <t>ACT</t>
        </is>
      </c>
      <c r="E6" s="9" t="inlineStr">
        <is>
          <t>Installer un équipement pour qu’il soit prêt à fonctionner.</t>
        </is>
      </c>
      <c r="F6" s="9" t="inlineStr">
        <is>
          <t>Installer un poste de travail, un appareil ou un équipement puis vérifier qu’il fonctionne.</t>
        </is>
      </c>
      <c r="G6" s="9" t="inlineStr">
        <is>
          <t>MOYENNE</t>
        </is>
      </c>
      <c r="H6" s="9" t="inlineStr">
        <is>
          <t>FAIBLE</t>
        </is>
      </c>
      <c r="I6" s="9" t="inlineStr">
        <is>
          <t>FORTE</t>
        </is>
      </c>
      <c r="J6" s="9" t="inlineStr">
        <is>
          <t>MAINTIEN_REECRIT</t>
        </is>
      </c>
      <c r="K6" s="9" t="inlineStr">
        <is>
          <t>Installer un poste de travail, un appareil ou un équipement puis vérifier qu’il fonctionne.</t>
        </is>
      </c>
      <c r="L6" s="9" t="inlineStr">
        <is>
          <t>Retenu pour couverture de facette et formulation rendue directement concrète.</t>
        </is>
      </c>
      <c r="M6" s="9" t="inlineStr">
        <is>
          <t>PIP-BANK-0.4</t>
        </is>
      </c>
    </row>
    <row r="7">
      <c r="A7" s="9" t="inlineStr">
        <is>
          <t>PIP-ACT-R-R2-006</t>
        </is>
      </c>
      <c r="B7" s="9" t="inlineStr">
        <is>
          <t>R</t>
        </is>
      </c>
      <c r="C7" s="9" t="inlineStr">
        <is>
          <t>R2</t>
        </is>
      </c>
      <c r="D7" s="9" t="inlineStr">
        <is>
          <t>ACT</t>
        </is>
      </c>
      <c r="E7" s="9" t="inlineStr">
        <is>
          <t>Réparer un matériel qui ne fonctionne plus correctement.</t>
        </is>
      </c>
      <c r="F7" s="9" t="inlineStr">
        <is>
          <t>Rechercher la panne d’un appareil simple puis intervenir concrètement pour le remettre en service.</t>
        </is>
      </c>
      <c r="G7" s="9" t="inlineStr">
        <is>
          <t>MOYENNE</t>
        </is>
      </c>
      <c r="H7" s="9" t="inlineStr">
        <is>
          <t>A_SURVEILLER</t>
        </is>
      </c>
      <c r="I7" s="9" t="inlineStr">
        <is>
          <t>FORTE</t>
        </is>
      </c>
      <c r="J7" s="9" t="inlineStr">
        <is>
          <t>MAINTIEN_REECRIT</t>
        </is>
      </c>
      <c r="K7" s="9" t="inlineStr">
        <is>
          <t>Rechercher la panne d’un appareil simple puis intervenir concrètement pour le remettre en service.</t>
        </is>
      </c>
      <c r="L7" s="9" t="inlineStr">
        <is>
          <t>Retenu pour couverture de facette et formulation rendue directement concrète.</t>
        </is>
      </c>
      <c r="M7" s="9" t="inlineStr">
        <is>
          <t>PIP-BANK-0.4</t>
        </is>
      </c>
    </row>
    <row r="8">
      <c r="A8" s="9" t="inlineStr">
        <is>
          <t>PIP-SIT-R-R2-007</t>
        </is>
      </c>
      <c r="B8" s="9" t="inlineStr">
        <is>
          <t>R</t>
        </is>
      </c>
      <c r="C8" s="9" t="inlineStr">
        <is>
          <t>R2</t>
        </is>
      </c>
      <c r="D8" s="9" t="inlineStr">
        <is>
          <t>SIT</t>
        </is>
      </c>
      <c r="E8" s="9" t="inlineStr">
        <is>
          <t>Intervenir lorsqu’un équipement doit être réglé ou remis en service.</t>
        </is>
      </c>
      <c r="F8" s="9" t="inlineStr">
        <is>
          <t>Un équipement fonctionne mal : le régler, remplacer l’élément défectueux et tester le résultat.</t>
        </is>
      </c>
      <c r="G8" s="9" t="inlineStr">
        <is>
          <t>FAIBLE_A_MOYENNE</t>
        </is>
      </c>
      <c r="H8" s="9" t="inlineStr">
        <is>
          <t>A_SURVEILLER</t>
        </is>
      </c>
      <c r="I8" s="9" t="inlineStr">
        <is>
          <t>FORTE</t>
        </is>
      </c>
      <c r="J8" s="9" t="inlineStr">
        <is>
          <t>RETRAIT_BANQUE72</t>
        </is>
      </c>
      <c r="K8" s="9" t="inlineStr"/>
      <c r="L8" s="9" t="inlineStr">
        <is>
          <t>Historique conservé ; item non nécessaire pour atteindre 12/dimension et ≥2/facette.</t>
        </is>
      </c>
      <c r="M8" s="9" t="inlineStr">
        <is>
          <t>PIP-BANK-0.3</t>
        </is>
      </c>
    </row>
    <row r="9">
      <c r="A9" s="9" t="inlineStr">
        <is>
          <t>PIP-ENV-R-R2-008</t>
        </is>
      </c>
      <c r="B9" s="9" t="inlineStr">
        <is>
          <t>R</t>
        </is>
      </c>
      <c r="C9" s="9" t="inlineStr">
        <is>
          <t>R2</t>
        </is>
      </c>
      <c r="D9" s="9" t="inlineStr">
        <is>
          <t>ENV</t>
        </is>
      </c>
      <c r="E9" s="9" t="inlineStr">
        <is>
          <t>Évoluer dans un contexte où une part importante du travail consiste à entretenir et remettre en fonctionnement des équipements.</t>
        </is>
      </c>
      <c r="F9" s="9" t="inlineStr">
        <is>
          <t>Travailler dans un service où l’on entretient régulièrement des équipements et où l’on intervient en cas de panne.</t>
        </is>
      </c>
      <c r="G9" s="9" t="inlineStr">
        <is>
          <t>FAIBLE_A_MOYENNE</t>
        </is>
      </c>
      <c r="H9" s="9" t="inlineStr">
        <is>
          <t>FAIBLE</t>
        </is>
      </c>
      <c r="I9" s="9" t="inlineStr">
        <is>
          <t>MOYENNE</t>
        </is>
      </c>
      <c r="J9" s="9" t="inlineStr">
        <is>
          <t>RETRAIT_BANQUE72</t>
        </is>
      </c>
      <c r="K9" s="9" t="inlineStr"/>
      <c r="L9" s="9" t="inlineStr">
        <is>
          <t>Historique conservé ; item non nécessaire pour atteindre 12/dimension et ≥2/facette.</t>
        </is>
      </c>
      <c r="M9" s="9" t="inlineStr">
        <is>
          <t>PIP-BANK-0.3</t>
        </is>
      </c>
    </row>
    <row r="10">
      <c r="A10" s="9" t="inlineStr">
        <is>
          <t>PIP-ACT-R-R3-009</t>
        </is>
      </c>
      <c r="B10" s="9" t="inlineStr">
        <is>
          <t>R</t>
        </is>
      </c>
      <c r="C10" s="9" t="inlineStr">
        <is>
          <t>R3</t>
        </is>
      </c>
      <c r="D10" s="9" t="inlineStr">
        <is>
          <t>ACT</t>
        </is>
      </c>
      <c r="E10" s="9" t="inlineStr">
        <is>
          <t>Utiliser des outils pour réaliser une tâche concrète avec précision.</t>
        </is>
      </c>
      <c r="F10" s="9" t="inlineStr">
        <is>
          <t>Utiliser des outils de mesure et des outils manuels pour réaliser un montage avec précision.</t>
        </is>
      </c>
      <c r="G10" s="9" t="inlineStr">
        <is>
          <t>MOYENNE</t>
        </is>
      </c>
      <c r="H10" s="9" t="inlineStr">
        <is>
          <t>FAIBLE</t>
        </is>
      </c>
      <c r="I10" s="9" t="inlineStr">
        <is>
          <t>FORTE</t>
        </is>
      </c>
      <c r="J10" s="9" t="inlineStr">
        <is>
          <t>MAINTIEN_REECRIT</t>
        </is>
      </c>
      <c r="K10" s="9" t="inlineStr">
        <is>
          <t>Utiliser des outils de mesure et des outils manuels pour réaliser un montage avec précision.</t>
        </is>
      </c>
      <c r="L10" s="9" t="inlineStr">
        <is>
          <t>Retenu pour couverture de facette et formulation rendue directement concrète.</t>
        </is>
      </c>
      <c r="M10" s="9" t="inlineStr">
        <is>
          <t>PIP-BANK-0.4</t>
        </is>
      </c>
    </row>
    <row r="11">
      <c r="A11" s="9" t="inlineStr">
        <is>
          <t>PIP-ACT-R-R3-010</t>
        </is>
      </c>
      <c r="B11" s="9" t="inlineStr">
        <is>
          <t>R</t>
        </is>
      </c>
      <c r="C11" s="9" t="inlineStr">
        <is>
          <t>R3</t>
        </is>
      </c>
      <c r="D11" s="9" t="inlineStr">
        <is>
          <t>ACT</t>
        </is>
      </c>
      <c r="E11" s="9" t="inlineStr">
        <is>
          <t>Piloter ou régler une machine pour obtenir le résultat attendu.</t>
        </is>
      </c>
      <c r="F11" s="9" t="inlineStr">
        <is>
          <t>Régler une machine ou un équipement pour obtenir une dimension, une forme ou un résultat précis.</t>
        </is>
      </c>
      <c r="G11" s="9" t="inlineStr">
        <is>
          <t>MOYENNE</t>
        </is>
      </c>
      <c r="H11" s="9" t="inlineStr">
        <is>
          <t>FAIBLE</t>
        </is>
      </c>
      <c r="I11" s="9" t="inlineStr">
        <is>
          <t>FORTE</t>
        </is>
      </c>
      <c r="J11" s="9" t="inlineStr">
        <is>
          <t>MAINTIEN_REECRIT</t>
        </is>
      </c>
      <c r="K11" s="9" t="inlineStr">
        <is>
          <t>Régler une machine ou un équipement pour obtenir une dimension, une forme ou un résultat précis.</t>
        </is>
      </c>
      <c r="L11" s="9" t="inlineStr">
        <is>
          <t>Retenu pour couverture de facette et formulation rendue directement concrète.</t>
        </is>
      </c>
      <c r="M11" s="9" t="inlineStr">
        <is>
          <t>PIP-BANK-0.4</t>
        </is>
      </c>
    </row>
    <row r="12">
      <c r="A12" s="9" t="inlineStr">
        <is>
          <t>PIP-SIT-R-R3-011</t>
        </is>
      </c>
      <c r="B12" s="9" t="inlineStr">
        <is>
          <t>R</t>
        </is>
      </c>
      <c r="C12" s="9" t="inlineStr">
        <is>
          <t>R3</t>
        </is>
      </c>
      <c r="D12" s="9" t="inlineStr">
        <is>
          <t>SIT</t>
        </is>
      </c>
      <c r="E12" s="9" t="inlineStr">
        <is>
          <t>Prendre en charge une tâche qui nécessite de manipuler directement un appareil ou un équipement.</t>
        </is>
      </c>
      <c r="F12" s="9" t="inlineStr">
        <is>
          <t>Réaliser une opération qui demande de manipuler directement un appareil, une machine ou un instrument.</t>
        </is>
      </c>
      <c r="G12" s="9" t="inlineStr">
        <is>
          <t>FAIBLE_A_MOYENNE</t>
        </is>
      </c>
      <c r="H12" s="9" t="inlineStr">
        <is>
          <t>FAIBLE</t>
        </is>
      </c>
      <c r="I12" s="9" t="inlineStr">
        <is>
          <t>FORTE</t>
        </is>
      </c>
      <c r="J12" s="9" t="inlineStr">
        <is>
          <t>MAINTIEN_REECRIT</t>
        </is>
      </c>
      <c r="K12" s="9" t="inlineStr">
        <is>
          <t>Réaliser une opération qui demande de manipuler directement un appareil, une machine ou un instrument.</t>
        </is>
      </c>
      <c r="L12" s="9" t="inlineStr">
        <is>
          <t>Retenu pour couverture de facette et formulation rendue directement concrète.</t>
        </is>
      </c>
      <c r="M12" s="9" t="inlineStr">
        <is>
          <t>PIP-BANK-0.4</t>
        </is>
      </c>
    </row>
    <row r="13">
      <c r="A13" s="9" t="inlineStr">
        <is>
          <t>PIP-ENV-R-R3-012</t>
        </is>
      </c>
      <c r="B13" s="9" t="inlineStr">
        <is>
          <t>R</t>
        </is>
      </c>
      <c r="C13" s="9" t="inlineStr">
        <is>
          <t>R3</t>
        </is>
      </c>
      <c r="D13" s="9" t="inlineStr">
        <is>
          <t>ENV</t>
        </is>
      </c>
      <c r="E13" s="9" t="inlineStr">
        <is>
          <t>Travailler dans un environnement où l’on utilise régulièrement des outils, des instruments ou des machines pour agir sur le réel.</t>
        </is>
      </c>
      <c r="F13" s="9" t="inlineStr">
        <is>
          <t>Travailler dans un environnement où l’usage d’outils, d’instruments ou de machines fait partie du quotidien.</t>
        </is>
      </c>
      <c r="G13" s="9" t="inlineStr">
        <is>
          <t>FAIBLE_A_MOYENNE</t>
        </is>
      </c>
      <c r="H13" s="9" t="inlineStr">
        <is>
          <t>FAIBLE</t>
        </is>
      </c>
      <c r="I13" s="9" t="inlineStr">
        <is>
          <t>MOYENNE</t>
        </is>
      </c>
      <c r="J13" s="9" t="inlineStr">
        <is>
          <t>RETRAIT_BANQUE72</t>
        </is>
      </c>
      <c r="K13" s="9" t="inlineStr"/>
      <c r="L13" s="9" t="inlineStr">
        <is>
          <t>Historique conservé ; item non nécessaire pour atteindre 12/dimension et ≥2/facette.</t>
        </is>
      </c>
      <c r="M13" s="9" t="inlineStr">
        <is>
          <t>PIP-BANK-0.3</t>
        </is>
      </c>
    </row>
    <row r="14">
      <c r="A14" s="9" t="inlineStr">
        <is>
          <t>PIP-ACT-R-R4-013</t>
        </is>
      </c>
      <c r="B14" s="9" t="inlineStr">
        <is>
          <t>R</t>
        </is>
      </c>
      <c r="C14" s="9" t="inlineStr">
        <is>
          <t>R4</t>
        </is>
      </c>
      <c r="D14" s="9" t="inlineStr">
        <is>
          <t>ACT</t>
        </is>
      </c>
      <c r="E14" s="9" t="inlineStr">
        <is>
          <t>Se rendre sur différents sites pour intervenir directement sur le terrain.</t>
        </is>
      </c>
      <c r="F14" s="9" t="inlineStr">
        <is>
          <t>Se déplacer sur plusieurs sites pour constater une situation et intervenir directement sur place.</t>
        </is>
      </c>
      <c r="G14" s="9" t="inlineStr">
        <is>
          <t>MOYENNE</t>
        </is>
      </c>
      <c r="H14" s="9" t="inlineStr">
        <is>
          <t>FAIBLE</t>
        </is>
      </c>
      <c r="I14" s="9" t="inlineStr">
        <is>
          <t>FORTE</t>
        </is>
      </c>
      <c r="J14" s="9" t="inlineStr">
        <is>
          <t>MAINTIEN_REECRIT</t>
        </is>
      </c>
      <c r="K14" s="9" t="inlineStr">
        <is>
          <t>Se déplacer sur plusieurs sites pour constater une situation et intervenir directement sur place.</t>
        </is>
      </c>
      <c r="L14" s="9" t="inlineStr">
        <is>
          <t>Retenu pour couverture de facette et formulation rendue directement concrète.</t>
        </is>
      </c>
      <c r="M14" s="9" t="inlineStr">
        <is>
          <t>PIP-BANK-0.4</t>
        </is>
      </c>
    </row>
    <row r="15">
      <c r="A15" s="9" t="inlineStr">
        <is>
          <t>PIP-ACT-R-R4-014</t>
        </is>
      </c>
      <c r="B15" s="9" t="inlineStr">
        <is>
          <t>R</t>
        </is>
      </c>
      <c r="C15" s="9" t="inlineStr">
        <is>
          <t>R4</t>
        </is>
      </c>
      <c r="D15" s="9" t="inlineStr">
        <is>
          <t>ACT</t>
        </is>
      </c>
      <c r="E15" s="9" t="inlineStr">
        <is>
          <t>Réaliser une activité professionnelle principalement en extérieur.</t>
        </is>
      </c>
      <c r="F15" s="9" t="inlineStr">
        <is>
          <t>Passer l’essentiel de sa journée de travail dehors, sur un chantier, un site naturel ou un espace extérieur.</t>
        </is>
      </c>
      <c r="G15" s="9" t="inlineStr">
        <is>
          <t>MOYENNE</t>
        </is>
      </c>
      <c r="H15" s="9" t="inlineStr">
        <is>
          <t>FAIBLE</t>
        </is>
      </c>
      <c r="I15" s="9" t="inlineStr">
        <is>
          <t>FORTE</t>
        </is>
      </c>
      <c r="J15" s="9" t="inlineStr">
        <is>
          <t>MAINTIEN_REECRIT</t>
        </is>
      </c>
      <c r="K15" s="9" t="inlineStr">
        <is>
          <t>Passer l’essentiel de sa journée de travail dehors, sur un chantier, un site naturel ou un espace extérieur.</t>
        </is>
      </c>
      <c r="L15" s="9" t="inlineStr">
        <is>
          <t>Retenu pour couverture de facette et formulation rendue directement concrète.</t>
        </is>
      </c>
      <c r="M15" s="9" t="inlineStr">
        <is>
          <t>PIP-BANK-0.4</t>
        </is>
      </c>
    </row>
    <row r="16">
      <c r="A16" s="9" t="inlineStr">
        <is>
          <t>PIP-SIT-R-R4-015</t>
        </is>
      </c>
      <c r="B16" s="9" t="inlineStr">
        <is>
          <t>R</t>
        </is>
      </c>
      <c r="C16" s="9" t="inlineStr">
        <is>
          <t>R4</t>
        </is>
      </c>
      <c r="D16" s="9" t="inlineStr">
        <is>
          <t>SIT</t>
        </is>
      </c>
      <c r="E16" s="9" t="inlineStr">
        <is>
          <t>Intervenir sur place lorsqu’une situation concrète doit être traitée directement plutôt qu’à distance.</t>
        </is>
      </c>
      <c r="F16" s="9" t="inlineStr">
        <is>
          <t>Un problème apparaît sur un site : aller sur place pour observer la situation et agir immédiatement.</t>
        </is>
      </c>
      <c r="G16" s="9" t="inlineStr">
        <is>
          <t>FAIBLE_A_MOYENNE</t>
        </is>
      </c>
      <c r="H16" s="9" t="inlineStr">
        <is>
          <t>FAIBLE</t>
        </is>
      </c>
      <c r="I16" s="9" t="inlineStr">
        <is>
          <t>FORTE</t>
        </is>
      </c>
      <c r="J16" s="9" t="inlineStr">
        <is>
          <t>RETRAIT_BANQUE72</t>
        </is>
      </c>
      <c r="K16" s="9" t="inlineStr"/>
      <c r="L16" s="9" t="inlineStr">
        <is>
          <t>Historique conservé ; item non nécessaire pour atteindre 12/dimension et ≥2/facette.</t>
        </is>
      </c>
      <c r="M16" s="9" t="inlineStr">
        <is>
          <t>PIP-BANK-0.3</t>
        </is>
      </c>
    </row>
    <row r="17">
      <c r="A17" s="9" t="inlineStr">
        <is>
          <t>PIP-ENV-R-R4-016</t>
        </is>
      </c>
      <c r="B17" s="9" t="inlineStr">
        <is>
          <t>R</t>
        </is>
      </c>
      <c r="C17" s="9" t="inlineStr">
        <is>
          <t>R4</t>
        </is>
      </c>
      <c r="D17" s="9" t="inlineStr">
        <is>
          <t>ENV</t>
        </is>
      </c>
      <c r="E17" s="9" t="inlineStr">
        <is>
          <t>Travailler dans un contexte où l’activité se déroule souvent sur le terrain, au contact direct de l’environnement réel.</t>
        </is>
      </c>
      <c r="F17" s="9" t="inlineStr">
        <is>
          <t>Exercer un métier où l’on est souvent sur le terrain plutôt que derrière un bureau.</t>
        </is>
      </c>
      <c r="G17" s="9" t="inlineStr">
        <is>
          <t>FAIBLE_A_MOYENNE</t>
        </is>
      </c>
      <c r="H17" s="9" t="inlineStr">
        <is>
          <t>FAIBLE</t>
        </is>
      </c>
      <c r="I17" s="9" t="inlineStr">
        <is>
          <t>MOYENNE</t>
        </is>
      </c>
      <c r="J17" s="9" t="inlineStr">
        <is>
          <t>RETRAIT_BANQUE72</t>
        </is>
      </c>
      <c r="K17" s="9" t="inlineStr"/>
      <c r="L17" s="9" t="inlineStr">
        <is>
          <t>Historique conservé ; item non nécessaire pour atteindre 12/dimension et ≥2/facette.</t>
        </is>
      </c>
      <c r="M17" s="9" t="inlineStr">
        <is>
          <t>PIP-BANK-0.3</t>
        </is>
      </c>
    </row>
    <row r="18">
      <c r="A18" s="9" t="inlineStr">
        <is>
          <t>PIP-ACT-R-R5-017</t>
        </is>
      </c>
      <c r="B18" s="9" t="inlineStr">
        <is>
          <t>R</t>
        </is>
      </c>
      <c r="C18" s="9" t="inlineStr">
        <is>
          <t>R5</t>
        </is>
      </c>
      <c r="D18" s="9" t="inlineStr">
        <is>
          <t>ACT</t>
        </is>
      </c>
      <c r="E18" s="9" t="inlineStr">
        <is>
          <t>S’occuper concrètement de plantes ou d’animaux dans le cadre du travail.</t>
        </is>
      </c>
      <c r="F18" s="9" t="inlineStr">
        <is>
          <t>S’occuper concrètement de cultures, de plantes ou d’animaux : nourrir, entretenir, surveiller leur état.</t>
        </is>
      </c>
      <c r="G18" s="9" t="inlineStr">
        <is>
          <t>MOYENNE</t>
        </is>
      </c>
      <c r="H18" s="9" t="inlineStr">
        <is>
          <t>A_SURVEILLER</t>
        </is>
      </c>
      <c r="I18" s="9" t="inlineStr">
        <is>
          <t>FORTE</t>
        </is>
      </c>
      <c r="J18" s="9" t="inlineStr">
        <is>
          <t>MAINTIEN_REECRIT</t>
        </is>
      </c>
      <c r="K18" s="9" t="inlineStr">
        <is>
          <t>S’occuper concrètement de cultures, de plantes ou d’animaux : nourrir, entretenir, surveiller leur état.</t>
        </is>
      </c>
      <c r="L18" s="9" t="inlineStr">
        <is>
          <t>Retenu pour couverture de facette et formulation rendue directement concrète.</t>
        </is>
      </c>
      <c r="M18" s="9" t="inlineStr">
        <is>
          <t>PIP-BANK-0.4</t>
        </is>
      </c>
    </row>
    <row r="19">
      <c r="A19" s="9" t="inlineStr">
        <is>
          <t>PIP-ACT-R-R5-018</t>
        </is>
      </c>
      <c r="B19" s="9" t="inlineStr">
        <is>
          <t>R</t>
        </is>
      </c>
      <c r="C19" s="9" t="inlineStr">
        <is>
          <t>R5</t>
        </is>
      </c>
      <c r="D19" s="9" t="inlineStr">
        <is>
          <t>ACT</t>
        </is>
      </c>
      <c r="E19" s="9" t="inlineStr">
        <is>
          <t>Manipuler des matériaux ou des produits pour réaliser une tâche physique utile.</t>
        </is>
      </c>
      <c r="F19" s="9" t="inlineStr">
        <is>
          <t>Manipuler des matériaux, déplacer des éléments ou préparer physiquement des produits pour réaliser une opération utile.</t>
        </is>
      </c>
      <c r="G19" s="9" t="inlineStr">
        <is>
          <t>MOYENNE</t>
        </is>
      </c>
      <c r="H19" s="9" t="inlineStr">
        <is>
          <t>FAIBLE</t>
        </is>
      </c>
      <c r="I19" s="9" t="inlineStr">
        <is>
          <t>FORTE</t>
        </is>
      </c>
      <c r="J19" s="9" t="inlineStr">
        <is>
          <t>MAINTIEN_REECRIT</t>
        </is>
      </c>
      <c r="K19" s="9" t="inlineStr">
        <is>
          <t>Manipuler des matériaux, déplacer des éléments ou préparer physiquement des produits pour réaliser une opération utile.</t>
        </is>
      </c>
      <c r="L19" s="9" t="inlineStr">
        <is>
          <t>Retenu pour couverture de facette et formulation rendue directement concrète.</t>
        </is>
      </c>
      <c r="M19" s="9" t="inlineStr">
        <is>
          <t>PIP-BANK-0.4</t>
        </is>
      </c>
    </row>
    <row r="20">
      <c r="A20" s="9" t="inlineStr">
        <is>
          <t>PIP-SIT-R-R5-019</t>
        </is>
      </c>
      <c r="B20" s="9" t="inlineStr">
        <is>
          <t>R</t>
        </is>
      </c>
      <c r="C20" s="9" t="inlineStr">
        <is>
          <t>R5</t>
        </is>
      </c>
      <c r="D20" s="9" t="inlineStr">
        <is>
          <t>SIT</t>
        </is>
      </c>
      <c r="E20" s="9" t="inlineStr">
        <is>
          <t>Prendre en charge une activité où il faut agir directement sur du vivant, de la matière ou un environnement physique.</t>
        </is>
      </c>
      <c r="F20" s="9" t="inlineStr">
        <is>
          <t>Prendre en charge une tâche nécessitant d’agir directement sur des matières, des plantes, des animaux ou un espace physique.</t>
        </is>
      </c>
      <c r="G20" s="9" t="inlineStr">
        <is>
          <t>FAIBLE_A_MOYENNE</t>
        </is>
      </c>
      <c r="H20" s="9" t="inlineStr">
        <is>
          <t>FAIBLE</t>
        </is>
      </c>
      <c r="I20" s="9" t="inlineStr">
        <is>
          <t>FORTE</t>
        </is>
      </c>
      <c r="J20" s="9" t="inlineStr">
        <is>
          <t>RETRAIT_BANQUE72</t>
        </is>
      </c>
      <c r="K20" s="9" t="inlineStr"/>
      <c r="L20" s="9" t="inlineStr">
        <is>
          <t>Historique conservé ; item non nécessaire pour atteindre 12/dimension et ≥2/facette.</t>
        </is>
      </c>
      <c r="M20" s="9" t="inlineStr">
        <is>
          <t>PIP-BANK-0.3</t>
        </is>
      </c>
    </row>
    <row r="21">
      <c r="A21" s="9" t="inlineStr">
        <is>
          <t>PIP-ENV-R-R5-020</t>
        </is>
      </c>
      <c r="B21" s="9" t="inlineStr">
        <is>
          <t>R</t>
        </is>
      </c>
      <c r="C21" s="9" t="inlineStr">
        <is>
          <t>R5</t>
        </is>
      </c>
      <c r="D21" s="9" t="inlineStr">
        <is>
          <t>ENV</t>
        </is>
      </c>
      <c r="E21" s="9" t="inlineStr">
        <is>
          <t>Évoluer dans un environnement où le travail implique régulièrement une action physique concrète sur des matières, des plantes, des animaux ou des objets.</t>
        </is>
      </c>
      <c r="F21" s="9" t="inlineStr">
        <is>
          <t>Travailler dans un environnement où l’activité implique régulièrement de manipuler des matières, des objets ou du vivant.</t>
        </is>
      </c>
      <c r="G21" s="9" t="inlineStr">
        <is>
          <t>FAIBLE_A_MOYENNE</t>
        </is>
      </c>
      <c r="H21" s="9" t="inlineStr">
        <is>
          <t>FAIBLE</t>
        </is>
      </c>
      <c r="I21" s="9" t="inlineStr">
        <is>
          <t>MOYENNE</t>
        </is>
      </c>
      <c r="J21" s="9" t="inlineStr">
        <is>
          <t>RETRAIT_BANQUE72</t>
        </is>
      </c>
      <c r="K21" s="9" t="inlineStr"/>
      <c r="L21" s="9" t="inlineStr">
        <is>
          <t>Historique conservé ; item non nécessaire pour atteindre 12/dimension et ≥2/facette.</t>
        </is>
      </c>
      <c r="M21" s="9" t="inlineStr">
        <is>
          <t>PIP-BANK-0.3</t>
        </is>
      </c>
    </row>
    <row r="22">
      <c r="A22" s="9" t="inlineStr">
        <is>
          <t>PIP-ACT-I-I1-001</t>
        </is>
      </c>
      <c r="B22" s="9" t="inlineStr">
        <is>
          <t>I</t>
        </is>
      </c>
      <c r="C22" s="9" t="inlineStr">
        <is>
          <t>I1</t>
        </is>
      </c>
      <c r="D22" s="9" t="inlineStr">
        <is>
          <t>ACT</t>
        </is>
      </c>
      <c r="E22" s="9" t="inlineStr">
        <is>
          <t>Observer attentivement une situation pour en repérer les caractéristiques importantes.</t>
        </is>
      </c>
      <c r="F22" s="9" t="inlineStr">
        <is>
          <t>Observer un fonctionnement, un phénomène ou une situation et relever les détails importants avant de conclure.</t>
        </is>
      </c>
      <c r="G22" s="9" t="inlineStr">
        <is>
          <t>MOYENNE</t>
        </is>
      </c>
      <c r="H22" s="9" t="inlineStr">
        <is>
          <t>FAIBLE</t>
        </is>
      </c>
      <c r="I22" s="9" t="inlineStr">
        <is>
          <t>FORTE</t>
        </is>
      </c>
      <c r="J22" s="9" t="inlineStr">
        <is>
          <t>MAINTIEN_REECRIT</t>
        </is>
      </c>
      <c r="K22" s="9" t="inlineStr">
        <is>
          <t>Observer un fonctionnement, un phénomène ou une situation et relever les détails importants avant de conclure.</t>
        </is>
      </c>
      <c r="L22" s="9" t="inlineStr">
        <is>
          <t>Retenu pour couverture de facette et formulation rendue directement concrète.</t>
        </is>
      </c>
      <c r="M22" s="9" t="inlineStr">
        <is>
          <t>PIP-BANK-0.4</t>
        </is>
      </c>
    </row>
    <row r="23">
      <c r="A23" s="9" t="inlineStr">
        <is>
          <t>PIP-ACT-I-I1-002</t>
        </is>
      </c>
      <c r="B23" s="9" t="inlineStr">
        <is>
          <t>I</t>
        </is>
      </c>
      <c r="C23" s="9" t="inlineStr">
        <is>
          <t>I1</t>
        </is>
      </c>
      <c r="D23" s="9" t="inlineStr">
        <is>
          <t>ACT</t>
        </is>
      </c>
      <c r="E23" s="9" t="inlineStr">
        <is>
          <t>Comparer plusieurs informations ou observations pour identifier ce qui les distingue.</t>
        </is>
      </c>
      <c r="F23" s="9" t="inlineStr">
        <is>
          <t>Comparer deux séries d’informations ou d’observations pour identifier précisément ce qui diffère.</t>
        </is>
      </c>
      <c r="G23" s="9" t="inlineStr">
        <is>
          <t>MOYENNE</t>
        </is>
      </c>
      <c r="H23" s="9" t="inlineStr">
        <is>
          <t>FAIBLE</t>
        </is>
      </c>
      <c r="I23" s="9" t="inlineStr">
        <is>
          <t>FORTE</t>
        </is>
      </c>
      <c r="J23" s="9" t="inlineStr">
        <is>
          <t>MAINTIEN_REECRIT</t>
        </is>
      </c>
      <c r="K23" s="9" t="inlineStr">
        <is>
          <t>Comparer deux séries d’informations ou d’observations pour identifier précisément ce qui diffère.</t>
        </is>
      </c>
      <c r="L23" s="9" t="inlineStr">
        <is>
          <t>Retenu pour couverture de facette et formulation rendue directement concrète.</t>
        </is>
      </c>
      <c r="M23" s="9" t="inlineStr">
        <is>
          <t>PIP-BANK-0.4</t>
        </is>
      </c>
    </row>
    <row r="24">
      <c r="A24" s="9" t="inlineStr">
        <is>
          <t>PIP-SIT-I-I1-003</t>
        </is>
      </c>
      <c r="B24" s="9" t="inlineStr">
        <is>
          <t>I</t>
        </is>
      </c>
      <c r="C24" s="9" t="inlineStr">
        <is>
          <t>I1</t>
        </is>
      </c>
      <c r="D24" s="9" t="inlineStr">
        <is>
          <t>SIT</t>
        </is>
      </c>
      <c r="E24" s="9" t="inlineStr">
        <is>
          <t>Examiner une situation nouvelle afin de comprendre précisément ce qui s’y passe.</t>
        </is>
      </c>
      <c r="F24" s="9" t="inlineStr">
        <is>
          <t>Face à une situation inhabituelle, prendre le temps d’examiner les faits avant d’avancer une explication.</t>
        </is>
      </c>
      <c r="G24" s="9" t="inlineStr">
        <is>
          <t>FAIBLE_A_MOYENNE</t>
        </is>
      </c>
      <c r="H24" s="9" t="inlineStr">
        <is>
          <t>FAIBLE</t>
        </is>
      </c>
      <c r="I24" s="9" t="inlineStr">
        <is>
          <t>FORTE</t>
        </is>
      </c>
      <c r="J24" s="9" t="inlineStr">
        <is>
          <t>MAINTIEN_REECRIT</t>
        </is>
      </c>
      <c r="K24" s="9" t="inlineStr">
        <is>
          <t>Face à une situation inhabituelle, prendre le temps d’examiner les faits avant d’avancer une explication.</t>
        </is>
      </c>
      <c r="L24" s="9" t="inlineStr">
        <is>
          <t>Retenu pour couverture de facette et formulation rendue directement concrète.</t>
        </is>
      </c>
      <c r="M24" s="9" t="inlineStr">
        <is>
          <t>PIP-BANK-0.4</t>
        </is>
      </c>
    </row>
    <row r="25">
      <c r="A25" s="9" t="inlineStr">
        <is>
          <t>PIP-ENV-I-I1-004</t>
        </is>
      </c>
      <c r="B25" s="9" t="inlineStr">
        <is>
          <t>I</t>
        </is>
      </c>
      <c r="C25" s="9" t="inlineStr">
        <is>
          <t>I1</t>
        </is>
      </c>
      <c r="D25" s="9" t="inlineStr">
        <is>
          <t>ENV</t>
        </is>
      </c>
      <c r="E25" s="9" t="inlineStr">
        <is>
          <t>Travailler dans un contexte où l’on dispose de temps pour observer et examiner les faits avant de tirer des conclusions.</t>
        </is>
      </c>
      <c r="F25" s="9" t="inlineStr">
        <is>
          <t>Travailler dans un contexte où l’on peut observer, vérifier et examiner les faits avant de prendre position.</t>
        </is>
      </c>
      <c r="G25" s="9" t="inlineStr">
        <is>
          <t>FAIBLE_A_MOYENNE</t>
        </is>
      </c>
      <c r="H25" s="9" t="inlineStr">
        <is>
          <t>FAIBLE</t>
        </is>
      </c>
      <c r="I25" s="9" t="inlineStr">
        <is>
          <t>MOYENNE</t>
        </is>
      </c>
      <c r="J25" s="9" t="inlineStr">
        <is>
          <t>RETRAIT_BANQUE72</t>
        </is>
      </c>
      <c r="K25" s="9" t="inlineStr"/>
      <c r="L25" s="9" t="inlineStr">
        <is>
          <t>Historique conservé ; item non nécessaire pour atteindre 12/dimension et ≥2/facette.</t>
        </is>
      </c>
      <c r="M25" s="9" t="inlineStr">
        <is>
          <t>PIP-BANK-0.3</t>
        </is>
      </c>
    </row>
    <row r="26">
      <c r="A26" s="9" t="inlineStr">
        <is>
          <t>PIP-ACT-I-I2-005</t>
        </is>
      </c>
      <c r="B26" s="9" t="inlineStr">
        <is>
          <t>I</t>
        </is>
      </c>
      <c r="C26" s="9" t="inlineStr">
        <is>
          <t>I2</t>
        </is>
      </c>
      <c r="D26" s="9" t="inlineStr">
        <is>
          <t>ACT</t>
        </is>
      </c>
      <c r="E26" s="9" t="inlineStr">
        <is>
          <t>Analyser plusieurs informations pour comprendre les liens entre elles.</t>
        </is>
      </c>
      <c r="F26" s="9" t="inlineStr">
        <is>
          <t>Analyser plusieurs données pour comprendre comment elles sont liées et ce qu’elles expliquent.</t>
        </is>
      </c>
      <c r="G26" s="9" t="inlineStr">
        <is>
          <t>MOYENNE</t>
        </is>
      </c>
      <c r="H26" s="9" t="inlineStr">
        <is>
          <t>FAIBLE</t>
        </is>
      </c>
      <c r="I26" s="9" t="inlineStr">
        <is>
          <t>FORTE</t>
        </is>
      </c>
      <c r="J26" s="9" t="inlineStr">
        <is>
          <t>MAINTIEN_REECRIT</t>
        </is>
      </c>
      <c r="K26" s="9" t="inlineStr">
        <is>
          <t>Analyser plusieurs données pour comprendre comment elles sont liées et ce qu’elles expliquent.</t>
        </is>
      </c>
      <c r="L26" s="9" t="inlineStr">
        <is>
          <t>Retenu pour couverture de facette et formulation rendue directement concrète.</t>
        </is>
      </c>
      <c r="M26" s="9" t="inlineStr">
        <is>
          <t>PIP-BANK-0.4</t>
        </is>
      </c>
    </row>
    <row r="27">
      <c r="A27" s="9" t="inlineStr">
        <is>
          <t>PIP-ACT-I-I2-006</t>
        </is>
      </c>
      <c r="B27" s="9" t="inlineStr">
        <is>
          <t>I</t>
        </is>
      </c>
      <c r="C27" s="9" t="inlineStr">
        <is>
          <t>I2</t>
        </is>
      </c>
      <c r="D27" s="9" t="inlineStr">
        <is>
          <t>ACT</t>
        </is>
      </c>
      <c r="E27" s="9" t="inlineStr">
        <is>
          <t>Décomposer un problème complexe en plusieurs éléments pour mieux le comprendre.</t>
        </is>
      </c>
      <c r="F27" s="9" t="inlineStr">
        <is>
          <t>Découper un problème complexe en plusieurs questions plus simples afin d’en comprendre la logique.</t>
        </is>
      </c>
      <c r="G27" s="9" t="inlineStr">
        <is>
          <t>MOYENNE</t>
        </is>
      </c>
      <c r="H27" s="9" t="inlineStr">
        <is>
          <t>FAIBLE</t>
        </is>
      </c>
      <c r="I27" s="9" t="inlineStr">
        <is>
          <t>FORTE</t>
        </is>
      </c>
      <c r="J27" s="9" t="inlineStr">
        <is>
          <t>MAINTIEN_REECRIT</t>
        </is>
      </c>
      <c r="K27" s="9" t="inlineStr">
        <is>
          <t>Découper un problème complexe en plusieurs questions plus simples afin d’en comprendre la logique.</t>
        </is>
      </c>
      <c r="L27" s="9" t="inlineStr">
        <is>
          <t>Retenu pour couverture de facette et formulation rendue directement concrète.</t>
        </is>
      </c>
      <c r="M27" s="9" t="inlineStr">
        <is>
          <t>PIP-BANK-0.4</t>
        </is>
      </c>
    </row>
    <row r="28">
      <c r="A28" s="9" t="inlineStr">
        <is>
          <t>PIP-SIT-I-I2-007</t>
        </is>
      </c>
      <c r="B28" s="9" t="inlineStr">
        <is>
          <t>I</t>
        </is>
      </c>
      <c r="C28" s="9" t="inlineStr">
        <is>
          <t>I2</t>
        </is>
      </c>
      <c r="D28" s="9" t="inlineStr">
        <is>
          <t>SIT</t>
        </is>
      </c>
      <c r="E28" s="9" t="inlineStr">
        <is>
          <t>Faire face à un problème où il faut raisonner étape par étape avant de trouver une explication.</t>
        </is>
      </c>
      <c r="F28" s="9" t="inlineStr">
        <is>
          <t>Un problème n’a pas de réponse évidente : raisonner étape par étape pour comprendre ce qui se passe.</t>
        </is>
      </c>
      <c r="G28" s="9" t="inlineStr">
        <is>
          <t>FAIBLE_A_MOYENNE</t>
        </is>
      </c>
      <c r="H28" s="9" t="inlineStr">
        <is>
          <t>FAIBLE</t>
        </is>
      </c>
      <c r="I28" s="9" t="inlineStr">
        <is>
          <t>FORTE</t>
        </is>
      </c>
      <c r="J28" s="9" t="inlineStr">
        <is>
          <t>MAINTIEN_REECRIT</t>
        </is>
      </c>
      <c r="K28" s="9" t="inlineStr">
        <is>
          <t>Un problème n’a pas de réponse évidente : raisonner étape par étape pour comprendre ce qui se passe.</t>
        </is>
      </c>
      <c r="L28" s="9" t="inlineStr">
        <is>
          <t>Retenu pour couverture de facette et formulation rendue directement concrète.</t>
        </is>
      </c>
      <c r="M28" s="9" t="inlineStr">
        <is>
          <t>PIP-BANK-0.4</t>
        </is>
      </c>
    </row>
    <row r="29">
      <c r="A29" s="9" t="inlineStr">
        <is>
          <t>PIP-ENV-I-I2-008</t>
        </is>
      </c>
      <c r="B29" s="9" t="inlineStr">
        <is>
          <t>I</t>
        </is>
      </c>
      <c r="C29" s="9" t="inlineStr">
        <is>
          <t>I2</t>
        </is>
      </c>
      <c r="D29" s="9" t="inlineStr">
        <is>
          <t>ENV</t>
        </is>
      </c>
      <c r="E29" s="9" t="inlineStr">
        <is>
          <t>Évoluer dans un contexte où l’on doit régulièrement interpréter des informations et construire un raisonnement.</t>
        </is>
      </c>
      <c r="F29" s="9" t="inlineStr">
        <is>
          <t>Exercer dans un environnement où l’on doit souvent interpréter des informations et construire un raisonnement argumenté.</t>
        </is>
      </c>
      <c r="G29" s="9" t="inlineStr">
        <is>
          <t>FAIBLE_A_MOYENNE</t>
        </is>
      </c>
      <c r="H29" s="9" t="inlineStr">
        <is>
          <t>FAIBLE</t>
        </is>
      </c>
      <c r="I29" s="9" t="inlineStr">
        <is>
          <t>MOYENNE</t>
        </is>
      </c>
      <c r="J29" s="9" t="inlineStr">
        <is>
          <t>RETRAIT_BANQUE72</t>
        </is>
      </c>
      <c r="K29" s="9" t="inlineStr"/>
      <c r="L29" s="9" t="inlineStr">
        <is>
          <t>Historique conservé ; item non nécessaire pour atteindre 12/dimension et ≥2/facette.</t>
        </is>
      </c>
      <c r="M29" s="9" t="inlineStr">
        <is>
          <t>PIP-BANK-0.3</t>
        </is>
      </c>
    </row>
    <row r="30">
      <c r="A30" s="9" t="inlineStr">
        <is>
          <t>PIP-ACT-I-I3-009</t>
        </is>
      </c>
      <c r="B30" s="9" t="inlineStr">
        <is>
          <t>I</t>
        </is>
      </c>
      <c r="C30" s="9" t="inlineStr">
        <is>
          <t>I3</t>
        </is>
      </c>
      <c r="D30" s="9" t="inlineStr">
        <is>
          <t>ACT</t>
        </is>
      </c>
      <c r="E30" s="9" t="inlineStr">
        <is>
          <t>Rechercher des informations provenant de plusieurs sources pour répondre à une question.</t>
        </is>
      </c>
      <c r="F30" s="9" t="inlineStr">
        <is>
          <t>Chercher des informations dans plusieurs sources fiables pour répondre à une question précise.</t>
        </is>
      </c>
      <c r="G30" s="9" t="inlineStr">
        <is>
          <t>MOYENNE</t>
        </is>
      </c>
      <c r="H30" s="9" t="inlineStr">
        <is>
          <t>FAIBLE</t>
        </is>
      </c>
      <c r="I30" s="9" t="inlineStr">
        <is>
          <t>FORTE</t>
        </is>
      </c>
      <c r="J30" s="9" t="inlineStr">
        <is>
          <t>MAINTIEN_REECRIT</t>
        </is>
      </c>
      <c r="K30" s="9" t="inlineStr">
        <is>
          <t>Chercher des informations dans plusieurs sources fiables pour répondre à une question précise.</t>
        </is>
      </c>
      <c r="L30" s="9" t="inlineStr">
        <is>
          <t>Retenu pour couverture de facette et formulation rendue directement concrète.</t>
        </is>
      </c>
      <c r="M30" s="9" t="inlineStr">
        <is>
          <t>PIP-BANK-0.4</t>
        </is>
      </c>
    </row>
    <row r="31">
      <c r="A31" s="9" t="inlineStr">
        <is>
          <t>PIP-ACT-I-I3-010</t>
        </is>
      </c>
      <c r="B31" s="9" t="inlineStr">
        <is>
          <t>I</t>
        </is>
      </c>
      <c r="C31" s="9" t="inlineStr">
        <is>
          <t>I3</t>
        </is>
      </c>
      <c r="D31" s="9" t="inlineStr">
        <is>
          <t>ACT</t>
        </is>
      </c>
      <c r="E31" s="9" t="inlineStr">
        <is>
          <t>Enquêter pour vérifier ce qui est exact lorsqu’une situation reste incertaine.</t>
        </is>
      </c>
      <c r="F31" s="9" t="inlineStr">
        <is>
          <t>Vérifier une information incertaine en recoupant des sources et en recherchant des éléments de preuve.</t>
        </is>
      </c>
      <c r="G31" s="9" t="inlineStr">
        <is>
          <t>MOYENNE</t>
        </is>
      </c>
      <c r="H31" s="9" t="inlineStr">
        <is>
          <t>FAIBLE</t>
        </is>
      </c>
      <c r="I31" s="9" t="inlineStr">
        <is>
          <t>FORTE</t>
        </is>
      </c>
      <c r="J31" s="9" t="inlineStr">
        <is>
          <t>MAINTIEN_REECRIT</t>
        </is>
      </c>
      <c r="K31" s="9" t="inlineStr">
        <is>
          <t>Vérifier une information incertaine en recoupant des sources et en recherchant des éléments de preuve.</t>
        </is>
      </c>
      <c r="L31" s="9" t="inlineStr">
        <is>
          <t>Retenu pour couverture de facette et formulation rendue directement concrète.</t>
        </is>
      </c>
      <c r="M31" s="9" t="inlineStr">
        <is>
          <t>PIP-BANK-0.4</t>
        </is>
      </c>
    </row>
    <row r="32">
      <c r="A32" s="9" t="inlineStr">
        <is>
          <t>PIP-SIT-I-I3-011</t>
        </is>
      </c>
      <c r="B32" s="9" t="inlineStr">
        <is>
          <t>I</t>
        </is>
      </c>
      <c r="C32" s="9" t="inlineStr">
        <is>
          <t>I3</t>
        </is>
      </c>
      <c r="D32" s="9" t="inlineStr">
        <is>
          <t>SIT</t>
        </is>
      </c>
      <c r="E32" s="9" t="inlineStr">
        <is>
          <t>Être confronté à une question sans réponse immédiate et devoir approfondir les recherches pour la comprendre.</t>
        </is>
      </c>
      <c r="F32" s="9" t="inlineStr">
        <is>
          <t>Une question reste sans réponse : approfondir la recherche jusqu’à comprendre les éléments essentiels.</t>
        </is>
      </c>
      <c r="G32" s="9" t="inlineStr">
        <is>
          <t>FAIBLE_A_MOYENNE</t>
        </is>
      </c>
      <c r="H32" s="9" t="inlineStr">
        <is>
          <t>FAIBLE</t>
        </is>
      </c>
      <c r="I32" s="9" t="inlineStr">
        <is>
          <t>FORTE</t>
        </is>
      </c>
      <c r="J32" s="9" t="inlineStr">
        <is>
          <t>RETRAIT_BANQUE72</t>
        </is>
      </c>
      <c r="K32" s="9" t="inlineStr"/>
      <c r="L32" s="9" t="inlineStr">
        <is>
          <t>Historique conservé ; item non nécessaire pour atteindre 12/dimension et ≥2/facette.</t>
        </is>
      </c>
      <c r="M32" s="9" t="inlineStr">
        <is>
          <t>PIP-BANK-0.3</t>
        </is>
      </c>
    </row>
    <row r="33">
      <c r="A33" s="9" t="inlineStr">
        <is>
          <t>PIP-ENV-I-I3-012</t>
        </is>
      </c>
      <c r="B33" s="9" t="inlineStr">
        <is>
          <t>I</t>
        </is>
      </c>
      <c r="C33" s="9" t="inlineStr">
        <is>
          <t>I3</t>
        </is>
      </c>
      <c r="D33" s="9" t="inlineStr">
        <is>
          <t>ENV</t>
        </is>
      </c>
      <c r="E33" s="9" t="inlineStr">
        <is>
          <t>Travailler dans un contexte où l’on peut explorer des sujets, consulter des sources et approfondir des questions.</t>
        </is>
      </c>
      <c r="F33" s="9" t="inlineStr">
        <is>
          <t>Travailler dans un contexte où l’on dispose régulièrement de temps pour chercher, documenter et approfondir des sujets.</t>
        </is>
      </c>
      <c r="G33" s="9" t="inlineStr">
        <is>
          <t>FAIBLE_A_MOYENNE</t>
        </is>
      </c>
      <c r="H33" s="9" t="inlineStr">
        <is>
          <t>FAIBLE</t>
        </is>
      </c>
      <c r="I33" s="9" t="inlineStr">
        <is>
          <t>MOYENNE</t>
        </is>
      </c>
      <c r="J33" s="9" t="inlineStr">
        <is>
          <t>RETRAIT_BANQUE72</t>
        </is>
      </c>
      <c r="K33" s="9" t="inlineStr"/>
      <c r="L33" s="9" t="inlineStr">
        <is>
          <t>Historique conservé ; item non nécessaire pour atteindre 12/dimension et ≥2/facette.</t>
        </is>
      </c>
      <c r="M33" s="9" t="inlineStr">
        <is>
          <t>PIP-BANK-0.3</t>
        </is>
      </c>
    </row>
    <row r="34">
      <c r="A34" s="9" t="inlineStr">
        <is>
          <t>PIP-ACT-I-I4-013</t>
        </is>
      </c>
      <c r="B34" s="9" t="inlineStr">
        <is>
          <t>I</t>
        </is>
      </c>
      <c r="C34" s="9" t="inlineStr">
        <is>
          <t>I4</t>
        </is>
      </c>
      <c r="D34" s="9" t="inlineStr">
        <is>
          <t>ACT</t>
        </is>
      </c>
      <c r="E34" s="9" t="inlineStr">
        <is>
          <t>Tester une hypothèse pour voir si elle se vérifie.</t>
        </is>
      </c>
      <c r="F34" s="9" t="inlineStr">
        <is>
          <t>Tester une hypothèse en définissant une manière simple de vérifier si elle se confirme.</t>
        </is>
      </c>
      <c r="G34" s="9" t="inlineStr">
        <is>
          <t>MOYENNE</t>
        </is>
      </c>
      <c r="H34" s="9" t="inlineStr">
        <is>
          <t>FAIBLE</t>
        </is>
      </c>
      <c r="I34" s="9" t="inlineStr">
        <is>
          <t>FORTE</t>
        </is>
      </c>
      <c r="J34" s="9" t="inlineStr">
        <is>
          <t>MAINTIEN_REECRIT</t>
        </is>
      </c>
      <c r="K34" s="9" t="inlineStr">
        <is>
          <t>Tester une hypothèse en définissant une manière simple de vérifier si elle se confirme.</t>
        </is>
      </c>
      <c r="L34" s="9" t="inlineStr">
        <is>
          <t>Retenu pour couverture de facette et formulation rendue directement concrète.</t>
        </is>
      </c>
      <c r="M34" s="9" t="inlineStr">
        <is>
          <t>PIP-BANK-0.4</t>
        </is>
      </c>
    </row>
    <row r="35">
      <c r="A35" s="9" t="inlineStr">
        <is>
          <t>PIP-ACT-I-I4-014</t>
        </is>
      </c>
      <c r="B35" s="9" t="inlineStr">
        <is>
          <t>I</t>
        </is>
      </c>
      <c r="C35" s="9" t="inlineStr">
        <is>
          <t>I4</t>
        </is>
      </c>
      <c r="D35" s="9" t="inlineStr">
        <is>
          <t>ACT</t>
        </is>
      </c>
      <c r="E35" s="9" t="inlineStr">
        <is>
          <t>Comparer plusieurs essais pour comprendre ce qui produit un résultat différent.</t>
        </is>
      </c>
      <c r="F35" s="9" t="inlineStr">
        <is>
          <t>Réaliser plusieurs essais en modifiant un paramètre pour comprendre ce qui change le résultat.</t>
        </is>
      </c>
      <c r="G35" s="9" t="inlineStr">
        <is>
          <t>MOYENNE</t>
        </is>
      </c>
      <c r="H35" s="9" t="inlineStr">
        <is>
          <t>FAIBLE</t>
        </is>
      </c>
      <c r="I35" s="9" t="inlineStr">
        <is>
          <t>FORTE</t>
        </is>
      </c>
      <c r="J35" s="9" t="inlineStr">
        <is>
          <t>MAINTIEN_REECRIT</t>
        </is>
      </c>
      <c r="K35" s="9" t="inlineStr">
        <is>
          <t>Réaliser plusieurs essais en modifiant un paramètre pour comprendre ce qui change le résultat.</t>
        </is>
      </c>
      <c r="L35" s="9" t="inlineStr">
        <is>
          <t>Retenu pour couverture de facette et formulation rendue directement concrète.</t>
        </is>
      </c>
      <c r="M35" s="9" t="inlineStr">
        <is>
          <t>PIP-BANK-0.4</t>
        </is>
      </c>
    </row>
    <row r="36">
      <c r="A36" s="9" t="inlineStr">
        <is>
          <t>PIP-SIT-I-I4-015</t>
        </is>
      </c>
      <c r="B36" s="9" t="inlineStr">
        <is>
          <t>I</t>
        </is>
      </c>
      <c r="C36" s="9" t="inlineStr">
        <is>
          <t>I4</t>
        </is>
      </c>
      <c r="D36" s="9" t="inlineStr">
        <is>
          <t>SIT</t>
        </is>
      </c>
      <c r="E36" s="9" t="inlineStr">
        <is>
          <t>Chercher la meilleure explication d’un phénomène en réalisant des essais ou des mesures.</t>
        </is>
      </c>
      <c r="F36" s="9" t="inlineStr">
        <is>
          <t>Pour expliquer un phénomène, effectuer des mesures ou des essais et comparer les résultats obtenus.</t>
        </is>
      </c>
      <c r="G36" s="9" t="inlineStr">
        <is>
          <t>FAIBLE_A_MOYENNE</t>
        </is>
      </c>
      <c r="H36" s="9" t="inlineStr">
        <is>
          <t>FAIBLE</t>
        </is>
      </c>
      <c r="I36" s="9" t="inlineStr">
        <is>
          <t>FORTE</t>
        </is>
      </c>
      <c r="J36" s="9" t="inlineStr">
        <is>
          <t>RETRAIT_BANQUE72</t>
        </is>
      </c>
      <c r="K36" s="9" t="inlineStr"/>
      <c r="L36" s="9" t="inlineStr">
        <is>
          <t>Historique conservé ; item non nécessaire pour atteindre 12/dimension et ≥2/facette.</t>
        </is>
      </c>
      <c r="M36" s="9" t="inlineStr">
        <is>
          <t>PIP-BANK-0.3</t>
        </is>
      </c>
    </row>
    <row r="37">
      <c r="A37" s="9" t="inlineStr">
        <is>
          <t>PIP-ENV-I-I4-016</t>
        </is>
      </c>
      <c r="B37" s="9" t="inlineStr">
        <is>
          <t>I</t>
        </is>
      </c>
      <c r="C37" s="9" t="inlineStr">
        <is>
          <t>I4</t>
        </is>
      </c>
      <c r="D37" s="9" t="inlineStr">
        <is>
          <t>ENV</t>
        </is>
      </c>
      <c r="E37" s="9" t="inlineStr">
        <is>
          <t>Évoluer dans un contexte où l’on peut expérimenter, mesurer et tirer des enseignements des résultats.</t>
        </is>
      </c>
      <c r="F37" s="9" t="inlineStr">
        <is>
          <t>Évoluer dans un environnement où l’on peut tester, mesurer, expérimenter et apprendre des résultats.</t>
        </is>
      </c>
      <c r="G37" s="9" t="inlineStr">
        <is>
          <t>FAIBLE_A_MOYENNE</t>
        </is>
      </c>
      <c r="H37" s="9" t="inlineStr">
        <is>
          <t>FAIBLE</t>
        </is>
      </c>
      <c r="I37" s="9" t="inlineStr">
        <is>
          <t>MOYENNE</t>
        </is>
      </c>
      <c r="J37" s="9" t="inlineStr">
        <is>
          <t>RETRAIT_BANQUE72</t>
        </is>
      </c>
      <c r="K37" s="9" t="inlineStr"/>
      <c r="L37" s="9" t="inlineStr">
        <is>
          <t>Historique conservé ; item non nécessaire pour atteindre 12/dimension et ≥2/facette.</t>
        </is>
      </c>
      <c r="M37" s="9" t="inlineStr">
        <is>
          <t>PIP-BANK-0.3</t>
        </is>
      </c>
    </row>
    <row r="38">
      <c r="A38" s="9" t="inlineStr">
        <is>
          <t>PIP-ACT-I-I5-017</t>
        </is>
      </c>
      <c r="B38" s="9" t="inlineStr">
        <is>
          <t>I</t>
        </is>
      </c>
      <c r="C38" s="9" t="inlineStr">
        <is>
          <t>I5</t>
        </is>
      </c>
      <c r="D38" s="9" t="inlineStr">
        <is>
          <t>ACT</t>
        </is>
      </c>
      <c r="E38" s="9" t="inlineStr">
        <is>
          <t>Chercher la cause d’un problème pour pouvoir l’expliquer.</t>
        </is>
      </c>
      <c r="F38" s="9" t="inlineStr">
        <is>
          <t>Rechercher la cause d’un dysfonctionnement ou d’un phénomène avant de proposer une explication.</t>
        </is>
      </c>
      <c r="G38" s="9" t="inlineStr">
        <is>
          <t>MOYENNE</t>
        </is>
      </c>
      <c r="H38" s="9" t="inlineStr">
        <is>
          <t>FAIBLE</t>
        </is>
      </c>
      <c r="I38" s="9" t="inlineStr">
        <is>
          <t>FORTE</t>
        </is>
      </c>
      <c r="J38" s="9" t="inlineStr">
        <is>
          <t>MAINTIEN_REECRIT</t>
        </is>
      </c>
      <c r="K38" s="9" t="inlineStr">
        <is>
          <t>Rechercher la cause d’un dysfonctionnement ou d’un phénomène avant de proposer une explication.</t>
        </is>
      </c>
      <c r="L38" s="9" t="inlineStr">
        <is>
          <t>Retenu pour couverture de facette et formulation rendue directement concrète.</t>
        </is>
      </c>
      <c r="M38" s="9" t="inlineStr">
        <is>
          <t>PIP-BANK-0.4</t>
        </is>
      </c>
    </row>
    <row r="39">
      <c r="A39" s="9" t="inlineStr">
        <is>
          <t>PIP-ACT-I-I5-018</t>
        </is>
      </c>
      <c r="B39" s="9" t="inlineStr">
        <is>
          <t>I</t>
        </is>
      </c>
      <c r="C39" s="9" t="inlineStr">
        <is>
          <t>I5</t>
        </is>
      </c>
      <c r="D39" s="9" t="inlineStr">
        <is>
          <t>ACT</t>
        </is>
      </c>
      <c r="E39" s="9" t="inlineStr">
        <is>
          <t>Résoudre un problème nouveau en construisant une solution fondée sur les informations disponibles.</t>
        </is>
      </c>
      <c r="F39" s="9" t="inlineStr">
        <is>
          <t>Résoudre un problème nouveau en utilisant les informations disponibles pour construire une solution raisonnée.</t>
        </is>
      </c>
      <c r="G39" s="9" t="inlineStr">
        <is>
          <t>MOYENNE</t>
        </is>
      </c>
      <c r="H39" s="9" t="inlineStr">
        <is>
          <t>FAIBLE</t>
        </is>
      </c>
      <c r="I39" s="9" t="inlineStr">
        <is>
          <t>FORTE</t>
        </is>
      </c>
      <c r="J39" s="9" t="inlineStr">
        <is>
          <t>MAINTIEN_REECRIT</t>
        </is>
      </c>
      <c r="K39" s="9" t="inlineStr">
        <is>
          <t>Résoudre un problème nouveau en utilisant les informations disponibles pour construire une solution raisonnée.</t>
        </is>
      </c>
      <c r="L39" s="9" t="inlineStr">
        <is>
          <t>Retenu pour couverture de facette et formulation rendue directement concrète.</t>
        </is>
      </c>
      <c r="M39" s="9" t="inlineStr">
        <is>
          <t>PIP-BANK-0.4</t>
        </is>
      </c>
    </row>
    <row r="40">
      <c r="A40" s="9" t="inlineStr">
        <is>
          <t>PIP-SIT-I-I5-019</t>
        </is>
      </c>
      <c r="B40" s="9" t="inlineStr">
        <is>
          <t>I</t>
        </is>
      </c>
      <c r="C40" s="9" t="inlineStr">
        <is>
          <t>I5</t>
        </is>
      </c>
      <c r="D40" s="9" t="inlineStr">
        <is>
          <t>SIT</t>
        </is>
      </c>
      <c r="E40" s="9" t="inlineStr">
        <is>
          <t>Prendre en charge une situation complexe dont la solution n’est pas connue à l’avance et qui demande d’abord de comprendre le problème.</t>
        </is>
      </c>
      <c r="F40" s="9" t="inlineStr">
        <is>
          <t>Face à une situation complexe et inédite, comprendre d’abord le problème avant d’élaborer une solution.</t>
        </is>
      </c>
      <c r="G40" s="9" t="inlineStr">
        <is>
          <t>FAIBLE_A_MOYENNE</t>
        </is>
      </c>
      <c r="H40" s="9" t="inlineStr">
        <is>
          <t>A_SURVEILLER</t>
        </is>
      </c>
      <c r="I40" s="9" t="inlineStr">
        <is>
          <t>FORTE</t>
        </is>
      </c>
      <c r="J40" s="9" t="inlineStr">
        <is>
          <t>RETRAIT_BANQUE72</t>
        </is>
      </c>
      <c r="K40" s="9" t="inlineStr"/>
      <c r="L40" s="9" t="inlineStr">
        <is>
          <t>Historique conservé ; item non nécessaire pour atteindre 12/dimension et ≥2/facette.</t>
        </is>
      </c>
      <c r="M40" s="9" t="inlineStr">
        <is>
          <t>PIP-BANK-0.3</t>
        </is>
      </c>
    </row>
    <row r="41">
      <c r="A41" s="9" t="inlineStr">
        <is>
          <t>PIP-ENV-I-I5-020</t>
        </is>
      </c>
      <c r="B41" s="9" t="inlineStr">
        <is>
          <t>I</t>
        </is>
      </c>
      <c r="C41" s="9" t="inlineStr">
        <is>
          <t>I5</t>
        </is>
      </c>
      <c r="D41" s="9" t="inlineStr">
        <is>
          <t>ENV</t>
        </is>
      </c>
      <c r="E41" s="9" t="inlineStr">
        <is>
          <t>Travailler dans un contexte où l’on est régulièrement amené à expliquer des phénomènes ou à résoudre des problèmes qui demandent réflexion et compréhension.</t>
        </is>
      </c>
      <c r="F41" s="9" t="inlineStr">
        <is>
          <t>Travailler dans un contexte où l’on doit fréquemment expliquer des phénomènes ou résoudre des problèmes qui demandent réflexion.</t>
        </is>
      </c>
      <c r="G41" s="9" t="inlineStr">
        <is>
          <t>FAIBLE_A_MOYENNE</t>
        </is>
      </c>
      <c r="H41" s="9" t="inlineStr">
        <is>
          <t>FAIBLE</t>
        </is>
      </c>
      <c r="I41" s="9" t="inlineStr">
        <is>
          <t>MOYENNE</t>
        </is>
      </c>
      <c r="J41" s="9" t="inlineStr">
        <is>
          <t>RETRAIT_BANQUE72</t>
        </is>
      </c>
      <c r="K41" s="9" t="inlineStr"/>
      <c r="L41" s="9" t="inlineStr">
        <is>
          <t>Historique conservé ; item non nécessaire pour atteindre 12/dimension et ≥2/facette.</t>
        </is>
      </c>
      <c r="M41" s="9" t="inlineStr">
        <is>
          <t>PIP-BANK-0.3</t>
        </is>
      </c>
    </row>
    <row r="42">
      <c r="A42" s="9" t="inlineStr">
        <is>
          <t>PIP-ACT-A-A1-001</t>
        </is>
      </c>
      <c r="B42" s="9" t="inlineStr">
        <is>
          <t>A</t>
        </is>
      </c>
      <c r="C42" s="9" t="inlineStr">
        <is>
          <t>A1</t>
        </is>
      </c>
      <c r="D42" s="9" t="inlineStr">
        <is>
          <t>ACT</t>
        </is>
      </c>
      <c r="E42" s="9" t="inlineStr">
        <is>
          <t>Imaginer plusieurs idées nouvelles à partir d’un même sujet.</t>
        </is>
      </c>
      <c r="F42" s="9" t="inlineStr">
        <is>
          <t>Imaginer plusieurs concepts différents pour répondre à un même thème ou à une même demande.</t>
        </is>
      </c>
      <c r="G42" s="9" t="inlineStr">
        <is>
          <t>MOYENNE</t>
        </is>
      </c>
      <c r="H42" s="9" t="inlineStr">
        <is>
          <t>FAIBLE</t>
        </is>
      </c>
      <c r="I42" s="9" t="inlineStr">
        <is>
          <t>FORTE</t>
        </is>
      </c>
      <c r="J42" s="9" t="inlineStr">
        <is>
          <t>MAINTIEN_REECRIT</t>
        </is>
      </c>
      <c r="K42" s="9" t="inlineStr">
        <is>
          <t>Imaginer plusieurs concepts différents pour répondre à un même thème ou à une même demande.</t>
        </is>
      </c>
      <c r="L42" s="9" t="inlineStr">
        <is>
          <t>Retenu pour couverture de facette et formulation rendue directement concrète.</t>
        </is>
      </c>
      <c r="M42" s="9" t="inlineStr">
        <is>
          <t>PIP-BANK-0.4</t>
        </is>
      </c>
    </row>
    <row r="43">
      <c r="A43" s="9" t="inlineStr">
        <is>
          <t>PIP-ACT-A-A1-002</t>
        </is>
      </c>
      <c r="B43" s="9" t="inlineStr">
        <is>
          <t>A</t>
        </is>
      </c>
      <c r="C43" s="9" t="inlineStr">
        <is>
          <t>A1</t>
        </is>
      </c>
      <c r="D43" s="9" t="inlineStr">
        <is>
          <t>ACT</t>
        </is>
      </c>
      <c r="E43" s="9" t="inlineStr">
        <is>
          <t>Inventer une manière originale de présenter ou de réaliser quelque chose.</t>
        </is>
      </c>
      <c r="F43" s="9" t="inlineStr">
        <is>
          <t>Inventer une manière originale de présenter un message, un objet ou une expérience.</t>
        </is>
      </c>
      <c r="G43" s="9" t="inlineStr">
        <is>
          <t>MOYENNE</t>
        </is>
      </c>
      <c r="H43" s="9" t="inlineStr">
        <is>
          <t>FAIBLE</t>
        </is>
      </c>
      <c r="I43" s="9" t="inlineStr">
        <is>
          <t>FORTE</t>
        </is>
      </c>
      <c r="J43" s="9" t="inlineStr">
        <is>
          <t>MAINTIEN_REECRIT</t>
        </is>
      </c>
      <c r="K43" s="9" t="inlineStr">
        <is>
          <t>Inventer une manière originale de présenter un message, un objet ou une expérience.</t>
        </is>
      </c>
      <c r="L43" s="9" t="inlineStr">
        <is>
          <t>Retenu pour couverture de facette et formulation rendue directement concrète.</t>
        </is>
      </c>
      <c r="M43" s="9" t="inlineStr">
        <is>
          <t>PIP-BANK-0.4</t>
        </is>
      </c>
    </row>
    <row r="44">
      <c r="A44" s="9" t="inlineStr">
        <is>
          <t>PIP-SIT-A-A1-003</t>
        </is>
      </c>
      <c r="B44" s="9" t="inlineStr">
        <is>
          <t>A</t>
        </is>
      </c>
      <c r="C44" s="9" t="inlineStr">
        <is>
          <t>A1</t>
        </is>
      </c>
      <c r="D44" s="9" t="inlineStr">
        <is>
          <t>SIT</t>
        </is>
      </c>
      <c r="E44" s="9" t="inlineStr">
        <is>
          <t>Faire face à une demande pour laquelle aucune solution n’est imposée et imaginer une proposition nouvelle.</t>
        </is>
      </c>
      <c r="F44" s="9" t="inlineStr">
        <is>
          <t>Une demande est ouverte et aucune solution n’est imposée : imaginer une proposition nouvelle et personnelle.</t>
        </is>
      </c>
      <c r="G44" s="9" t="inlineStr">
        <is>
          <t>FAIBLE_A_MOYENNE</t>
        </is>
      </c>
      <c r="H44" s="9" t="inlineStr">
        <is>
          <t>FAIBLE</t>
        </is>
      </c>
      <c r="I44" s="9" t="inlineStr">
        <is>
          <t>FORTE</t>
        </is>
      </c>
      <c r="J44" s="9" t="inlineStr">
        <is>
          <t>MAINTIEN_REECRIT</t>
        </is>
      </c>
      <c r="K44" s="9" t="inlineStr">
        <is>
          <t>Une demande est ouverte et aucune solution n’est imposée : imaginer une proposition nouvelle et personnelle.</t>
        </is>
      </c>
      <c r="L44" s="9" t="inlineStr">
        <is>
          <t>Retenu pour couverture de facette et formulation rendue directement concrète.</t>
        </is>
      </c>
      <c r="M44" s="9" t="inlineStr">
        <is>
          <t>PIP-BANK-0.4</t>
        </is>
      </c>
    </row>
    <row r="45">
      <c r="A45" s="9" t="inlineStr">
        <is>
          <t>PIP-ENV-A-A1-004</t>
        </is>
      </c>
      <c r="B45" s="9" t="inlineStr">
        <is>
          <t>A</t>
        </is>
      </c>
      <c r="C45" s="9" t="inlineStr">
        <is>
          <t>A1</t>
        </is>
      </c>
      <c r="D45" s="9" t="inlineStr">
        <is>
          <t>ENV</t>
        </is>
      </c>
      <c r="E45" s="9" t="inlineStr">
        <is>
          <t>Travailler dans un contexte où l’on attend régulièrement des idées nouvelles et où plusieurs pistes sont possibles.</t>
        </is>
      </c>
      <c r="F45" s="9" t="inlineStr">
        <is>
          <t>Travailler dans un contexte où l’on attend des idées nouvelles et où plusieurs réponses créatives sont possibles.</t>
        </is>
      </c>
      <c r="G45" s="9" t="inlineStr">
        <is>
          <t>FAIBLE_A_MOYENNE</t>
        </is>
      </c>
      <c r="H45" s="9" t="inlineStr">
        <is>
          <t>FAIBLE</t>
        </is>
      </c>
      <c r="I45" s="9" t="inlineStr">
        <is>
          <t>MOYENNE</t>
        </is>
      </c>
      <c r="J45" s="9" t="inlineStr">
        <is>
          <t>RETRAIT_BANQUE72</t>
        </is>
      </c>
      <c r="K45" s="9" t="inlineStr"/>
      <c r="L45" s="9" t="inlineStr">
        <is>
          <t>Historique conservé ; item non nécessaire pour atteindre 12/dimension et ≥2/facette.</t>
        </is>
      </c>
      <c r="M45" s="9" t="inlineStr">
        <is>
          <t>PIP-BANK-0.3</t>
        </is>
      </c>
    </row>
    <row r="46">
      <c r="A46" s="9" t="inlineStr">
        <is>
          <t>PIP-ACT-A-A2-005</t>
        </is>
      </c>
      <c r="B46" s="9" t="inlineStr">
        <is>
          <t>A</t>
        </is>
      </c>
      <c r="C46" s="9" t="inlineStr">
        <is>
          <t>A2</t>
        </is>
      </c>
      <c r="D46" s="9" t="inlineStr">
        <is>
          <t>ACT</t>
        </is>
      </c>
      <c r="E46" s="9" t="inlineStr">
        <is>
          <t>Concevoir l’organisation visuelle ou la forme d’un support pour qu’il exprime une intention.</t>
        </is>
      </c>
      <c r="F46" s="9" t="inlineStr">
        <is>
          <t>Concevoir librement la mise en page d’une affiche, d’une brochure ou d’un support visuel pour transmettre une intention.</t>
        </is>
      </c>
      <c r="G46" s="9" t="inlineStr">
        <is>
          <t>MOYENNE</t>
        </is>
      </c>
      <c r="H46" s="9" t="inlineStr">
        <is>
          <t>A_SURVEILLER</t>
        </is>
      </c>
      <c r="I46" s="9" t="inlineStr">
        <is>
          <t>FORTE</t>
        </is>
      </c>
      <c r="J46" s="9" t="inlineStr">
        <is>
          <t>MAINTIEN_REECRIT</t>
        </is>
      </c>
      <c r="K46" s="9" t="inlineStr">
        <is>
          <t>Concevoir librement la mise en page d’une affiche, d’une brochure ou d’un support visuel pour transmettre une intention.</t>
        </is>
      </c>
      <c r="L46" s="9" t="inlineStr">
        <is>
          <t>Retenu pour couverture de facette et formulation rendue directement concrète.</t>
        </is>
      </c>
      <c r="M46" s="9" t="inlineStr">
        <is>
          <t>PIP-BANK-0.4</t>
        </is>
      </c>
    </row>
    <row r="47">
      <c r="A47" s="9" t="inlineStr">
        <is>
          <t>PIP-ACT-A-A2-006</t>
        </is>
      </c>
      <c r="B47" s="9" t="inlineStr">
        <is>
          <t>A</t>
        </is>
      </c>
      <c r="C47" s="9" t="inlineStr">
        <is>
          <t>A2</t>
        </is>
      </c>
      <c r="D47" s="9" t="inlineStr">
        <is>
          <t>ACT</t>
        </is>
      </c>
      <c r="E47" s="9" t="inlineStr">
        <is>
          <t>Composer différents éléments pour créer un ensemble cohérent et personnel.</t>
        </is>
      </c>
      <c r="F47" s="9" t="inlineStr">
        <is>
          <t>Composer un ensemble en choisissant personnellement la disposition des formes, textes, images, sons ou autres éléments.</t>
        </is>
      </c>
      <c r="G47" s="9" t="inlineStr">
        <is>
          <t>MOYENNE</t>
        </is>
      </c>
      <c r="H47" s="9" t="inlineStr">
        <is>
          <t>FAIBLE</t>
        </is>
      </c>
      <c r="I47" s="9" t="inlineStr">
        <is>
          <t>FORTE</t>
        </is>
      </c>
      <c r="J47" s="9" t="inlineStr">
        <is>
          <t>MAINTIEN_REECRIT</t>
        </is>
      </c>
      <c r="K47" s="9" t="inlineStr">
        <is>
          <t>Composer un ensemble en choisissant personnellement la disposition des formes, textes, images, sons ou autres éléments.</t>
        </is>
      </c>
      <c r="L47" s="9" t="inlineStr">
        <is>
          <t>Retenu pour couverture de facette et formulation rendue directement concrète.</t>
        </is>
      </c>
      <c r="M47" s="9" t="inlineStr">
        <is>
          <t>PIP-BANK-0.4</t>
        </is>
      </c>
    </row>
    <row r="48">
      <c r="A48" s="9" t="inlineStr">
        <is>
          <t>PIP-SIT-A-A2-007</t>
        </is>
      </c>
      <c r="B48" s="9" t="inlineStr">
        <is>
          <t>A</t>
        </is>
      </c>
      <c r="C48" s="9" t="inlineStr">
        <is>
          <t>A2</t>
        </is>
      </c>
      <c r="D48" s="9" t="inlineStr">
        <is>
          <t>SIT</t>
        </is>
      </c>
      <c r="E48" s="9" t="inlineStr">
        <is>
          <t>Créer une proposition en choisissant librement la manière d’agencer plusieurs éléments.</t>
        </is>
      </c>
      <c r="F48" s="9" t="inlineStr">
        <is>
          <t>Créer une proposition en décidant librement comment agencer les éléments d’un support visuel, d’un espace ou d’une présentation créative.</t>
        </is>
      </c>
      <c r="G48" s="9" t="inlineStr">
        <is>
          <t>FAIBLE_A_MOYENNE</t>
        </is>
      </c>
      <c r="H48" s="9" t="inlineStr">
        <is>
          <t>FAIBLE</t>
        </is>
      </c>
      <c r="I48" s="9" t="inlineStr">
        <is>
          <t>FORTE</t>
        </is>
      </c>
      <c r="J48" s="9" t="inlineStr">
        <is>
          <t>MAINTIEN_REECRIT</t>
        </is>
      </c>
      <c r="K48" s="9" t="inlineStr">
        <is>
          <t>Créer une proposition en décidant librement comment agencer les éléments d’un support visuel, d’un espace ou d’une présentation créative.</t>
        </is>
      </c>
      <c r="L48" s="9" t="inlineStr">
        <is>
          <t>Retenu pour couverture de facette et formulation rendue directement concrète.</t>
        </is>
      </c>
      <c r="M48" s="9" t="inlineStr">
        <is>
          <t>PIP-BANK-0.4</t>
        </is>
      </c>
    </row>
    <row r="49">
      <c r="A49" s="9" t="inlineStr">
        <is>
          <t>PIP-ENV-A-A2-008</t>
        </is>
      </c>
      <c r="B49" s="9" t="inlineStr">
        <is>
          <t>A</t>
        </is>
      </c>
      <c r="C49" s="9" t="inlineStr">
        <is>
          <t>A2</t>
        </is>
      </c>
      <c r="D49" s="9" t="inlineStr">
        <is>
          <t>ENV</t>
        </is>
      </c>
      <c r="E49" s="9" t="inlineStr">
        <is>
          <t>Évoluer dans un contexte où l’on peut concevoir des formes, des contenus ou des expériences avec une réelle liberté de choix.</t>
        </is>
      </c>
      <c r="F49" s="9" t="inlineStr">
        <is>
          <t>Évoluer dans un contexte où l’on conçoit des formes, contenus ou expériences avec une vraie marge de choix personnel.</t>
        </is>
      </c>
      <c r="G49" s="9" t="inlineStr">
        <is>
          <t>FAIBLE_A_MOYENNE</t>
        </is>
      </c>
      <c r="H49" s="9" t="inlineStr">
        <is>
          <t>FAIBLE</t>
        </is>
      </c>
      <c r="I49" s="9" t="inlineStr">
        <is>
          <t>MOYENNE</t>
        </is>
      </c>
      <c r="J49" s="9" t="inlineStr">
        <is>
          <t>RETRAIT_BANQUE72</t>
        </is>
      </c>
      <c r="K49" s="9" t="inlineStr"/>
      <c r="L49" s="9" t="inlineStr">
        <is>
          <t>Historique conservé ; item non nécessaire pour atteindre 12/dimension et ≥2/facette.</t>
        </is>
      </c>
      <c r="M49" s="9" t="inlineStr">
        <is>
          <t>PIP-BANK-0.3</t>
        </is>
      </c>
    </row>
    <row r="50">
      <c r="A50" s="9" t="inlineStr">
        <is>
          <t>PIP-ACT-A-A3-009</t>
        </is>
      </c>
      <c r="B50" s="9" t="inlineStr">
        <is>
          <t>A</t>
        </is>
      </c>
      <c r="C50" s="9" t="inlineStr">
        <is>
          <t>A3</t>
        </is>
      </c>
      <c r="D50" s="9" t="inlineStr">
        <is>
          <t>ACT</t>
        </is>
      </c>
      <c r="E50" s="9" t="inlineStr">
        <is>
          <t>Écrire un texte pour transmettre une idée, une émotion ou un point de vue.</t>
        </is>
      </c>
      <c r="F50" s="9" t="inlineStr">
        <is>
          <t>Écrire un texte, un récit ou un message destiné à faire ressentir une idée, une émotion ou un point de vue.</t>
        </is>
      </c>
      <c r="G50" s="9" t="inlineStr">
        <is>
          <t>MOYENNE</t>
        </is>
      </c>
      <c r="H50" s="9" t="inlineStr">
        <is>
          <t>FAIBLE</t>
        </is>
      </c>
      <c r="I50" s="9" t="inlineStr">
        <is>
          <t>FORTE</t>
        </is>
      </c>
      <c r="J50" s="9" t="inlineStr">
        <is>
          <t>MAINTIEN_REECRIT</t>
        </is>
      </c>
      <c r="K50" s="9" t="inlineStr">
        <is>
          <t>Écrire un texte, un récit ou un message destiné à faire ressentir une idée, une émotion ou un point de vue.</t>
        </is>
      </c>
      <c r="L50" s="9" t="inlineStr">
        <is>
          <t>Retenu pour couverture de facette et formulation rendue directement concrète.</t>
        </is>
      </c>
      <c r="M50" s="9" t="inlineStr">
        <is>
          <t>PIP-BANK-0.4</t>
        </is>
      </c>
    </row>
    <row r="51">
      <c r="A51" s="9" t="inlineStr">
        <is>
          <t>PIP-ACT-A-A3-010</t>
        </is>
      </c>
      <c r="B51" s="9" t="inlineStr">
        <is>
          <t>A</t>
        </is>
      </c>
      <c r="C51" s="9" t="inlineStr">
        <is>
          <t>A3</t>
        </is>
      </c>
      <c r="D51" s="9" t="inlineStr">
        <is>
          <t>ACT</t>
        </is>
      </c>
      <c r="E51" s="9" t="inlineStr">
        <is>
          <t>Mettre en récit un sujet pour le rendre vivant et expressif.</t>
        </is>
      </c>
      <c r="F51" s="9" t="inlineStr">
        <is>
          <t>Transformer un sujet factuel en récit vivant pour capter l’attention d’un public.</t>
        </is>
      </c>
      <c r="G51" s="9" t="inlineStr">
        <is>
          <t>MOYENNE</t>
        </is>
      </c>
      <c r="H51" s="9" t="inlineStr">
        <is>
          <t>FAIBLE</t>
        </is>
      </c>
      <c r="I51" s="9" t="inlineStr">
        <is>
          <t>FORTE</t>
        </is>
      </c>
      <c r="J51" s="9" t="inlineStr">
        <is>
          <t>MAINTIEN_REECRIT</t>
        </is>
      </c>
      <c r="K51" s="9" t="inlineStr">
        <is>
          <t>Transformer un sujet factuel en récit vivant pour capter l’attention d’un public.</t>
        </is>
      </c>
      <c r="L51" s="9" t="inlineStr">
        <is>
          <t>Retenu pour couverture de facette et formulation rendue directement concrète.</t>
        </is>
      </c>
      <c r="M51" s="9" t="inlineStr">
        <is>
          <t>PIP-BANK-0.4</t>
        </is>
      </c>
    </row>
    <row r="52">
      <c r="A52" s="9" t="inlineStr">
        <is>
          <t>PIP-SIT-A-A3-011</t>
        </is>
      </c>
      <c r="B52" s="9" t="inlineStr">
        <is>
          <t>A</t>
        </is>
      </c>
      <c r="C52" s="9" t="inlineStr">
        <is>
          <t>A3</t>
        </is>
      </c>
      <c r="D52" s="9" t="inlineStr">
        <is>
          <t>SIT</t>
        </is>
      </c>
      <c r="E52" s="9" t="inlineStr">
        <is>
          <t>Trouver une manière personnelle de raconter ou de représenter une histoire, une idée ou une expérience.</t>
        </is>
      </c>
      <c r="F52" s="9" t="inlineStr">
        <is>
          <t>Choisir une manière personnelle de raconter ou représenter une expérience afin qu’elle ait une tonalité propre.</t>
        </is>
      </c>
      <c r="G52" s="9" t="inlineStr">
        <is>
          <t>FAIBLE_A_MOYENNE</t>
        </is>
      </c>
      <c r="H52" s="9" t="inlineStr">
        <is>
          <t>FAIBLE</t>
        </is>
      </c>
      <c r="I52" s="9" t="inlineStr">
        <is>
          <t>FORTE</t>
        </is>
      </c>
      <c r="J52" s="9" t="inlineStr">
        <is>
          <t>RETRAIT_BANQUE72</t>
        </is>
      </c>
      <c r="K52" s="9" t="inlineStr"/>
      <c r="L52" s="9" t="inlineStr">
        <is>
          <t>Historique conservé ; item non nécessaire pour atteindre 12/dimension et ≥2/facette.</t>
        </is>
      </c>
      <c r="M52" s="9" t="inlineStr">
        <is>
          <t>PIP-BANK-0.3</t>
        </is>
      </c>
    </row>
    <row r="53">
      <c r="A53" s="9" t="inlineStr">
        <is>
          <t>PIP-ENV-A-A3-012</t>
        </is>
      </c>
      <c r="B53" s="9" t="inlineStr">
        <is>
          <t>A</t>
        </is>
      </c>
      <c r="C53" s="9" t="inlineStr">
        <is>
          <t>A3</t>
        </is>
      </c>
      <c r="D53" s="9" t="inlineStr">
        <is>
          <t>ENV</t>
        </is>
      </c>
      <c r="E53" s="9" t="inlineStr">
        <is>
          <t>Travailler dans un contexte où l’expression par les mots, les images, le son ou la mise en scène occupe une place importante.</t>
        </is>
      </c>
      <c r="F53" s="9" t="inlineStr">
        <is>
          <t>Travailler dans un environnement où les mots, les images, le son ou la mise en scène servent régulièrement à s’exprimer.</t>
        </is>
      </c>
      <c r="G53" s="9" t="inlineStr">
        <is>
          <t>FAIBLE_A_MOYENNE</t>
        </is>
      </c>
      <c r="H53" s="9" t="inlineStr">
        <is>
          <t>FAIBLE</t>
        </is>
      </c>
      <c r="I53" s="9" t="inlineStr">
        <is>
          <t>MOYENNE</t>
        </is>
      </c>
      <c r="J53" s="9" t="inlineStr">
        <is>
          <t>RETRAIT_BANQUE72</t>
        </is>
      </c>
      <c r="K53" s="9" t="inlineStr"/>
      <c r="L53" s="9" t="inlineStr">
        <is>
          <t>Historique conservé ; item non nécessaire pour atteindre 12/dimension et ≥2/facette.</t>
        </is>
      </c>
      <c r="M53" s="9" t="inlineStr">
        <is>
          <t>PIP-BANK-0.3</t>
        </is>
      </c>
    </row>
    <row r="54">
      <c r="A54" s="9" t="inlineStr">
        <is>
          <t>PIP-ACT-A-A4-013</t>
        </is>
      </c>
      <c r="B54" s="9" t="inlineStr">
        <is>
          <t>A</t>
        </is>
      </c>
      <c r="C54" s="9" t="inlineStr">
        <is>
          <t>A4</t>
        </is>
      </c>
      <c r="D54" s="9" t="inlineStr">
        <is>
          <t>ACT</t>
        </is>
      </c>
      <c r="E54" s="9" t="inlineStr">
        <is>
          <t>Créer une composition visuelle en jouant sur les formes, les images ou les couleurs.</t>
        </is>
      </c>
      <c r="F54" s="9" t="inlineStr">
        <is>
          <t>Créer une affiche, une illustration ou une composition visuelle en jouant librement sur les formes et les couleurs.</t>
        </is>
      </c>
      <c r="G54" s="9" t="inlineStr">
        <is>
          <t>MOYENNE</t>
        </is>
      </c>
      <c r="H54" s="9" t="inlineStr">
        <is>
          <t>FAIBLE</t>
        </is>
      </c>
      <c r="I54" s="9" t="inlineStr">
        <is>
          <t>FORTE</t>
        </is>
      </c>
      <c r="J54" s="9" t="inlineStr">
        <is>
          <t>MAINTIEN_REECRIT</t>
        </is>
      </c>
      <c r="K54" s="9" t="inlineStr">
        <is>
          <t>Créer une affiche, une illustration ou une composition visuelle en jouant librement sur les formes et les couleurs.</t>
        </is>
      </c>
      <c r="L54" s="9" t="inlineStr">
        <is>
          <t>Retenu pour couverture de facette et formulation rendue directement concrète.</t>
        </is>
      </c>
      <c r="M54" s="9" t="inlineStr">
        <is>
          <t>PIP-BANK-0.4</t>
        </is>
      </c>
    </row>
    <row r="55">
      <c r="A55" s="9" t="inlineStr">
        <is>
          <t>PIP-ACT-A-A4-014</t>
        </is>
      </c>
      <c r="B55" s="9" t="inlineStr">
        <is>
          <t>A</t>
        </is>
      </c>
      <c r="C55" s="9" t="inlineStr">
        <is>
          <t>A4</t>
        </is>
      </c>
      <c r="D55" s="9" t="inlineStr">
        <is>
          <t>ACT</t>
        </is>
      </c>
      <c r="E55" s="9" t="inlineStr">
        <is>
          <t>Imaginer une ambiance à partir de sons, d’images, de matières ou d’un espace.</t>
        </is>
      </c>
      <c r="F55" s="9" t="inlineStr">
        <is>
          <t>Imaginer l’ambiance d’un espace, d’un événement ou d’un contenu à partir de sons, d’images, de matières ou de lumière.</t>
        </is>
      </c>
      <c r="G55" s="9" t="inlineStr">
        <is>
          <t>MOYENNE</t>
        </is>
      </c>
      <c r="H55" s="9" t="inlineStr">
        <is>
          <t>FAIBLE</t>
        </is>
      </c>
      <c r="I55" s="9" t="inlineStr">
        <is>
          <t>FORTE</t>
        </is>
      </c>
      <c r="J55" s="9" t="inlineStr">
        <is>
          <t>MAINTIEN_REECRIT</t>
        </is>
      </c>
      <c r="K55" s="9" t="inlineStr">
        <is>
          <t>Imaginer l’ambiance d’un espace, d’un événement ou d’un contenu à partir de sons, d’images, de matières ou de lumière.</t>
        </is>
      </c>
      <c r="L55" s="9" t="inlineStr">
        <is>
          <t>Retenu pour couverture de facette et formulation rendue directement concrète.</t>
        </is>
      </c>
      <c r="M55" s="9" t="inlineStr">
        <is>
          <t>PIP-BANK-0.4</t>
        </is>
      </c>
    </row>
    <row r="56">
      <c r="A56" s="9" t="inlineStr">
        <is>
          <t>PIP-SIT-A-A4-015</t>
        </is>
      </c>
      <c r="B56" s="9" t="inlineStr">
        <is>
          <t>A</t>
        </is>
      </c>
      <c r="C56" s="9" t="inlineStr">
        <is>
          <t>A4</t>
        </is>
      </c>
      <c r="D56" s="9" t="inlineStr">
        <is>
          <t>SIT</t>
        </is>
      </c>
      <c r="E56" s="9" t="inlineStr">
        <is>
          <t>Concevoir une expérience où l’effet visuel, sonore ou sensoriel compte autant que la fonction.</t>
        </is>
      </c>
      <c r="F56" s="9" t="inlineStr">
        <is>
          <t>Concevoir une expérience dans laquelle l’effet visuel, sonore ou sensoriel compte autant que sa fonction pratique.</t>
        </is>
      </c>
      <c r="G56" s="9" t="inlineStr">
        <is>
          <t>FAIBLE_A_MOYENNE</t>
        </is>
      </c>
      <c r="H56" s="9" t="inlineStr">
        <is>
          <t>FAIBLE</t>
        </is>
      </c>
      <c r="I56" s="9" t="inlineStr">
        <is>
          <t>FORTE</t>
        </is>
      </c>
      <c r="J56" s="9" t="inlineStr">
        <is>
          <t>RETRAIT_BANQUE72</t>
        </is>
      </c>
      <c r="K56" s="9" t="inlineStr"/>
      <c r="L56" s="9" t="inlineStr">
        <is>
          <t>Historique conservé ; item non nécessaire pour atteindre 12/dimension et ≥2/facette.</t>
        </is>
      </c>
      <c r="M56" s="9" t="inlineStr">
        <is>
          <t>PIP-BANK-0.3</t>
        </is>
      </c>
    </row>
    <row r="57">
      <c r="A57" s="9" t="inlineStr">
        <is>
          <t>PIP-ENV-A-A4-016</t>
        </is>
      </c>
      <c r="B57" s="9" t="inlineStr">
        <is>
          <t>A</t>
        </is>
      </c>
      <c r="C57" s="9" t="inlineStr">
        <is>
          <t>A4</t>
        </is>
      </c>
      <c r="D57" s="9" t="inlineStr">
        <is>
          <t>ENV</t>
        </is>
      </c>
      <c r="E57" s="9" t="inlineStr">
        <is>
          <t>Évoluer dans un contexte où l’on crée régulièrement des contenus, des espaces ou des objets destinés à produire une impression visuelle ou sensorielle.</t>
        </is>
      </c>
      <c r="F57" s="9" t="inlineStr">
        <is>
          <t>Évoluer dans un contexte où l’on crée régulièrement des contenus ou des espaces destinés à produire une impression visuelle ou sensorielle.</t>
        </is>
      </c>
      <c r="G57" s="9" t="inlineStr">
        <is>
          <t>FAIBLE_A_MOYENNE</t>
        </is>
      </c>
      <c r="H57" s="9" t="inlineStr">
        <is>
          <t>FAIBLE</t>
        </is>
      </c>
      <c r="I57" s="9" t="inlineStr">
        <is>
          <t>MOYENNE</t>
        </is>
      </c>
      <c r="J57" s="9" t="inlineStr">
        <is>
          <t>RETRAIT_BANQUE72</t>
        </is>
      </c>
      <c r="K57" s="9" t="inlineStr"/>
      <c r="L57" s="9" t="inlineStr">
        <is>
          <t>Historique conservé ; item non nécessaire pour atteindre 12/dimension et ≥2/facette.</t>
        </is>
      </c>
      <c r="M57" s="9" t="inlineStr">
        <is>
          <t>PIP-BANK-0.3</t>
        </is>
      </c>
    </row>
    <row r="58">
      <c r="A58" s="9" t="inlineStr">
        <is>
          <t>PIP-ACT-A-A5-017</t>
        </is>
      </c>
      <c r="B58" s="9" t="inlineStr">
        <is>
          <t>A</t>
        </is>
      </c>
      <c r="C58" s="9" t="inlineStr">
        <is>
          <t>A5</t>
        </is>
      </c>
      <c r="D58" s="9" t="inlineStr">
        <is>
          <t>ACT</t>
        </is>
      </c>
      <c r="E58" s="9" t="inlineStr">
        <is>
          <t>Explorer plusieurs pistes créatives avant de choisir celle qui convient le mieux.</t>
        </is>
      </c>
      <c r="F58" s="9" t="inlineStr">
        <is>
          <t>Explorer plusieurs pistes créatives pour un même projet avant de retenir celle qui exprime le mieux l’intention recherchée.</t>
        </is>
      </c>
      <c r="G58" s="9" t="inlineStr">
        <is>
          <t>MOYENNE</t>
        </is>
      </c>
      <c r="H58" s="9" t="inlineStr">
        <is>
          <t>FAIBLE</t>
        </is>
      </c>
      <c r="I58" s="9" t="inlineStr">
        <is>
          <t>FORTE</t>
        </is>
      </c>
      <c r="J58" s="9" t="inlineStr">
        <is>
          <t>MAINTIEN_REECRIT</t>
        </is>
      </c>
      <c r="K58" s="9" t="inlineStr">
        <is>
          <t>Explorer plusieurs pistes créatives pour un même projet avant de retenir celle qui exprime le mieux l’intention recherchée.</t>
        </is>
      </c>
      <c r="L58" s="9" t="inlineStr">
        <is>
          <t>Retenu pour couverture de facette et formulation rendue directement concrète.</t>
        </is>
      </c>
      <c r="M58" s="9" t="inlineStr">
        <is>
          <t>PIP-BANK-0.4</t>
        </is>
      </c>
    </row>
    <row r="59">
      <c r="A59" s="9" t="inlineStr">
        <is>
          <t>PIP-ACT-A-A5-018</t>
        </is>
      </c>
      <c r="B59" s="9" t="inlineStr">
        <is>
          <t>A</t>
        </is>
      </c>
      <c r="C59" s="9" t="inlineStr">
        <is>
          <t>A5</t>
        </is>
      </c>
      <c r="D59" s="9" t="inlineStr">
        <is>
          <t>ACT</t>
        </is>
      </c>
      <c r="E59" s="9" t="inlineStr">
        <is>
          <t>Réinventer une manière habituelle de faire pour proposer une approche originale.</t>
        </is>
      </c>
      <c r="F59" s="9" t="inlineStr">
        <is>
          <t>Repenser une manière habituelle de présenter ou de réaliser quelque chose afin de proposer une approche originale.</t>
        </is>
      </c>
      <c r="G59" s="9" t="inlineStr">
        <is>
          <t>MOYENNE</t>
        </is>
      </c>
      <c r="H59" s="9" t="inlineStr">
        <is>
          <t>FAIBLE</t>
        </is>
      </c>
      <c r="I59" s="9" t="inlineStr">
        <is>
          <t>FORTE</t>
        </is>
      </c>
      <c r="J59" s="9" t="inlineStr">
        <is>
          <t>MAINTIEN_REECRIT</t>
        </is>
      </c>
      <c r="K59" s="9" t="inlineStr">
        <is>
          <t>Repenser une manière habituelle de présenter ou de réaliser quelque chose afin de proposer une approche originale.</t>
        </is>
      </c>
      <c r="L59" s="9" t="inlineStr">
        <is>
          <t>Retenu pour couverture de facette et formulation rendue directement concrète.</t>
        </is>
      </c>
      <c r="M59" s="9" t="inlineStr">
        <is>
          <t>PIP-BANK-0.4</t>
        </is>
      </c>
    </row>
    <row r="60">
      <c r="A60" s="9" t="inlineStr">
        <is>
          <t>PIP-SIT-A-A5-019</t>
        </is>
      </c>
      <c r="B60" s="9" t="inlineStr">
        <is>
          <t>A</t>
        </is>
      </c>
      <c r="C60" s="9" t="inlineStr">
        <is>
          <t>A5</t>
        </is>
      </c>
      <c r="D60" s="9" t="inlineStr">
        <is>
          <t>SIT</t>
        </is>
      </c>
      <c r="E60" s="9" t="inlineStr">
        <is>
          <t>Travailler sur un problème pour lequel plusieurs réponses différentes peuvent être pertinentes.</t>
        </is>
      </c>
      <c r="F60" s="9" t="inlineStr">
        <is>
          <t>Travailler sur une demande ouverte pour laquelle plusieurs réponses créatives différentes peuvent être pertinentes.</t>
        </is>
      </c>
      <c r="G60" s="9" t="inlineStr">
        <is>
          <t>FAIBLE_A_MOYENNE</t>
        </is>
      </c>
      <c r="H60" s="9" t="inlineStr">
        <is>
          <t>A_SURVEILLER</t>
        </is>
      </c>
      <c r="I60" s="9" t="inlineStr">
        <is>
          <t>FORTE</t>
        </is>
      </c>
      <c r="J60" s="9" t="inlineStr">
        <is>
          <t>RETRAIT_BANQUE72</t>
        </is>
      </c>
      <c r="K60" s="9" t="inlineStr"/>
      <c r="L60" s="9" t="inlineStr">
        <is>
          <t>Historique conservé ; item non nécessaire pour atteindre 12/dimension et ≥2/facette.</t>
        </is>
      </c>
      <c r="M60" s="9" t="inlineStr">
        <is>
          <t>PIP-BANK-0.3</t>
        </is>
      </c>
    </row>
    <row r="61">
      <c r="A61" s="9" t="inlineStr">
        <is>
          <t>PIP-ENV-A-A5-020</t>
        </is>
      </c>
      <c r="B61" s="9" t="inlineStr">
        <is>
          <t>A</t>
        </is>
      </c>
      <c r="C61" s="9" t="inlineStr">
        <is>
          <t>A5</t>
        </is>
      </c>
      <c r="D61" s="9" t="inlineStr">
        <is>
          <t>ENV</t>
        </is>
      </c>
      <c r="E61" s="9" t="inlineStr">
        <is>
          <t>Évoluer dans un contexte où les consignes laissent une place importante à l’interprétation personnelle et à l’expérimentation créative.</t>
        </is>
      </c>
      <c r="F61" s="9" t="inlineStr">
        <is>
          <t>Évoluer dans un environnement où les consignes laissent volontairement une large place à l’interprétation et à l’expérimentation créative.</t>
        </is>
      </c>
      <c r="G61" s="9" t="inlineStr">
        <is>
          <t>FAIBLE_A_MOYENNE</t>
        </is>
      </c>
      <c r="H61" s="9" t="inlineStr">
        <is>
          <t>FAIBLE</t>
        </is>
      </c>
      <c r="I61" s="9" t="inlineStr">
        <is>
          <t>MOYENNE</t>
        </is>
      </c>
      <c r="J61" s="9" t="inlineStr">
        <is>
          <t>RETRAIT_BANQUE72</t>
        </is>
      </c>
      <c r="K61" s="9" t="inlineStr"/>
      <c r="L61" s="9" t="inlineStr">
        <is>
          <t>Historique conservé ; item non nécessaire pour atteindre 12/dimension et ≥2/facette.</t>
        </is>
      </c>
      <c r="M61" s="9" t="inlineStr">
        <is>
          <t>PIP-BANK-0.3</t>
        </is>
      </c>
    </row>
    <row r="62">
      <c r="A62" s="9" t="inlineStr">
        <is>
          <t>PIP-ACT-S-S1-001</t>
        </is>
      </c>
      <c r="B62" s="9" t="inlineStr">
        <is>
          <t>S</t>
        </is>
      </c>
      <c r="C62" s="9" t="inlineStr">
        <is>
          <t>S1</t>
        </is>
      </c>
      <c r="D62" s="9" t="inlineStr">
        <is>
          <t>ACT</t>
        </is>
      </c>
      <c r="E62" s="9" t="inlineStr">
        <is>
          <t>Expliquer un sujet à une personne pour l’aider à le comprendre.</t>
        </is>
      </c>
      <c r="F62" s="9" t="inlineStr">
        <is>
          <t>Expliquer une notion à une personne jusqu’à ce qu’elle puisse la comprendre par elle-même.</t>
        </is>
      </c>
      <c r="G62" s="9" t="inlineStr">
        <is>
          <t>MOYENNE</t>
        </is>
      </c>
      <c r="H62" s="9" t="inlineStr">
        <is>
          <t>FAIBLE</t>
        </is>
      </c>
      <c r="I62" s="9" t="inlineStr">
        <is>
          <t>FORTE</t>
        </is>
      </c>
      <c r="J62" s="9" t="inlineStr">
        <is>
          <t>MAINTIEN_REECRIT</t>
        </is>
      </c>
      <c r="K62" s="9" t="inlineStr">
        <is>
          <t>Expliquer une notion à une personne jusqu’à ce qu’elle puisse la comprendre par elle-même.</t>
        </is>
      </c>
      <c r="L62" s="9" t="inlineStr">
        <is>
          <t>Retenu pour couverture de facette et formulation rendue directement concrète.</t>
        </is>
      </c>
      <c r="M62" s="9" t="inlineStr">
        <is>
          <t>PIP-BANK-0.4</t>
        </is>
      </c>
    </row>
    <row r="63">
      <c r="A63" s="9" t="inlineStr">
        <is>
          <t>PIP-ACT-S-S1-002</t>
        </is>
      </c>
      <c r="B63" s="9" t="inlineStr">
        <is>
          <t>S</t>
        </is>
      </c>
      <c r="C63" s="9" t="inlineStr">
        <is>
          <t>S1</t>
        </is>
      </c>
      <c r="D63" s="9" t="inlineStr">
        <is>
          <t>ACT</t>
        </is>
      </c>
      <c r="E63" s="9" t="inlineStr">
        <is>
          <t>Montrer à quelqu’un comment réaliser une tâche afin qu’il puisse ensuite la faire seul.</t>
        </is>
      </c>
      <c r="F63" s="9" t="inlineStr">
        <is>
          <t>Montrer étape par étape à quelqu’un comment réaliser une tâche pour qu’il puisse ensuite la refaire seul.</t>
        </is>
      </c>
      <c r="G63" s="9" t="inlineStr">
        <is>
          <t>MOYENNE</t>
        </is>
      </c>
      <c r="H63" s="9" t="inlineStr">
        <is>
          <t>FAIBLE</t>
        </is>
      </c>
      <c r="I63" s="9" t="inlineStr">
        <is>
          <t>FORTE</t>
        </is>
      </c>
      <c r="J63" s="9" t="inlineStr">
        <is>
          <t>MAINTIEN_REECRIT</t>
        </is>
      </c>
      <c r="K63" s="9" t="inlineStr">
        <is>
          <t>Montrer étape par étape à quelqu’un comment réaliser une tâche pour qu’il puisse ensuite la refaire seul.</t>
        </is>
      </c>
      <c r="L63" s="9" t="inlineStr">
        <is>
          <t>Retenu pour couverture de facette et formulation rendue directement concrète.</t>
        </is>
      </c>
      <c r="M63" s="9" t="inlineStr">
        <is>
          <t>PIP-BANK-0.4</t>
        </is>
      </c>
    </row>
    <row r="64">
      <c r="A64" s="9" t="inlineStr">
        <is>
          <t>PIP-SIT-S-S1-003</t>
        </is>
      </c>
      <c r="B64" s="9" t="inlineStr">
        <is>
          <t>S</t>
        </is>
      </c>
      <c r="C64" s="9" t="inlineStr">
        <is>
          <t>S1</t>
        </is>
      </c>
      <c r="D64" s="9" t="inlineStr">
        <is>
          <t>SIT</t>
        </is>
      </c>
      <c r="E64" s="9" t="inlineStr">
        <is>
          <t>Adapter sa manière d’expliquer lorsqu’une personne ne comprend pas du premier coup.</t>
        </is>
      </c>
      <c r="F64" s="9" t="inlineStr">
        <is>
          <t>Une personne ne comprend pas une première explication : chercher une autre manière de lui présenter les choses.</t>
        </is>
      </c>
      <c r="G64" s="9" t="inlineStr">
        <is>
          <t>FAIBLE_A_MOYENNE</t>
        </is>
      </c>
      <c r="H64" s="9" t="inlineStr">
        <is>
          <t>FAIBLE</t>
        </is>
      </c>
      <c r="I64" s="9" t="inlineStr">
        <is>
          <t>FORTE</t>
        </is>
      </c>
      <c r="J64" s="9" t="inlineStr">
        <is>
          <t>MAINTIEN_REECRIT</t>
        </is>
      </c>
      <c r="K64" s="9" t="inlineStr">
        <is>
          <t>Une personne ne comprend pas une première explication : chercher une autre manière de lui présenter les choses.</t>
        </is>
      </c>
      <c r="L64" s="9" t="inlineStr">
        <is>
          <t>Retenu pour couverture de facette et formulation rendue directement concrète.</t>
        </is>
      </c>
      <c r="M64" s="9" t="inlineStr">
        <is>
          <t>PIP-BANK-0.4</t>
        </is>
      </c>
    </row>
    <row r="65">
      <c r="A65" s="9" t="inlineStr">
        <is>
          <t>PIP-ENV-S-S1-004</t>
        </is>
      </c>
      <c r="B65" s="9" t="inlineStr">
        <is>
          <t>S</t>
        </is>
      </c>
      <c r="C65" s="9" t="inlineStr">
        <is>
          <t>S1</t>
        </is>
      </c>
      <c r="D65" s="9" t="inlineStr">
        <is>
          <t>ENV</t>
        </is>
      </c>
      <c r="E65" s="9" t="inlineStr">
        <is>
          <t>Travailler dans un contexte où l’on aide régulièrement d’autres personnes à apprendre ou à progresser.</t>
        </is>
      </c>
      <c r="F65" s="9" t="inlineStr">
        <is>
          <t>Travailler dans un contexte où l’on consacre régulièrement du temps à aider d’autres personnes à apprendre ou progresser.</t>
        </is>
      </c>
      <c r="G65" s="9" t="inlineStr">
        <is>
          <t>FAIBLE_A_MOYENNE</t>
        </is>
      </c>
      <c r="H65" s="9" t="inlineStr">
        <is>
          <t>FAIBLE</t>
        </is>
      </c>
      <c r="I65" s="9" t="inlineStr">
        <is>
          <t>MOYENNE</t>
        </is>
      </c>
      <c r="J65" s="9" t="inlineStr">
        <is>
          <t>RETRAIT_BANQUE72</t>
        </is>
      </c>
      <c r="K65" s="9" t="inlineStr"/>
      <c r="L65" s="9" t="inlineStr">
        <is>
          <t>Historique conservé ; item non nécessaire pour atteindre 12/dimension et ≥2/facette.</t>
        </is>
      </c>
      <c r="M65" s="9" t="inlineStr">
        <is>
          <t>PIP-BANK-0.3</t>
        </is>
      </c>
    </row>
    <row r="66">
      <c r="A66" s="9" t="inlineStr">
        <is>
          <t>PIP-ACT-S-S2-005</t>
        </is>
      </c>
      <c r="B66" s="9" t="inlineStr">
        <is>
          <t>S</t>
        </is>
      </c>
      <c r="C66" s="9" t="inlineStr">
        <is>
          <t>S2</t>
        </is>
      </c>
      <c r="D66" s="9" t="inlineStr">
        <is>
          <t>ACT</t>
        </is>
      </c>
      <c r="E66" s="9" t="inlineStr">
        <is>
          <t>Accompagner une personne dans la réalisation d’un objectif qui compte pour elle.</t>
        </is>
      </c>
      <c r="F66" s="9" t="inlineStr">
        <is>
          <t>Accompagner une personne dans les étapes nécessaires pour atteindre un objectif qui compte pour elle.</t>
        </is>
      </c>
      <c r="G66" s="9" t="inlineStr">
        <is>
          <t>MOYENNE</t>
        </is>
      </c>
      <c r="H66" s="9" t="inlineStr">
        <is>
          <t>FAIBLE</t>
        </is>
      </c>
      <c r="I66" s="9" t="inlineStr">
        <is>
          <t>FORTE</t>
        </is>
      </c>
      <c r="J66" s="9" t="inlineStr">
        <is>
          <t>MAINTIEN_REECRIT</t>
        </is>
      </c>
      <c r="K66" s="9" t="inlineStr">
        <is>
          <t>Accompagner une personne dans les étapes nécessaires pour atteindre un objectif qui compte pour elle.</t>
        </is>
      </c>
      <c r="L66" s="9" t="inlineStr">
        <is>
          <t>Retenu pour couverture de facette et formulation rendue directement concrète.</t>
        </is>
      </c>
      <c r="M66" s="9" t="inlineStr">
        <is>
          <t>PIP-BANK-0.4</t>
        </is>
      </c>
    </row>
    <row r="67">
      <c r="A67" s="9" t="inlineStr">
        <is>
          <t>PIP-ACT-S-S2-006</t>
        </is>
      </c>
      <c r="B67" s="9" t="inlineStr">
        <is>
          <t>S</t>
        </is>
      </c>
      <c r="C67" s="9" t="inlineStr">
        <is>
          <t>S2</t>
        </is>
      </c>
      <c r="D67" s="9" t="inlineStr">
        <is>
          <t>ACT</t>
        </is>
      </c>
      <c r="E67" s="9" t="inlineStr">
        <is>
          <t>Soutenir quelqu’un qui rencontre une difficulté dans son parcours.</t>
        </is>
      </c>
      <c r="F67" s="9" t="inlineStr">
        <is>
          <t>Soutenir quelqu’un qui traverse une difficulté professionnelle ou personnelle liée à son parcours.</t>
        </is>
      </c>
      <c r="G67" s="9" t="inlineStr">
        <is>
          <t>MOYENNE</t>
        </is>
      </c>
      <c r="H67" s="9" t="inlineStr">
        <is>
          <t>FAIBLE</t>
        </is>
      </c>
      <c r="I67" s="9" t="inlineStr">
        <is>
          <t>FORTE</t>
        </is>
      </c>
      <c r="J67" s="9" t="inlineStr">
        <is>
          <t>MAINTIEN_REECRIT</t>
        </is>
      </c>
      <c r="K67" s="9" t="inlineStr">
        <is>
          <t>Soutenir quelqu’un qui traverse une difficulté professionnelle ou personnelle liée à son parcours.</t>
        </is>
      </c>
      <c r="L67" s="9" t="inlineStr">
        <is>
          <t>Retenu pour couverture de facette et formulation rendue directement concrète.</t>
        </is>
      </c>
      <c r="M67" s="9" t="inlineStr">
        <is>
          <t>PIP-BANK-0.4</t>
        </is>
      </c>
    </row>
    <row r="68">
      <c r="A68" s="9" t="inlineStr">
        <is>
          <t>PIP-SIT-S-S2-007</t>
        </is>
      </c>
      <c r="B68" s="9" t="inlineStr">
        <is>
          <t>S</t>
        </is>
      </c>
      <c r="C68" s="9" t="inlineStr">
        <is>
          <t>S2</t>
        </is>
      </c>
      <c r="D68" s="9" t="inlineStr">
        <is>
          <t>SIT</t>
        </is>
      </c>
      <c r="E68" s="9" t="inlineStr">
        <is>
          <t>Être aux côtés d’une personne pendant une période de changement et l’aider à avancer.</t>
        </is>
      </c>
      <c r="F68" s="9" t="inlineStr">
        <is>
          <t>Être présent auprès d’une personne pendant un changement important et l’aider à avancer progressivement.</t>
        </is>
      </c>
      <c r="G68" s="9" t="inlineStr">
        <is>
          <t>FAIBLE_A_MOYENNE</t>
        </is>
      </c>
      <c r="H68" s="9" t="inlineStr">
        <is>
          <t>FAIBLE</t>
        </is>
      </c>
      <c r="I68" s="9" t="inlineStr">
        <is>
          <t>FORTE</t>
        </is>
      </c>
      <c r="J68" s="9" t="inlineStr">
        <is>
          <t>MAINTIEN_REECRIT</t>
        </is>
      </c>
      <c r="K68" s="9" t="inlineStr">
        <is>
          <t>Être présent auprès d’une personne pendant un changement important et l’aider à avancer progressivement.</t>
        </is>
      </c>
      <c r="L68" s="9" t="inlineStr">
        <is>
          <t>Retenu pour couverture de facette et formulation rendue directement concrète.</t>
        </is>
      </c>
      <c r="M68" s="9" t="inlineStr">
        <is>
          <t>PIP-BANK-0.4</t>
        </is>
      </c>
    </row>
    <row r="69">
      <c r="A69" s="9" t="inlineStr">
        <is>
          <t>PIP-ENV-S-S2-008</t>
        </is>
      </c>
      <c r="B69" s="9" t="inlineStr">
        <is>
          <t>S</t>
        </is>
      </c>
      <c r="C69" s="9" t="inlineStr">
        <is>
          <t>S2</t>
        </is>
      </c>
      <c r="D69" s="9" t="inlineStr">
        <is>
          <t>ENV</t>
        </is>
      </c>
      <c r="E69" s="9" t="inlineStr">
        <is>
          <t>Évoluer dans un contexte où une part importante du travail consiste à soutenir directement des personnes dans leur progression.</t>
        </is>
      </c>
      <c r="F69" s="9" t="inlineStr">
        <is>
          <t>Évoluer dans un contexte où une part importante du travail consiste à soutenir directement des personnes dans leur progression.</t>
        </is>
      </c>
      <c r="G69" s="9" t="inlineStr">
        <is>
          <t>FAIBLE_A_MOYENNE</t>
        </is>
      </c>
      <c r="H69" s="9" t="inlineStr">
        <is>
          <t>FAIBLE</t>
        </is>
      </c>
      <c r="I69" s="9" t="inlineStr">
        <is>
          <t>MOYENNE</t>
        </is>
      </c>
      <c r="J69" s="9" t="inlineStr">
        <is>
          <t>RETRAIT_BANQUE72</t>
        </is>
      </c>
      <c r="K69" s="9" t="inlineStr"/>
      <c r="L69" s="9" t="inlineStr">
        <is>
          <t>Historique conservé ; item non nécessaire pour atteindre 12/dimension et ≥2/facette.</t>
        </is>
      </c>
      <c r="M69" s="9" t="inlineStr">
        <is>
          <t>PIP-BANK-0.3</t>
        </is>
      </c>
    </row>
    <row r="70">
      <c r="A70" s="9" t="inlineStr">
        <is>
          <t>PIP-ACT-S-S3-009</t>
        </is>
      </c>
      <c r="B70" s="9" t="inlineStr">
        <is>
          <t>S</t>
        </is>
      </c>
      <c r="C70" s="9" t="inlineStr">
        <is>
          <t>S3</t>
        </is>
      </c>
      <c r="D70" s="9" t="inlineStr">
        <is>
          <t>ACT</t>
        </is>
      </c>
      <c r="E70" s="9" t="inlineStr">
        <is>
          <t>Écouter la situation d’une personne puis l’aider à identifier les options qui s’offrent à elle.</t>
        </is>
      </c>
      <c r="F70" s="9" t="inlineStr">
        <is>
          <t>Écouter la situation d’une personne puis l’aider à repérer les différentes options possibles.</t>
        </is>
      </c>
      <c r="G70" s="9" t="inlineStr">
        <is>
          <t>MOYENNE</t>
        </is>
      </c>
      <c r="H70" s="9" t="inlineStr">
        <is>
          <t>A_SURVEILLER</t>
        </is>
      </c>
      <c r="I70" s="9" t="inlineStr">
        <is>
          <t>FORTE</t>
        </is>
      </c>
      <c r="J70" s="9" t="inlineStr">
        <is>
          <t>MAINTIEN_REECRIT</t>
        </is>
      </c>
      <c r="K70" s="9" t="inlineStr">
        <is>
          <t>Écouter la situation d’une personne puis l’aider à repérer les différentes options possibles.</t>
        </is>
      </c>
      <c r="L70" s="9" t="inlineStr">
        <is>
          <t>Retenu pour couverture de facette et formulation rendue directement concrète.</t>
        </is>
      </c>
      <c r="M70" s="9" t="inlineStr">
        <is>
          <t>PIP-BANK-0.4</t>
        </is>
      </c>
    </row>
    <row r="71">
      <c r="A71" s="9" t="inlineStr">
        <is>
          <t>PIP-ACT-S-S3-010</t>
        </is>
      </c>
      <c r="B71" s="9" t="inlineStr">
        <is>
          <t>S</t>
        </is>
      </c>
      <c r="C71" s="9" t="inlineStr">
        <is>
          <t>S3</t>
        </is>
      </c>
      <c r="D71" s="9" t="inlineStr">
        <is>
          <t>ACT</t>
        </is>
      </c>
      <c r="E71" s="9" t="inlineStr">
        <is>
          <t>Donner des informations utiles pour aider quelqu’un à faire un choix.</t>
        </is>
      </c>
      <c r="F71" s="9" t="inlineStr">
        <is>
          <t>Donner à quelqu’un les informations utiles pour qu’il puisse prendre lui-même une décision éclairée.</t>
        </is>
      </c>
      <c r="G71" s="9" t="inlineStr">
        <is>
          <t>MOYENNE</t>
        </is>
      </c>
      <c r="H71" s="9" t="inlineStr">
        <is>
          <t>FAIBLE</t>
        </is>
      </c>
      <c r="I71" s="9" t="inlineStr">
        <is>
          <t>FORTE</t>
        </is>
      </c>
      <c r="J71" s="9" t="inlineStr">
        <is>
          <t>MAINTIEN_REECRIT</t>
        </is>
      </c>
      <c r="K71" s="9" t="inlineStr">
        <is>
          <t>Donner à quelqu’un les informations utiles pour qu’il puisse prendre lui-même une décision éclairée.</t>
        </is>
      </c>
      <c r="L71" s="9" t="inlineStr">
        <is>
          <t>Retenu pour couverture de facette et formulation rendue directement concrète.</t>
        </is>
      </c>
      <c r="M71" s="9" t="inlineStr">
        <is>
          <t>PIP-BANK-0.4</t>
        </is>
      </c>
    </row>
    <row r="72">
      <c r="A72" s="9" t="inlineStr">
        <is>
          <t>PIP-SIT-S-S3-011</t>
        </is>
      </c>
      <c r="B72" s="9" t="inlineStr">
        <is>
          <t>S</t>
        </is>
      </c>
      <c r="C72" s="9" t="inlineStr">
        <is>
          <t>S3</t>
        </is>
      </c>
      <c r="D72" s="9" t="inlineStr">
        <is>
          <t>SIT</t>
        </is>
      </c>
      <c r="E72" s="9" t="inlineStr">
        <is>
          <t>Aider une personne indécise à clarifier ce qui lui conviendrait le mieux sans décider à sa place.</t>
        </is>
      </c>
      <c r="F72" s="9" t="inlineStr">
        <is>
          <t>Une personne hésite entre plusieurs choix : l’aider à clarifier ce qui lui convient sans choisir à sa place.</t>
        </is>
      </c>
      <c r="G72" s="9" t="inlineStr">
        <is>
          <t>FAIBLE_A_MOYENNE</t>
        </is>
      </c>
      <c r="H72" s="9" t="inlineStr">
        <is>
          <t>A_SURVEILLER</t>
        </is>
      </c>
      <c r="I72" s="9" t="inlineStr">
        <is>
          <t>FORTE</t>
        </is>
      </c>
      <c r="J72" s="9" t="inlineStr">
        <is>
          <t>RETRAIT_BANQUE72</t>
        </is>
      </c>
      <c r="K72" s="9" t="inlineStr"/>
      <c r="L72" s="9" t="inlineStr">
        <is>
          <t>Historique conservé ; item non nécessaire pour atteindre 12/dimension et ≥2/facette.</t>
        </is>
      </c>
      <c r="M72" s="9" t="inlineStr">
        <is>
          <t>PIP-BANK-0.3</t>
        </is>
      </c>
    </row>
    <row r="73">
      <c r="A73" s="9" t="inlineStr">
        <is>
          <t>PIP-ENV-S-S3-012</t>
        </is>
      </c>
      <c r="B73" s="9" t="inlineStr">
        <is>
          <t>S</t>
        </is>
      </c>
      <c r="C73" s="9" t="inlineStr">
        <is>
          <t>S3</t>
        </is>
      </c>
      <c r="D73" s="9" t="inlineStr">
        <is>
          <t>ENV</t>
        </is>
      </c>
      <c r="E73" s="9" t="inlineStr">
        <is>
          <t>Travailler dans un contexte où l’on conseille et oriente régulièrement des personnes en fonction de leur situation.</t>
        </is>
      </c>
      <c r="F73" s="9" t="inlineStr">
        <is>
          <t>Travailler dans un contexte où l’on conseille et oriente régulièrement des personnes selon leur situation.</t>
        </is>
      </c>
      <c r="G73" s="9" t="inlineStr">
        <is>
          <t>FAIBLE_A_MOYENNE</t>
        </is>
      </c>
      <c r="H73" s="9" t="inlineStr">
        <is>
          <t>FAIBLE</t>
        </is>
      </c>
      <c r="I73" s="9" t="inlineStr">
        <is>
          <t>MOYENNE</t>
        </is>
      </c>
      <c r="J73" s="9" t="inlineStr">
        <is>
          <t>RETRAIT_BANQUE72</t>
        </is>
      </c>
      <c r="K73" s="9" t="inlineStr"/>
      <c r="L73" s="9" t="inlineStr">
        <is>
          <t>Historique conservé ; item non nécessaire pour atteindre 12/dimension et ≥2/facette.</t>
        </is>
      </c>
      <c r="M73" s="9" t="inlineStr">
        <is>
          <t>PIP-BANK-0.3</t>
        </is>
      </c>
    </row>
    <row r="74">
      <c r="A74" s="9" t="inlineStr">
        <is>
          <t>PIP-ACT-S-S4-013</t>
        </is>
      </c>
      <c r="B74" s="9" t="inlineStr">
        <is>
          <t>S</t>
        </is>
      </c>
      <c r="C74" s="9" t="inlineStr">
        <is>
          <t>S4</t>
        </is>
      </c>
      <c r="D74" s="9" t="inlineStr">
        <is>
          <t>ACT</t>
        </is>
      </c>
      <c r="E74" s="9" t="inlineStr">
        <is>
          <t>Prendre soin d’une personne qui a besoin d’aide pour préserver ou retrouver son bien-être.</t>
        </is>
      </c>
      <c r="F74" s="9" t="inlineStr">
        <is>
          <t>Aider concrètement une personne fragilisée à préserver ou retrouver son confort, sa santé ou son autonomie.</t>
        </is>
      </c>
      <c r="G74" s="9" t="inlineStr">
        <is>
          <t>MOYENNE</t>
        </is>
      </c>
      <c r="H74" s="9" t="inlineStr">
        <is>
          <t>FAIBLE</t>
        </is>
      </c>
      <c r="I74" s="9" t="inlineStr">
        <is>
          <t>FORTE</t>
        </is>
      </c>
      <c r="J74" s="9" t="inlineStr">
        <is>
          <t>MAINTIEN_REECRIT</t>
        </is>
      </c>
      <c r="K74" s="9" t="inlineStr">
        <is>
          <t>Aider concrètement une personne fragilisée à préserver ou retrouver son confort, sa santé ou son autonomie.</t>
        </is>
      </c>
      <c r="L74" s="9" t="inlineStr">
        <is>
          <t>Retenu pour couverture de facette et formulation rendue directement concrète.</t>
        </is>
      </c>
      <c r="M74" s="9" t="inlineStr">
        <is>
          <t>PIP-BANK-0.4</t>
        </is>
      </c>
    </row>
    <row r="75">
      <c r="A75" s="9" t="inlineStr">
        <is>
          <t>PIP-ACT-S-S4-014</t>
        </is>
      </c>
      <c r="B75" s="9" t="inlineStr">
        <is>
          <t>S</t>
        </is>
      </c>
      <c r="C75" s="9" t="inlineStr">
        <is>
          <t>S4</t>
        </is>
      </c>
      <c r="D75" s="9" t="inlineStr">
        <is>
          <t>ACT</t>
        </is>
      </c>
      <c r="E75" s="9" t="inlineStr">
        <is>
          <t>Réaliser des gestes d’assistance destinés à protéger la santé ou la sécurité d’une personne.</t>
        </is>
      </c>
      <c r="F75" s="9" t="inlineStr">
        <is>
          <t>Réaliser des gestes d’assistance ou de prévention destinés à protéger la santé ou la sécurité d’une personne.</t>
        </is>
      </c>
      <c r="G75" s="9" t="inlineStr">
        <is>
          <t>MOYENNE</t>
        </is>
      </c>
      <c r="H75" s="9" t="inlineStr">
        <is>
          <t>FAIBLE</t>
        </is>
      </c>
      <c r="I75" s="9" t="inlineStr">
        <is>
          <t>FORTE</t>
        </is>
      </c>
      <c r="J75" s="9" t="inlineStr">
        <is>
          <t>MAINTIEN_REECRIT</t>
        </is>
      </c>
      <c r="K75" s="9" t="inlineStr">
        <is>
          <t>Réaliser des gestes d’assistance ou de prévention destinés à protéger la santé ou la sécurité d’une personne.</t>
        </is>
      </c>
      <c r="L75" s="9" t="inlineStr">
        <is>
          <t>Retenu pour couverture de facette et formulation rendue directement concrète.</t>
        </is>
      </c>
      <c r="M75" s="9" t="inlineStr">
        <is>
          <t>PIP-BANK-0.4</t>
        </is>
      </c>
    </row>
    <row r="76">
      <c r="A76" s="9" t="inlineStr">
        <is>
          <t>PIP-SIT-S-S4-015</t>
        </is>
      </c>
      <c r="B76" s="9" t="inlineStr">
        <is>
          <t>S</t>
        </is>
      </c>
      <c r="C76" s="9" t="inlineStr">
        <is>
          <t>S4</t>
        </is>
      </c>
      <c r="D76" s="9" t="inlineStr">
        <is>
          <t>SIT</t>
        </is>
      </c>
      <c r="E76" s="9" t="inlineStr">
        <is>
          <t>Intervenir auprès d’une personne fragilisée afin de l’aider à retrouver davantage d’autonomie.</t>
        </is>
      </c>
      <c r="F76" s="9" t="inlineStr">
        <is>
          <t>Intervenir auprès d’une personne temporairement en difficulté afin de l’aider à retrouver davantage d’autonomie.</t>
        </is>
      </c>
      <c r="G76" s="9" t="inlineStr">
        <is>
          <t>FAIBLE_A_MOYENNE</t>
        </is>
      </c>
      <c r="H76" s="9" t="inlineStr">
        <is>
          <t>FAIBLE</t>
        </is>
      </c>
      <c r="I76" s="9" t="inlineStr">
        <is>
          <t>FORTE</t>
        </is>
      </c>
      <c r="J76" s="9" t="inlineStr">
        <is>
          <t>RETRAIT_BANQUE72</t>
        </is>
      </c>
      <c r="K76" s="9" t="inlineStr"/>
      <c r="L76" s="9" t="inlineStr">
        <is>
          <t>Historique conservé ; item non nécessaire pour atteindre 12/dimension et ≥2/facette.</t>
        </is>
      </c>
      <c r="M76" s="9" t="inlineStr">
        <is>
          <t>PIP-BANK-0.3</t>
        </is>
      </c>
    </row>
    <row r="77">
      <c r="A77" s="9" t="inlineStr">
        <is>
          <t>PIP-ENV-S-S4-016</t>
        </is>
      </c>
      <c r="B77" s="9" t="inlineStr">
        <is>
          <t>S</t>
        </is>
      </c>
      <c r="C77" s="9" t="inlineStr">
        <is>
          <t>S4</t>
        </is>
      </c>
      <c r="D77" s="9" t="inlineStr">
        <is>
          <t>ENV</t>
        </is>
      </c>
      <c r="E77" s="9" t="inlineStr">
        <is>
          <t>Évoluer dans un contexte où l’on contribue directement à la santé, au bien-être ou à la sécurité des personnes.</t>
        </is>
      </c>
      <c r="F77" s="9" t="inlineStr">
        <is>
          <t>Évoluer dans un contexte où l’on contribue directement au bien-être, à la santé ou à la sécurité des personnes.</t>
        </is>
      </c>
      <c r="G77" s="9" t="inlineStr">
        <is>
          <t>FAIBLE_A_MOYENNE</t>
        </is>
      </c>
      <c r="H77" s="9" t="inlineStr">
        <is>
          <t>FAIBLE</t>
        </is>
      </c>
      <c r="I77" s="9" t="inlineStr">
        <is>
          <t>MOYENNE</t>
        </is>
      </c>
      <c r="J77" s="9" t="inlineStr">
        <is>
          <t>RETRAIT_BANQUE72</t>
        </is>
      </c>
      <c r="K77" s="9" t="inlineStr"/>
      <c r="L77" s="9" t="inlineStr">
        <is>
          <t>Historique conservé ; item non nécessaire pour atteindre 12/dimension et ≥2/facette.</t>
        </is>
      </c>
      <c r="M77" s="9" t="inlineStr">
        <is>
          <t>PIP-BANK-0.3</t>
        </is>
      </c>
    </row>
    <row r="78">
      <c r="A78" s="9" t="inlineStr">
        <is>
          <t>PIP-ACT-S-S5-017</t>
        </is>
      </c>
      <c r="B78" s="9" t="inlineStr">
        <is>
          <t>S</t>
        </is>
      </c>
      <c r="C78" s="9" t="inlineStr">
        <is>
          <t>S5</t>
        </is>
      </c>
      <c r="D78" s="9" t="inlineStr">
        <is>
          <t>ACT</t>
        </is>
      </c>
      <c r="E78" s="9" t="inlineStr">
        <is>
          <t>Accueillir une personne et l’aider à obtenir le service dont elle a besoin.</t>
        </is>
      </c>
      <c r="F78" s="9" t="inlineStr">
        <is>
          <t>Accueillir une personne, comprendre ce dont elle a besoin et l’aider à obtenir le service recherché.</t>
        </is>
      </c>
      <c r="G78" s="9" t="inlineStr">
        <is>
          <t>MOYENNE</t>
        </is>
      </c>
      <c r="H78" s="9" t="inlineStr">
        <is>
          <t>FAIBLE</t>
        </is>
      </c>
      <c r="I78" s="9" t="inlineStr">
        <is>
          <t>FORTE</t>
        </is>
      </c>
      <c r="J78" s="9" t="inlineStr">
        <is>
          <t>MAINTIEN_REECRIT</t>
        </is>
      </c>
      <c r="K78" s="9" t="inlineStr">
        <is>
          <t>Accueillir une personne, comprendre ce dont elle a besoin et l’aider à obtenir le service recherché.</t>
        </is>
      </c>
      <c r="L78" s="9" t="inlineStr">
        <is>
          <t>Retenu pour couverture de facette et formulation rendue directement concrète.</t>
        </is>
      </c>
      <c r="M78" s="9" t="inlineStr">
        <is>
          <t>PIP-BANK-0.4</t>
        </is>
      </c>
    </row>
    <row r="79">
      <c r="A79" s="9" t="inlineStr">
        <is>
          <t>PIP-ACT-S-S5-018</t>
        </is>
      </c>
      <c r="B79" s="9" t="inlineStr">
        <is>
          <t>S</t>
        </is>
      </c>
      <c r="C79" s="9" t="inlineStr">
        <is>
          <t>S5</t>
        </is>
      </c>
      <c r="D79" s="9" t="inlineStr">
        <is>
          <t>ACT</t>
        </is>
      </c>
      <c r="E79" s="9" t="inlineStr">
        <is>
          <t>Répondre concrètement à une demande afin de faciliter la démarche d’une personne.</t>
        </is>
      </c>
      <c r="F79" s="9" t="inlineStr">
        <is>
          <t>Répondre concrètement à la demande d’un usager ou d’un client afin de lui faciliter une démarche.</t>
        </is>
      </c>
      <c r="G79" s="9" t="inlineStr">
        <is>
          <t>MOYENNE</t>
        </is>
      </c>
      <c r="H79" s="9" t="inlineStr">
        <is>
          <t>FAIBLE</t>
        </is>
      </c>
      <c r="I79" s="9" t="inlineStr">
        <is>
          <t>FORTE</t>
        </is>
      </c>
      <c r="J79" s="9" t="inlineStr">
        <is>
          <t>MAINTIEN_REECRIT</t>
        </is>
      </c>
      <c r="K79" s="9" t="inlineStr">
        <is>
          <t>Répondre concrètement à la demande d’un usager ou d’un client afin de lui faciliter une démarche.</t>
        </is>
      </c>
      <c r="L79" s="9" t="inlineStr">
        <is>
          <t>Retenu pour couverture de facette et formulation rendue directement concrète.</t>
        </is>
      </c>
      <c r="M79" s="9" t="inlineStr">
        <is>
          <t>PIP-BANK-0.4</t>
        </is>
      </c>
    </row>
    <row r="80">
      <c r="A80" s="9" t="inlineStr">
        <is>
          <t>PIP-SIT-S-S5-019</t>
        </is>
      </c>
      <c r="B80" s="9" t="inlineStr">
        <is>
          <t>S</t>
        </is>
      </c>
      <c r="C80" s="9" t="inlineStr">
        <is>
          <t>S5</t>
        </is>
      </c>
      <c r="D80" s="9" t="inlineStr">
        <is>
          <t>SIT</t>
        </is>
      </c>
      <c r="E80" s="9" t="inlineStr">
        <is>
          <t>Aider un usager ou un client qui ne sait pas comment accomplir une démarche.</t>
        </is>
      </c>
      <c r="F80" s="9" t="inlineStr">
        <is>
          <t>Une personne ne sait pas comment accomplir une démarche : l’accompagner jusqu’à ce qu’elle sache quoi faire.</t>
        </is>
      </c>
      <c r="G80" s="9" t="inlineStr">
        <is>
          <t>FAIBLE_A_MOYENNE</t>
        </is>
      </c>
      <c r="H80" s="9" t="inlineStr">
        <is>
          <t>FAIBLE</t>
        </is>
      </c>
      <c r="I80" s="9" t="inlineStr">
        <is>
          <t>FORTE</t>
        </is>
      </c>
      <c r="J80" s="9" t="inlineStr">
        <is>
          <t>RETRAIT_BANQUE72</t>
        </is>
      </c>
      <c r="K80" s="9" t="inlineStr"/>
      <c r="L80" s="9" t="inlineStr">
        <is>
          <t>Historique conservé ; item non nécessaire pour atteindre 12/dimension et ≥2/facette.</t>
        </is>
      </c>
      <c r="M80" s="9" t="inlineStr">
        <is>
          <t>PIP-BANK-0.3</t>
        </is>
      </c>
    </row>
    <row r="81">
      <c r="A81" s="9" t="inlineStr">
        <is>
          <t>PIP-ENV-S-S5-020</t>
        </is>
      </c>
      <c r="B81" s="9" t="inlineStr">
        <is>
          <t>S</t>
        </is>
      </c>
      <c r="C81" s="9" t="inlineStr">
        <is>
          <t>S5</t>
        </is>
      </c>
      <c r="D81" s="9" t="inlineStr">
        <is>
          <t>ENV</t>
        </is>
      </c>
      <c r="E81" s="9" t="inlineStr">
        <is>
          <t>Travailler dans un contexte où l’on rend directement des services utiles à des personnes aux besoins variés.</t>
        </is>
      </c>
      <c r="F81" s="9" t="inlineStr">
        <is>
          <t>Travailler dans un environnement où l’on rend directement des services utiles à des personnes aux besoins variés.</t>
        </is>
      </c>
      <c r="G81" s="9" t="inlineStr">
        <is>
          <t>FAIBLE_A_MOYENNE</t>
        </is>
      </c>
      <c r="H81" s="9" t="inlineStr">
        <is>
          <t>FAIBLE</t>
        </is>
      </c>
      <c r="I81" s="9" t="inlineStr">
        <is>
          <t>MOYENNE</t>
        </is>
      </c>
      <c r="J81" s="9" t="inlineStr">
        <is>
          <t>RETRAIT_BANQUE72</t>
        </is>
      </c>
      <c r="K81" s="9" t="inlineStr"/>
      <c r="L81" s="9" t="inlineStr">
        <is>
          <t>Historique conservé ; item non nécessaire pour atteindre 12/dimension et ≥2/facette.</t>
        </is>
      </c>
      <c r="M81" s="9" t="inlineStr">
        <is>
          <t>PIP-BANK-0.3</t>
        </is>
      </c>
    </row>
    <row r="82">
      <c r="A82" s="9" t="inlineStr">
        <is>
          <t>PIP-ACT-E-E1-001</t>
        </is>
      </c>
      <c r="B82" s="9" t="inlineStr">
        <is>
          <t>E</t>
        </is>
      </c>
      <c r="C82" s="9" t="inlineStr">
        <is>
          <t>E1</t>
        </is>
      </c>
      <c r="D82" s="9" t="inlineStr">
        <is>
          <t>ACT</t>
        </is>
      </c>
      <c r="E82" s="9" t="inlineStr">
        <is>
          <t>Lancer un nouveau projet à partir d’une idée ou d’une opportunité.</t>
        </is>
      </c>
      <c r="F82" s="9" t="inlineStr">
        <is>
          <t>Lancer un nouveau service, une activité ou un projet à partir d’une idée ou d’une opportunité identifiée.</t>
        </is>
      </c>
      <c r="G82" s="9" t="inlineStr">
        <is>
          <t>MOYENNE</t>
        </is>
      </c>
      <c r="H82" s="9" t="inlineStr">
        <is>
          <t>FAIBLE</t>
        </is>
      </c>
      <c r="I82" s="9" t="inlineStr">
        <is>
          <t>FORTE</t>
        </is>
      </c>
      <c r="J82" s="9" t="inlineStr">
        <is>
          <t>MAINTIEN_REECRIT</t>
        </is>
      </c>
      <c r="K82" s="9" t="inlineStr">
        <is>
          <t>Lancer un nouveau service, une activité ou un projet à partir d’une idée ou d’une opportunité identifiée.</t>
        </is>
      </c>
      <c r="L82" s="9" t="inlineStr">
        <is>
          <t>Retenu pour couverture de facette et formulation rendue directement concrète.</t>
        </is>
      </c>
      <c r="M82" s="9" t="inlineStr">
        <is>
          <t>PIP-BANK-0.4</t>
        </is>
      </c>
    </row>
    <row r="83">
      <c r="A83" s="9" t="inlineStr">
        <is>
          <t>PIP-ACT-E-E1-002</t>
        </is>
      </c>
      <c r="B83" s="9" t="inlineStr">
        <is>
          <t>E</t>
        </is>
      </c>
      <c r="C83" s="9" t="inlineStr">
        <is>
          <t>E1</t>
        </is>
      </c>
      <c r="D83" s="9" t="inlineStr">
        <is>
          <t>ACT</t>
        </is>
      </c>
      <c r="E83" s="9" t="inlineStr">
        <is>
          <t>Faire progresser un projet en identifiant de nouvelles possibilités de développement.</t>
        </is>
      </c>
      <c r="F83" s="9" t="inlineStr">
        <is>
          <t>Chercher de nouvelles possibilités pour développer un projet, une activité ou une offre existante.</t>
        </is>
      </c>
      <c r="G83" s="9" t="inlineStr">
        <is>
          <t>MOYENNE</t>
        </is>
      </c>
      <c r="H83" s="9" t="inlineStr">
        <is>
          <t>FAIBLE</t>
        </is>
      </c>
      <c r="I83" s="9" t="inlineStr">
        <is>
          <t>FORTE</t>
        </is>
      </c>
      <c r="J83" s="9" t="inlineStr">
        <is>
          <t>MAINTIEN_REECRIT</t>
        </is>
      </c>
      <c r="K83" s="9" t="inlineStr">
        <is>
          <t>Chercher de nouvelles possibilités pour développer un projet, une activité ou une offre existante.</t>
        </is>
      </c>
      <c r="L83" s="9" t="inlineStr">
        <is>
          <t>Retenu pour couverture de facette et formulation rendue directement concrète.</t>
        </is>
      </c>
      <c r="M83" s="9" t="inlineStr">
        <is>
          <t>PIP-BANK-0.4</t>
        </is>
      </c>
    </row>
    <row r="84">
      <c r="A84" s="9" t="inlineStr">
        <is>
          <t>PIP-SIT-E-E1-003</t>
        </is>
      </c>
      <c r="B84" s="9" t="inlineStr">
        <is>
          <t>E</t>
        </is>
      </c>
      <c r="C84" s="9" t="inlineStr">
        <is>
          <t>E1</t>
        </is>
      </c>
      <c r="D84" s="9" t="inlineStr">
        <is>
          <t>SIT</t>
        </is>
      </c>
      <c r="E84" s="9" t="inlineStr">
        <is>
          <t>Voir une opportunité et prendre l’initiative de la transformer en projet concret.</t>
        </is>
      </c>
      <c r="F84" s="9" t="inlineStr">
        <is>
          <t>Repérer une opportunité et prendre l’initiative de réunir les moyens nécessaires pour en faire un projet concret.</t>
        </is>
      </c>
      <c r="G84" s="9" t="inlineStr">
        <is>
          <t>FAIBLE_A_MOYENNE</t>
        </is>
      </c>
      <c r="H84" s="9" t="inlineStr">
        <is>
          <t>FAIBLE</t>
        </is>
      </c>
      <c r="I84" s="9" t="inlineStr">
        <is>
          <t>FORTE</t>
        </is>
      </c>
      <c r="J84" s="9" t="inlineStr">
        <is>
          <t>MAINTIEN_REECRIT</t>
        </is>
      </c>
      <c r="K84" s="9" t="inlineStr">
        <is>
          <t>Repérer une opportunité et prendre l’initiative de réunir les moyens nécessaires pour en faire un projet concret.</t>
        </is>
      </c>
      <c r="L84" s="9" t="inlineStr">
        <is>
          <t>Retenu pour couverture de facette et formulation rendue directement concrète.</t>
        </is>
      </c>
      <c r="M84" s="9" t="inlineStr">
        <is>
          <t>PIP-BANK-0.4</t>
        </is>
      </c>
    </row>
    <row r="85">
      <c r="A85" s="9" t="inlineStr">
        <is>
          <t>PIP-ENV-E-E1-004</t>
        </is>
      </c>
      <c r="B85" s="9" t="inlineStr">
        <is>
          <t>E</t>
        </is>
      </c>
      <c r="C85" s="9" t="inlineStr">
        <is>
          <t>E1</t>
        </is>
      </c>
      <c r="D85" s="9" t="inlineStr">
        <is>
          <t>ENV</t>
        </is>
      </c>
      <c r="E85" s="9" t="inlineStr">
        <is>
          <t>Évoluer dans un contexte où l’on peut proposer des initiatives et faire avancer de nouveaux projets.</t>
        </is>
      </c>
      <c r="F85" s="9" t="inlineStr">
        <is>
          <t>Évoluer dans un environnement où l’on peut proposer des initiatives et faire démarrer de nouveaux projets.</t>
        </is>
      </c>
      <c r="G85" s="9" t="inlineStr">
        <is>
          <t>FAIBLE_A_MOYENNE</t>
        </is>
      </c>
      <c r="H85" s="9" t="inlineStr">
        <is>
          <t>FAIBLE</t>
        </is>
      </c>
      <c r="I85" s="9" t="inlineStr">
        <is>
          <t>MOYENNE</t>
        </is>
      </c>
      <c r="J85" s="9" t="inlineStr">
        <is>
          <t>RETRAIT_BANQUE72</t>
        </is>
      </c>
      <c r="K85" s="9" t="inlineStr"/>
      <c r="L85" s="9" t="inlineStr">
        <is>
          <t>Historique conservé ; item non nécessaire pour atteindre 12/dimension et ≥2/facette.</t>
        </is>
      </c>
      <c r="M85" s="9" t="inlineStr">
        <is>
          <t>PIP-BANK-0.3</t>
        </is>
      </c>
    </row>
    <row r="86">
      <c r="A86" s="9" t="inlineStr">
        <is>
          <t>PIP-ACT-E-E2-005</t>
        </is>
      </c>
      <c r="B86" s="9" t="inlineStr">
        <is>
          <t>E</t>
        </is>
      </c>
      <c r="C86" s="9" t="inlineStr">
        <is>
          <t>E2</t>
        </is>
      </c>
      <c r="D86" s="9" t="inlineStr">
        <is>
          <t>ACT</t>
        </is>
      </c>
      <c r="E86" s="9" t="inlineStr">
        <is>
          <t>Présenter une proposition de façon à donner envie d’y adhérer.</t>
        </is>
      </c>
      <c r="F86" s="9" t="inlineStr">
        <is>
          <t>Présenter une proposition à un client, une équipe ou un partenaire de façon à susciter son adhésion.</t>
        </is>
      </c>
      <c r="G86" s="9" t="inlineStr">
        <is>
          <t>MOYENNE</t>
        </is>
      </c>
      <c r="H86" s="9" t="inlineStr">
        <is>
          <t>FAIBLE</t>
        </is>
      </c>
      <c r="I86" s="9" t="inlineStr">
        <is>
          <t>FORTE</t>
        </is>
      </c>
      <c r="J86" s="9" t="inlineStr">
        <is>
          <t>MAINTIEN_REECRIT</t>
        </is>
      </c>
      <c r="K86" s="9" t="inlineStr">
        <is>
          <t>Présenter une proposition à un client, une équipe ou un partenaire de façon à susciter son adhésion.</t>
        </is>
      </c>
      <c r="L86" s="9" t="inlineStr">
        <is>
          <t>Retenu pour couverture de facette et formulation rendue directement concrète.</t>
        </is>
      </c>
      <c r="M86" s="9" t="inlineStr">
        <is>
          <t>PIP-BANK-0.4</t>
        </is>
      </c>
    </row>
    <row r="87">
      <c r="A87" s="9" t="inlineStr">
        <is>
          <t>PIP-ACT-E-E2-006</t>
        </is>
      </c>
      <c r="B87" s="9" t="inlineStr">
        <is>
          <t>E</t>
        </is>
      </c>
      <c r="C87" s="9" t="inlineStr">
        <is>
          <t>E2</t>
        </is>
      </c>
      <c r="D87" s="9" t="inlineStr">
        <is>
          <t>ACT</t>
        </is>
      </c>
      <c r="E87" s="9" t="inlineStr">
        <is>
          <t>Promouvoir un produit, un service ou une idée auprès d’un public.</t>
        </is>
      </c>
      <c r="F87" s="9" t="inlineStr">
        <is>
          <t>Promouvoir un produit, un service, un projet ou une idée auprès d’un public susceptible d’être intéressé.</t>
        </is>
      </c>
      <c r="G87" s="9" t="inlineStr">
        <is>
          <t>MOYENNE</t>
        </is>
      </c>
      <c r="H87" s="9" t="inlineStr">
        <is>
          <t>FAIBLE</t>
        </is>
      </c>
      <c r="I87" s="9" t="inlineStr">
        <is>
          <t>FORTE</t>
        </is>
      </c>
      <c r="J87" s="9" t="inlineStr">
        <is>
          <t>MAINTIEN_REECRIT</t>
        </is>
      </c>
      <c r="K87" s="9" t="inlineStr">
        <is>
          <t>Promouvoir un produit, un service, un projet ou une idée auprès d’un public susceptible d’être intéressé.</t>
        </is>
      </c>
      <c r="L87" s="9" t="inlineStr">
        <is>
          <t>Retenu pour couverture de facette et formulation rendue directement concrète.</t>
        </is>
      </c>
      <c r="M87" s="9" t="inlineStr">
        <is>
          <t>PIP-BANK-0.4</t>
        </is>
      </c>
    </row>
    <row r="88">
      <c r="A88" s="9" t="inlineStr">
        <is>
          <t>PIP-SIT-E-E2-007</t>
        </is>
      </c>
      <c r="B88" s="9" t="inlineStr">
        <is>
          <t>E</t>
        </is>
      </c>
      <c r="C88" s="9" t="inlineStr">
        <is>
          <t>E2</t>
        </is>
      </c>
      <c r="D88" s="9" t="inlineStr">
        <is>
          <t>SIT</t>
        </is>
      </c>
      <c r="E88" s="9" t="inlineStr">
        <is>
          <t>Défendre une proposition devant des personnes qui hésitent afin d’obtenir leur adhésion.</t>
        </is>
      </c>
      <c r="F88" s="9" t="inlineStr">
        <is>
          <t>Défendre une proposition devant des personnes hésitantes afin de les convaincre de la retenir.</t>
        </is>
      </c>
      <c r="G88" s="9" t="inlineStr">
        <is>
          <t>FAIBLE_A_MOYENNE</t>
        </is>
      </c>
      <c r="H88" s="9" t="inlineStr">
        <is>
          <t>FAIBLE</t>
        </is>
      </c>
      <c r="I88" s="9" t="inlineStr">
        <is>
          <t>FORTE</t>
        </is>
      </c>
      <c r="J88" s="9" t="inlineStr">
        <is>
          <t>MAINTIEN_REECRIT</t>
        </is>
      </c>
      <c r="K88" s="9" t="inlineStr">
        <is>
          <t>Défendre une proposition devant des personnes hésitantes afin de les convaincre de la retenir.</t>
        </is>
      </c>
      <c r="L88" s="9" t="inlineStr">
        <is>
          <t>Retenu pour couverture de facette et formulation rendue directement concrète.</t>
        </is>
      </c>
      <c r="M88" s="9" t="inlineStr">
        <is>
          <t>PIP-BANK-0.4</t>
        </is>
      </c>
    </row>
    <row r="89">
      <c r="A89" s="9" t="inlineStr">
        <is>
          <t>PIP-ENV-E-E2-008</t>
        </is>
      </c>
      <c r="B89" s="9" t="inlineStr">
        <is>
          <t>E</t>
        </is>
      </c>
      <c r="C89" s="9" t="inlineStr">
        <is>
          <t>E2</t>
        </is>
      </c>
      <c r="D89" s="9" t="inlineStr">
        <is>
          <t>ENV</t>
        </is>
      </c>
      <c r="E89" s="9" t="inlineStr">
        <is>
          <t>Travailler dans un contexte où il faut régulièrement présenter, promouvoir ou faire accepter des propositions.</t>
        </is>
      </c>
      <c r="F89" s="9" t="inlineStr">
        <is>
          <t>Travailler dans un contexte où il faut régulièrement présenter, promouvoir ou faire accepter des propositions.</t>
        </is>
      </c>
      <c r="G89" s="9" t="inlineStr">
        <is>
          <t>FAIBLE_A_MOYENNE</t>
        </is>
      </c>
      <c r="H89" s="9" t="inlineStr">
        <is>
          <t>FAIBLE</t>
        </is>
      </c>
      <c r="I89" s="9" t="inlineStr">
        <is>
          <t>MOYENNE</t>
        </is>
      </c>
      <c r="J89" s="9" t="inlineStr">
        <is>
          <t>RETRAIT_BANQUE72</t>
        </is>
      </c>
      <c r="K89" s="9" t="inlineStr"/>
      <c r="L89" s="9" t="inlineStr">
        <is>
          <t>Historique conservé ; item non nécessaire pour atteindre 12/dimension et ≥2/facette.</t>
        </is>
      </c>
      <c r="M89" s="9" t="inlineStr">
        <is>
          <t>PIP-BANK-0.3</t>
        </is>
      </c>
    </row>
    <row r="90">
      <c r="A90" s="9" t="inlineStr">
        <is>
          <t>PIP-ACT-E-E3-009</t>
        </is>
      </c>
      <c r="B90" s="9" t="inlineStr">
        <is>
          <t>E</t>
        </is>
      </c>
      <c r="C90" s="9" t="inlineStr">
        <is>
          <t>E3</t>
        </is>
      </c>
      <c r="D90" s="9" t="inlineStr">
        <is>
          <t>ACT</t>
        </is>
      </c>
      <c r="E90" s="9" t="inlineStr">
        <is>
          <t>Négocier les conditions d’un accord entre plusieurs parties.</t>
        </is>
      </c>
      <c r="F90" s="9" t="inlineStr">
        <is>
          <t>Négocier avec plusieurs parties les conditions d’un accord afin de parvenir à une solution acceptable.</t>
        </is>
      </c>
      <c r="G90" s="9" t="inlineStr">
        <is>
          <t>MOYENNE</t>
        </is>
      </c>
      <c r="H90" s="9" t="inlineStr">
        <is>
          <t>FAIBLE</t>
        </is>
      </c>
      <c r="I90" s="9" t="inlineStr">
        <is>
          <t>FORTE</t>
        </is>
      </c>
      <c r="J90" s="9" t="inlineStr">
        <is>
          <t>MAINTIEN_REECRIT</t>
        </is>
      </c>
      <c r="K90" s="9" t="inlineStr">
        <is>
          <t>Négocier avec plusieurs parties les conditions d’un accord afin de parvenir à une solution acceptable.</t>
        </is>
      </c>
      <c r="L90" s="9" t="inlineStr">
        <is>
          <t>Retenu pour couverture de facette et formulation rendue directement concrète.</t>
        </is>
      </c>
      <c r="M90" s="9" t="inlineStr">
        <is>
          <t>PIP-BANK-0.4</t>
        </is>
      </c>
    </row>
    <row r="91">
      <c r="A91" s="9" t="inlineStr">
        <is>
          <t>PIP-ACT-E-E3-010</t>
        </is>
      </c>
      <c r="B91" s="9" t="inlineStr">
        <is>
          <t>E</t>
        </is>
      </c>
      <c r="C91" s="9" t="inlineStr">
        <is>
          <t>E3</t>
        </is>
      </c>
      <c r="D91" s="9" t="inlineStr">
        <is>
          <t>ACT</t>
        </is>
      </c>
      <c r="E91" s="9" t="inlineStr">
        <is>
          <t>Chercher un compromis lorsque des personnes défendent des intérêts différents.</t>
        </is>
      </c>
      <c r="F91" s="9" t="inlineStr">
        <is>
          <t>Rechercher un compromis lorsque deux personnes ou organisations défendent des intérêts différents.</t>
        </is>
      </c>
      <c r="G91" s="9" t="inlineStr">
        <is>
          <t>MOYENNE</t>
        </is>
      </c>
      <c r="H91" s="9" t="inlineStr">
        <is>
          <t>A_SURVEILLER</t>
        </is>
      </c>
      <c r="I91" s="9" t="inlineStr">
        <is>
          <t>FORTE</t>
        </is>
      </c>
      <c r="J91" s="9" t="inlineStr">
        <is>
          <t>MAINTIEN_REECRIT</t>
        </is>
      </c>
      <c r="K91" s="9" t="inlineStr">
        <is>
          <t>Rechercher un compromis lorsque deux personnes ou organisations défendent des intérêts différents.</t>
        </is>
      </c>
      <c r="L91" s="9" t="inlineStr">
        <is>
          <t>Retenu pour couverture de facette et formulation rendue directement concrète.</t>
        </is>
      </c>
      <c r="M91" s="9" t="inlineStr">
        <is>
          <t>PIP-BANK-0.4</t>
        </is>
      </c>
    </row>
    <row r="92">
      <c r="A92" s="9" t="inlineStr">
        <is>
          <t>PIP-SIT-E-E3-011</t>
        </is>
      </c>
      <c r="B92" s="9" t="inlineStr">
        <is>
          <t>E</t>
        </is>
      </c>
      <c r="C92" s="9" t="inlineStr">
        <is>
          <t>E3</t>
        </is>
      </c>
      <c r="D92" s="9" t="inlineStr">
        <is>
          <t>SIT</t>
        </is>
      </c>
      <c r="E92" s="9" t="inlineStr">
        <is>
          <t>Conduire une discussion où chacun a des attentes différentes afin d’aboutir à un accord.</t>
        </is>
      </c>
      <c r="F92" s="9" t="inlineStr">
        <is>
          <t>Conduire une discussion où chacun a ses contraintes afin d’aboutir à un accord concret.</t>
        </is>
      </c>
      <c r="G92" s="9" t="inlineStr">
        <is>
          <t>FAIBLE_A_MOYENNE</t>
        </is>
      </c>
      <c r="H92" s="9" t="inlineStr">
        <is>
          <t>FAIBLE</t>
        </is>
      </c>
      <c r="I92" s="9" t="inlineStr">
        <is>
          <t>FORTE</t>
        </is>
      </c>
      <c r="J92" s="9" t="inlineStr">
        <is>
          <t>RETRAIT_BANQUE72</t>
        </is>
      </c>
      <c r="K92" s="9" t="inlineStr"/>
      <c r="L92" s="9" t="inlineStr">
        <is>
          <t>Historique conservé ; item non nécessaire pour atteindre 12/dimension et ≥2/facette.</t>
        </is>
      </c>
      <c r="M92" s="9" t="inlineStr">
        <is>
          <t>PIP-BANK-0.3</t>
        </is>
      </c>
    </row>
    <row r="93">
      <c r="A93" s="9" t="inlineStr">
        <is>
          <t>PIP-ENV-E-E3-012</t>
        </is>
      </c>
      <c r="B93" s="9" t="inlineStr">
        <is>
          <t>E</t>
        </is>
      </c>
      <c r="C93" s="9" t="inlineStr">
        <is>
          <t>E3</t>
        </is>
      </c>
      <c r="D93" s="9" t="inlineStr">
        <is>
          <t>ENV</t>
        </is>
      </c>
      <c r="E93" s="9" t="inlineStr">
        <is>
          <t>Évoluer dans un contexte où la négociation et la recherche d’accords occupent une place importante.</t>
        </is>
      </c>
      <c r="F93" s="9" t="inlineStr">
        <is>
          <t>Évoluer dans un environnement où la négociation et la recherche d’accords font partie du travail courant.</t>
        </is>
      </c>
      <c r="G93" s="9" t="inlineStr">
        <is>
          <t>FAIBLE_A_MOYENNE</t>
        </is>
      </c>
      <c r="H93" s="9" t="inlineStr">
        <is>
          <t>FAIBLE</t>
        </is>
      </c>
      <c r="I93" s="9" t="inlineStr">
        <is>
          <t>MOYENNE</t>
        </is>
      </c>
      <c r="J93" s="9" t="inlineStr">
        <is>
          <t>RETRAIT_BANQUE72</t>
        </is>
      </c>
      <c r="K93" s="9" t="inlineStr"/>
      <c r="L93" s="9" t="inlineStr">
        <is>
          <t>Historique conservé ; item non nécessaire pour atteindre 12/dimension et ≥2/facette.</t>
        </is>
      </c>
      <c r="M93" s="9" t="inlineStr">
        <is>
          <t>PIP-BANK-0.3</t>
        </is>
      </c>
    </row>
    <row r="94">
      <c r="A94" s="9" t="inlineStr">
        <is>
          <t>PIP-ACT-E-E4-013</t>
        </is>
      </c>
      <c r="B94" s="9" t="inlineStr">
        <is>
          <t>E</t>
        </is>
      </c>
      <c r="C94" s="9" t="inlineStr">
        <is>
          <t>E4</t>
        </is>
      </c>
      <c r="D94" s="9" t="inlineStr">
        <is>
          <t>ACT</t>
        </is>
      </c>
      <c r="E94" s="9" t="inlineStr">
        <is>
          <t>Coordonner le travail de plusieurs personnes pour faire avancer un projet.</t>
        </is>
      </c>
      <c r="F94" s="9" t="inlineStr">
        <is>
          <t>Coordonner plusieurs personnes, répartir les responsabilités et suivre l’avancement d’un projet.</t>
        </is>
      </c>
      <c r="G94" s="9" t="inlineStr">
        <is>
          <t>MOYENNE</t>
        </is>
      </c>
      <c r="H94" s="9" t="inlineStr">
        <is>
          <t>A_SURVEILLER</t>
        </is>
      </c>
      <c r="I94" s="9" t="inlineStr">
        <is>
          <t>FORTE</t>
        </is>
      </c>
      <c r="J94" s="9" t="inlineStr">
        <is>
          <t>MAINTIEN_REECRIT</t>
        </is>
      </c>
      <c r="K94" s="9" t="inlineStr">
        <is>
          <t>Coordonner plusieurs personnes, répartir les responsabilités et suivre l’avancement d’un projet.</t>
        </is>
      </c>
      <c r="L94" s="9" t="inlineStr">
        <is>
          <t>Retenu pour couverture de facette et formulation rendue directement concrète.</t>
        </is>
      </c>
      <c r="M94" s="9" t="inlineStr">
        <is>
          <t>PIP-BANK-0.4</t>
        </is>
      </c>
    </row>
    <row r="95">
      <c r="A95" s="9" t="inlineStr">
        <is>
          <t>PIP-ACT-E-E4-014</t>
        </is>
      </c>
      <c r="B95" s="9" t="inlineStr">
        <is>
          <t>E</t>
        </is>
      </c>
      <c r="C95" s="9" t="inlineStr">
        <is>
          <t>E4</t>
        </is>
      </c>
      <c r="D95" s="9" t="inlineStr">
        <is>
          <t>ACT</t>
        </is>
      </c>
      <c r="E95" s="9" t="inlineStr">
        <is>
          <t>Prendre des décisions qui orientent l’action d’une équipe ou d’un projet.</t>
        </is>
      </c>
      <c r="F95" s="9" t="inlineStr">
        <is>
          <t>Prendre une décision qui donne une direction claire à une équipe ou à un projet.</t>
        </is>
      </c>
      <c r="G95" s="9" t="inlineStr">
        <is>
          <t>MOYENNE</t>
        </is>
      </c>
      <c r="H95" s="9" t="inlineStr">
        <is>
          <t>FAIBLE</t>
        </is>
      </c>
      <c r="I95" s="9" t="inlineStr">
        <is>
          <t>FORTE</t>
        </is>
      </c>
      <c r="J95" s="9" t="inlineStr">
        <is>
          <t>MAINTIEN_REECRIT</t>
        </is>
      </c>
      <c r="K95" s="9" t="inlineStr">
        <is>
          <t>Prendre une décision qui donne une direction claire à une équipe ou à un projet.</t>
        </is>
      </c>
      <c r="L95" s="9" t="inlineStr">
        <is>
          <t>Retenu pour couverture de facette et formulation rendue directement concrète.</t>
        </is>
      </c>
      <c r="M95" s="9" t="inlineStr">
        <is>
          <t>PIP-BANK-0.4</t>
        </is>
      </c>
    </row>
    <row r="96">
      <c r="A96" s="9" t="inlineStr">
        <is>
          <t>PIP-SIT-E-E4-015</t>
        </is>
      </c>
      <c r="B96" s="9" t="inlineStr">
        <is>
          <t>E</t>
        </is>
      </c>
      <c r="C96" s="9" t="inlineStr">
        <is>
          <t>E4</t>
        </is>
      </c>
      <c r="D96" s="9" t="inlineStr">
        <is>
          <t>SIT</t>
        </is>
      </c>
      <c r="E96" s="9" t="inlineStr">
        <is>
          <t>Arbitrer entre plusieurs priorités lorsque le groupe attend une décision pour continuer.</t>
        </is>
      </c>
      <c r="F96" s="9" t="inlineStr">
        <is>
          <t>Plusieurs priorités s’opposent : arbitrer et décider pour permettre au groupe de continuer.</t>
        </is>
      </c>
      <c r="G96" s="9" t="inlineStr">
        <is>
          <t>FAIBLE_A_MOYENNE</t>
        </is>
      </c>
      <c r="H96" s="9" t="inlineStr">
        <is>
          <t>FAIBLE</t>
        </is>
      </c>
      <c r="I96" s="9" t="inlineStr">
        <is>
          <t>FORTE</t>
        </is>
      </c>
      <c r="J96" s="9" t="inlineStr">
        <is>
          <t>RETRAIT_BANQUE72</t>
        </is>
      </c>
      <c r="K96" s="9" t="inlineStr"/>
      <c r="L96" s="9" t="inlineStr">
        <is>
          <t>Historique conservé ; item non nécessaire pour atteindre 12/dimension et ≥2/facette.</t>
        </is>
      </c>
      <c r="M96" s="9" t="inlineStr">
        <is>
          <t>PIP-BANK-0.3</t>
        </is>
      </c>
    </row>
    <row r="97">
      <c r="A97" s="9" t="inlineStr">
        <is>
          <t>PIP-ENV-E-E4-016</t>
        </is>
      </c>
      <c r="B97" s="9" t="inlineStr">
        <is>
          <t>E</t>
        </is>
      </c>
      <c r="C97" s="9" t="inlineStr">
        <is>
          <t>E4</t>
        </is>
      </c>
      <c r="D97" s="9" t="inlineStr">
        <is>
          <t>ENV</t>
        </is>
      </c>
      <c r="E97" s="9" t="inlineStr">
        <is>
          <t>Travailler dans un contexte où l’on assume régulièrement la responsabilité de décisions et de coordination.</t>
        </is>
      </c>
      <c r="F97" s="9" t="inlineStr">
        <is>
          <t>Travailler dans un contexte où l’on assume régulièrement des décisions, des arbitrages et la coordination d’autres personnes.</t>
        </is>
      </c>
      <c r="G97" s="9" t="inlineStr">
        <is>
          <t>FAIBLE_A_MOYENNE</t>
        </is>
      </c>
      <c r="H97" s="9" t="inlineStr">
        <is>
          <t>FAIBLE</t>
        </is>
      </c>
      <c r="I97" s="9" t="inlineStr">
        <is>
          <t>MOYENNE</t>
        </is>
      </c>
      <c r="J97" s="9" t="inlineStr">
        <is>
          <t>RETRAIT_BANQUE72</t>
        </is>
      </c>
      <c r="K97" s="9" t="inlineStr"/>
      <c r="L97" s="9" t="inlineStr">
        <is>
          <t>Historique conservé ; item non nécessaire pour atteindre 12/dimension et ≥2/facette.</t>
        </is>
      </c>
      <c r="M97" s="9" t="inlineStr">
        <is>
          <t>PIP-BANK-0.3</t>
        </is>
      </c>
    </row>
    <row r="98">
      <c r="A98" s="9" t="inlineStr">
        <is>
          <t>PIP-ACT-E-E5-017</t>
        </is>
      </c>
      <c r="B98" s="9" t="inlineStr">
        <is>
          <t>E</t>
        </is>
      </c>
      <c r="C98" s="9" t="inlineStr">
        <is>
          <t>E5</t>
        </is>
      </c>
      <c r="D98" s="9" t="inlineStr">
        <is>
          <t>ACT</t>
        </is>
      </c>
      <c r="E98" s="9" t="inlineStr">
        <is>
          <t>Prendre la parole pour représenter une organisation, un projet ou une cause.</t>
        </is>
      </c>
      <c r="F98" s="9" t="inlineStr">
        <is>
          <t>Prendre la parole au nom d’une organisation, d’un projet ou d’une cause devant des interlocuteurs externes.</t>
        </is>
      </c>
      <c r="G98" s="9" t="inlineStr">
        <is>
          <t>MOYENNE</t>
        </is>
      </c>
      <c r="H98" s="9" t="inlineStr">
        <is>
          <t>FAIBLE</t>
        </is>
      </c>
      <c r="I98" s="9" t="inlineStr">
        <is>
          <t>FORTE</t>
        </is>
      </c>
      <c r="J98" s="9" t="inlineStr">
        <is>
          <t>MAINTIEN_REECRIT</t>
        </is>
      </c>
      <c r="K98" s="9" t="inlineStr">
        <is>
          <t>Prendre la parole au nom d’une organisation, d’un projet ou d’une cause devant des interlocuteurs externes.</t>
        </is>
      </c>
      <c r="L98" s="9" t="inlineStr">
        <is>
          <t>Retenu pour couverture de facette et formulation rendue directement concrète.</t>
        </is>
      </c>
      <c r="M98" s="9" t="inlineStr">
        <is>
          <t>PIP-BANK-0.4</t>
        </is>
      </c>
    </row>
    <row r="99">
      <c r="A99" s="9" t="inlineStr">
        <is>
          <t>PIP-ACT-E-E5-018</t>
        </is>
      </c>
      <c r="B99" s="9" t="inlineStr">
        <is>
          <t>E</t>
        </is>
      </c>
      <c r="C99" s="9" t="inlineStr">
        <is>
          <t>E5</t>
        </is>
      </c>
      <c r="D99" s="9" t="inlineStr">
        <is>
          <t>ACT</t>
        </is>
      </c>
      <c r="E99" s="9" t="inlineStr">
        <is>
          <t>Mobiliser plusieurs personnes autour d’un objectif commun.</t>
        </is>
      </c>
      <c r="F99" s="9" t="inlineStr">
        <is>
          <t>Mobiliser plusieurs personnes autour d’un objectif et leur donner envie de contribuer.</t>
        </is>
      </c>
      <c r="G99" s="9" t="inlineStr">
        <is>
          <t>MOYENNE</t>
        </is>
      </c>
      <c r="H99" s="9" t="inlineStr">
        <is>
          <t>FAIBLE</t>
        </is>
      </c>
      <c r="I99" s="9" t="inlineStr">
        <is>
          <t>FORTE</t>
        </is>
      </c>
      <c r="J99" s="9" t="inlineStr">
        <is>
          <t>MAINTIEN_REECRIT</t>
        </is>
      </c>
      <c r="K99" s="9" t="inlineStr">
        <is>
          <t>Mobiliser plusieurs personnes autour d’un objectif et leur donner envie de contribuer.</t>
        </is>
      </c>
      <c r="L99" s="9" t="inlineStr">
        <is>
          <t>Retenu pour couverture de facette et formulation rendue directement concrète.</t>
        </is>
      </c>
      <c r="M99" s="9" t="inlineStr">
        <is>
          <t>PIP-BANK-0.4</t>
        </is>
      </c>
    </row>
    <row r="100">
      <c r="A100" s="9" t="inlineStr">
        <is>
          <t>PIP-SIT-E-E5-019</t>
        </is>
      </c>
      <c r="B100" s="9" t="inlineStr">
        <is>
          <t>E</t>
        </is>
      </c>
      <c r="C100" s="9" t="inlineStr">
        <is>
          <t>E5</t>
        </is>
      </c>
      <c r="D100" s="9" t="inlineStr">
        <is>
          <t>SIT</t>
        </is>
      </c>
      <c r="E100" s="9" t="inlineStr">
        <is>
          <t>Faire adhérer un groupe à une orientation et l’encourager à se mettre en action.</t>
        </is>
      </c>
      <c r="F100" s="9" t="inlineStr">
        <is>
          <t>Présenter une orientation à un groupe, obtenir son adhésion et l’inciter à passer à l’action.</t>
        </is>
      </c>
      <c r="G100" s="9" t="inlineStr">
        <is>
          <t>FAIBLE_A_MOYENNE</t>
        </is>
      </c>
      <c r="H100" s="9" t="inlineStr">
        <is>
          <t>FAIBLE</t>
        </is>
      </c>
      <c r="I100" s="9" t="inlineStr">
        <is>
          <t>FORTE</t>
        </is>
      </c>
      <c r="J100" s="9" t="inlineStr">
        <is>
          <t>RETRAIT_BANQUE72</t>
        </is>
      </c>
      <c r="K100" s="9" t="inlineStr"/>
      <c r="L100" s="9" t="inlineStr">
        <is>
          <t>Historique conservé ; item non nécessaire pour atteindre 12/dimension et ≥2/facette.</t>
        </is>
      </c>
      <c r="M100" s="9" t="inlineStr">
        <is>
          <t>PIP-BANK-0.3</t>
        </is>
      </c>
    </row>
    <row r="101">
      <c r="A101" s="9" t="inlineStr">
        <is>
          <t>PIP-ENV-E-E5-020</t>
        </is>
      </c>
      <c r="B101" s="9" t="inlineStr">
        <is>
          <t>E</t>
        </is>
      </c>
      <c r="C101" s="9" t="inlineStr">
        <is>
          <t>E5</t>
        </is>
      </c>
      <c r="D101" s="9" t="inlineStr">
        <is>
          <t>ENV</t>
        </is>
      </c>
      <c r="E101" s="9" t="inlineStr">
        <is>
          <t>Évoluer dans un contexte où l’on représente des positions, prend la parole et cherche à mobiliser des personnes.</t>
        </is>
      </c>
      <c r="F101" s="9" t="inlineStr">
        <is>
          <t>Évoluer dans un contexte où l’on représente des positions, prend la parole et cherche à entraîner d’autres personnes.</t>
        </is>
      </c>
      <c r="G101" s="9" t="inlineStr">
        <is>
          <t>FAIBLE_A_MOYENNE</t>
        </is>
      </c>
      <c r="H101" s="9" t="inlineStr">
        <is>
          <t>FAIBLE</t>
        </is>
      </c>
      <c r="I101" s="9" t="inlineStr">
        <is>
          <t>MOYENNE</t>
        </is>
      </c>
      <c r="J101" s="9" t="inlineStr">
        <is>
          <t>RETRAIT_BANQUE72</t>
        </is>
      </c>
      <c r="K101" s="9" t="inlineStr"/>
      <c r="L101" s="9" t="inlineStr">
        <is>
          <t>Historique conservé ; item non nécessaire pour atteindre 12/dimension et ≥2/facette.</t>
        </is>
      </c>
      <c r="M101" s="9" t="inlineStr">
        <is>
          <t>PIP-BANK-0.3</t>
        </is>
      </c>
    </row>
    <row r="102">
      <c r="A102" s="9" t="inlineStr">
        <is>
          <t>PIP-ACT-C-C1-001</t>
        </is>
      </c>
      <c r="B102" s="9" t="inlineStr">
        <is>
          <t>C</t>
        </is>
      </c>
      <c r="C102" s="9" t="inlineStr">
        <is>
          <t>C1</t>
        </is>
      </c>
      <c r="D102" s="9" t="inlineStr">
        <is>
          <t>ACT</t>
        </is>
      </c>
      <c r="E102" s="9" t="inlineStr">
        <is>
          <t>Organiser des informations pour qu’elles soient faciles à retrouver et à utiliser.</t>
        </is>
      </c>
      <c r="F102" s="9" t="inlineStr">
        <is>
          <t>Organiser des dossiers ou informations dans une arborescence claire afin qu’ils soient rapidement retrouvés.</t>
        </is>
      </c>
      <c r="G102" s="9" t="inlineStr">
        <is>
          <t>MOYENNE</t>
        </is>
      </c>
      <c r="H102" s="9" t="inlineStr">
        <is>
          <t>FAIBLE</t>
        </is>
      </c>
      <c r="I102" s="9" t="inlineStr">
        <is>
          <t>FORTE</t>
        </is>
      </c>
      <c r="J102" s="9" t="inlineStr">
        <is>
          <t>MAINTIEN_REECRIT</t>
        </is>
      </c>
      <c r="K102" s="9" t="inlineStr">
        <is>
          <t>Organiser des dossiers ou informations dans une arborescence claire afin qu’ils soient rapidement retrouvés.</t>
        </is>
      </c>
      <c r="L102" s="9" t="inlineStr">
        <is>
          <t>Retenu pour couverture de facette et formulation rendue directement concrète.</t>
        </is>
      </c>
      <c r="M102" s="9" t="inlineStr">
        <is>
          <t>PIP-BANK-0.4</t>
        </is>
      </c>
    </row>
    <row r="103">
      <c r="A103" s="9" t="inlineStr">
        <is>
          <t>PIP-ACT-C-C1-002</t>
        </is>
      </c>
      <c r="B103" s="9" t="inlineStr">
        <is>
          <t>C</t>
        </is>
      </c>
      <c r="C103" s="9" t="inlineStr">
        <is>
          <t>C1</t>
        </is>
      </c>
      <c r="D103" s="9" t="inlineStr">
        <is>
          <t>ACT</t>
        </is>
      </c>
      <c r="E103" s="9" t="inlineStr">
        <is>
          <t>Classer des documents ou des données selon une structure claire.</t>
        </is>
      </c>
      <c r="F103" s="9" t="inlineStr">
        <is>
          <t>Classer des documents ou des données selon des catégories et des règles définies.</t>
        </is>
      </c>
      <c r="G103" s="9" t="inlineStr">
        <is>
          <t>MOYENNE</t>
        </is>
      </c>
      <c r="H103" s="9" t="inlineStr">
        <is>
          <t>FAIBLE</t>
        </is>
      </c>
      <c r="I103" s="9" t="inlineStr">
        <is>
          <t>FORTE</t>
        </is>
      </c>
      <c r="J103" s="9" t="inlineStr">
        <is>
          <t>MAINTIEN_REECRIT</t>
        </is>
      </c>
      <c r="K103" s="9" t="inlineStr">
        <is>
          <t>Classer des documents ou des données selon des catégories et des règles définies.</t>
        </is>
      </c>
      <c r="L103" s="9" t="inlineStr">
        <is>
          <t>Retenu pour couverture de facette et formulation rendue directement concrète.</t>
        </is>
      </c>
      <c r="M103" s="9" t="inlineStr">
        <is>
          <t>PIP-BANK-0.4</t>
        </is>
      </c>
    </row>
    <row r="104">
      <c r="A104" s="9" t="inlineStr">
        <is>
          <t>PIP-SIT-C-C1-003</t>
        </is>
      </c>
      <c r="B104" s="9" t="inlineStr">
        <is>
          <t>C</t>
        </is>
      </c>
      <c r="C104" s="9" t="inlineStr">
        <is>
          <t>C1</t>
        </is>
      </c>
      <c r="D104" s="9" t="inlineStr">
        <is>
          <t>SIT</t>
        </is>
      </c>
      <c r="E104" s="9" t="inlineStr">
        <is>
          <t>Remettre de l’ordre dans un ensemble d’informations dispersées afin qu’il devienne exploitable.</t>
        </is>
      </c>
      <c r="F104" s="9" t="inlineStr">
        <is>
          <t>Reprendre un ensemble de fichiers ou d’informations dispersés et les réorganiser pour qu’ils deviennent faciles à utiliser.</t>
        </is>
      </c>
      <c r="G104" s="9" t="inlineStr">
        <is>
          <t>FAIBLE_A_MOYENNE</t>
        </is>
      </c>
      <c r="H104" s="9" t="inlineStr">
        <is>
          <t>FAIBLE</t>
        </is>
      </c>
      <c r="I104" s="9" t="inlineStr">
        <is>
          <t>FORTE</t>
        </is>
      </c>
      <c r="J104" s="9" t="inlineStr">
        <is>
          <t>MAINTIEN_REECRIT</t>
        </is>
      </c>
      <c r="K104" s="9" t="inlineStr">
        <is>
          <t>Reprendre un ensemble de fichiers ou d’informations dispersés et les réorganiser pour qu’ils deviennent faciles à utiliser.</t>
        </is>
      </c>
      <c r="L104" s="9" t="inlineStr">
        <is>
          <t>Retenu pour couverture de facette et formulation rendue directement concrète.</t>
        </is>
      </c>
      <c r="M104" s="9" t="inlineStr">
        <is>
          <t>PIP-BANK-0.4</t>
        </is>
      </c>
    </row>
    <row r="105">
      <c r="A105" s="9" t="inlineStr">
        <is>
          <t>PIP-ENV-C-C1-004</t>
        </is>
      </c>
      <c r="B105" s="9" t="inlineStr">
        <is>
          <t>C</t>
        </is>
      </c>
      <c r="C105" s="9" t="inlineStr">
        <is>
          <t>C1</t>
        </is>
      </c>
      <c r="D105" s="9" t="inlineStr">
        <is>
          <t>ENV</t>
        </is>
      </c>
      <c r="E105" s="9" t="inlineStr">
        <is>
          <t>Travailler dans un contexte où l’organisation claire des informations et des ressources est essentielle au bon fonctionnement.</t>
        </is>
      </c>
      <c r="F105" s="9" t="inlineStr">
        <is>
          <t>Travailler dans un contexte où l’ordre et l’organisation des informations sont indispensables au fonctionnement quotidien.</t>
        </is>
      </c>
      <c r="G105" s="9" t="inlineStr">
        <is>
          <t>FAIBLE_A_MOYENNE</t>
        </is>
      </c>
      <c r="H105" s="9" t="inlineStr">
        <is>
          <t>FAIBLE</t>
        </is>
      </c>
      <c r="I105" s="9" t="inlineStr">
        <is>
          <t>MOYENNE</t>
        </is>
      </c>
      <c r="J105" s="9" t="inlineStr">
        <is>
          <t>RETRAIT_BANQUE72</t>
        </is>
      </c>
      <c r="K105" s="9" t="inlineStr"/>
      <c r="L105" s="9" t="inlineStr">
        <is>
          <t>Historique conservé ; item non nécessaire pour atteindre 12/dimension et ≥2/facette.</t>
        </is>
      </c>
      <c r="M105" s="9" t="inlineStr">
        <is>
          <t>PIP-BANK-0.3</t>
        </is>
      </c>
    </row>
    <row r="106">
      <c r="A106" s="9" t="inlineStr">
        <is>
          <t>PIP-ACT-C-C2-005</t>
        </is>
      </c>
      <c r="B106" s="9" t="inlineStr">
        <is>
          <t>C</t>
        </is>
      </c>
      <c r="C106" s="9" t="inlineStr">
        <is>
          <t>C2</t>
        </is>
      </c>
      <c r="D106" s="9" t="inlineStr">
        <is>
          <t>ACT</t>
        </is>
      </c>
      <c r="E106" s="9" t="inlineStr">
        <is>
          <t>Enregistrer avec précision des informations dans un dossier ou un système.</t>
        </is>
      </c>
      <c r="F106" s="9" t="inlineStr">
        <is>
          <t>Saisir avec précision des informations dans un dossier, une base ou un système de suivi.</t>
        </is>
      </c>
      <c r="G106" s="9" t="inlineStr">
        <is>
          <t>MOYENNE</t>
        </is>
      </c>
      <c r="H106" s="9" t="inlineStr">
        <is>
          <t>FAIBLE</t>
        </is>
      </c>
      <c r="I106" s="9" t="inlineStr">
        <is>
          <t>FORTE</t>
        </is>
      </c>
      <c r="J106" s="9" t="inlineStr">
        <is>
          <t>MAINTIEN_REECRIT</t>
        </is>
      </c>
      <c r="K106" s="9" t="inlineStr">
        <is>
          <t>Saisir avec précision des informations dans un dossier, une base ou un système de suivi.</t>
        </is>
      </c>
      <c r="L106" s="9" t="inlineStr">
        <is>
          <t>Retenu pour couverture de facette et formulation rendue directement concrète.</t>
        </is>
      </c>
      <c r="M106" s="9" t="inlineStr">
        <is>
          <t>PIP-BANK-0.4</t>
        </is>
      </c>
    </row>
    <row r="107">
      <c r="A107" s="9" t="inlineStr">
        <is>
          <t>PIP-ACT-C-C2-006</t>
        </is>
      </c>
      <c r="B107" s="9" t="inlineStr">
        <is>
          <t>C</t>
        </is>
      </c>
      <c r="C107" s="9" t="inlineStr">
        <is>
          <t>C2</t>
        </is>
      </c>
      <c r="D107" s="9" t="inlineStr">
        <is>
          <t>ACT</t>
        </is>
      </c>
      <c r="E107" s="9" t="inlineStr">
        <is>
          <t>Mettre régulièrement à jour des données pour qu’elles restent fiables.</t>
        </is>
      </c>
      <c r="F107" s="9" t="inlineStr">
        <is>
          <t>Mettre à jour régulièrement un fichier de suivi afin que les informations restent exactes et actuelles.</t>
        </is>
      </c>
      <c r="G107" s="9" t="inlineStr">
        <is>
          <t>MOYENNE</t>
        </is>
      </c>
      <c r="H107" s="9" t="inlineStr">
        <is>
          <t>FAIBLE</t>
        </is>
      </c>
      <c r="I107" s="9" t="inlineStr">
        <is>
          <t>FORTE</t>
        </is>
      </c>
      <c r="J107" s="9" t="inlineStr">
        <is>
          <t>MAINTIEN_REECRIT</t>
        </is>
      </c>
      <c r="K107" s="9" t="inlineStr">
        <is>
          <t>Mettre à jour régulièrement un fichier de suivi afin que les informations restent exactes et actuelles.</t>
        </is>
      </c>
      <c r="L107" s="9" t="inlineStr">
        <is>
          <t>Retenu pour couverture de facette et formulation rendue directement concrète.</t>
        </is>
      </c>
      <c r="M107" s="9" t="inlineStr">
        <is>
          <t>PIP-BANK-0.4</t>
        </is>
      </c>
    </row>
    <row r="108">
      <c r="A108" s="9" t="inlineStr">
        <is>
          <t>PIP-SIT-C-C2-007</t>
        </is>
      </c>
      <c r="B108" s="9" t="inlineStr">
        <is>
          <t>C</t>
        </is>
      </c>
      <c r="C108" s="9" t="inlineStr">
        <is>
          <t>C2</t>
        </is>
      </c>
      <c r="D108" s="9" t="inlineStr">
        <is>
          <t>SIT</t>
        </is>
      </c>
      <c r="E108" s="9" t="inlineStr">
        <is>
          <t>Reprendre un ensemble d’informations incomplètes et les mettre à jour de manière méthodique.</t>
        </is>
      </c>
      <c r="F108" s="9" t="inlineStr">
        <is>
          <t>Reprendre un dossier contenant des informations manquantes, les compléter et vérifier qu’il est à jour.</t>
        </is>
      </c>
      <c r="G108" s="9" t="inlineStr">
        <is>
          <t>FAIBLE_A_MOYENNE</t>
        </is>
      </c>
      <c r="H108" s="9" t="inlineStr">
        <is>
          <t>FAIBLE</t>
        </is>
      </c>
      <c r="I108" s="9" t="inlineStr">
        <is>
          <t>FORTE</t>
        </is>
      </c>
      <c r="J108" s="9" t="inlineStr">
        <is>
          <t>MAINTIEN_REECRIT</t>
        </is>
      </c>
      <c r="K108" s="9" t="inlineStr">
        <is>
          <t>Reprendre un dossier contenant des informations manquantes, les compléter et vérifier qu’il est à jour.</t>
        </is>
      </c>
      <c r="L108" s="9" t="inlineStr">
        <is>
          <t>Retenu pour couverture de facette et formulation rendue directement concrète.</t>
        </is>
      </c>
      <c r="M108" s="9" t="inlineStr">
        <is>
          <t>PIP-BANK-0.4</t>
        </is>
      </c>
    </row>
    <row r="109">
      <c r="A109" s="9" t="inlineStr">
        <is>
          <t>PIP-ENV-C-C2-008</t>
        </is>
      </c>
      <c r="B109" s="9" t="inlineStr">
        <is>
          <t>C</t>
        </is>
      </c>
      <c r="C109" s="9" t="inlineStr">
        <is>
          <t>C2</t>
        </is>
      </c>
      <c r="D109" s="9" t="inlineStr">
        <is>
          <t>ENV</t>
        </is>
      </c>
      <c r="E109" s="9" t="inlineStr">
        <is>
          <t>Évoluer dans un contexte où la tenue à jour et la traçabilité des informations occupent une place importante.</t>
        </is>
      </c>
      <c r="F109" s="9" t="inlineStr">
        <is>
          <t>Évoluer dans un environnement où la tenue à jour et la traçabilité des informations sont essentielles.</t>
        </is>
      </c>
      <c r="G109" s="9" t="inlineStr">
        <is>
          <t>FAIBLE_A_MOYENNE</t>
        </is>
      </c>
      <c r="H109" s="9" t="inlineStr">
        <is>
          <t>FAIBLE</t>
        </is>
      </c>
      <c r="I109" s="9" t="inlineStr">
        <is>
          <t>MOYENNE</t>
        </is>
      </c>
      <c r="J109" s="9" t="inlineStr">
        <is>
          <t>RETRAIT_BANQUE72</t>
        </is>
      </c>
      <c r="K109" s="9" t="inlineStr"/>
      <c r="L109" s="9" t="inlineStr">
        <is>
          <t>Historique conservé ; item non nécessaire pour atteindre 12/dimension et ≥2/facette.</t>
        </is>
      </c>
      <c r="M109" s="9" t="inlineStr">
        <is>
          <t>PIP-BANK-0.3</t>
        </is>
      </c>
    </row>
    <row r="110">
      <c r="A110" s="9" t="inlineStr">
        <is>
          <t>PIP-ACT-C-C3-009</t>
        </is>
      </c>
      <c r="B110" s="9" t="inlineStr">
        <is>
          <t>C</t>
        </is>
      </c>
      <c r="C110" s="9" t="inlineStr">
        <is>
          <t>C3</t>
        </is>
      </c>
      <c r="D110" s="9" t="inlineStr">
        <is>
          <t>ACT</t>
        </is>
      </c>
      <c r="E110" s="9" t="inlineStr">
        <is>
          <t>Vérifier l’exactitude d’informations avant qu’elles soient utilisées.</t>
        </is>
      </c>
      <c r="F110" s="9" t="inlineStr">
        <is>
          <t>Contrôler des informations avant leur utilisation afin de vérifier qu’elles sont exactes et complètes.</t>
        </is>
      </c>
      <c r="G110" s="9" t="inlineStr">
        <is>
          <t>MOYENNE</t>
        </is>
      </c>
      <c r="H110" s="9" t="inlineStr">
        <is>
          <t>FAIBLE</t>
        </is>
      </c>
      <c r="I110" s="9" t="inlineStr">
        <is>
          <t>FORTE</t>
        </is>
      </c>
      <c r="J110" s="9" t="inlineStr">
        <is>
          <t>MAINTIEN_REECRIT</t>
        </is>
      </c>
      <c r="K110" s="9" t="inlineStr">
        <is>
          <t>Contrôler des informations avant leur utilisation afin de vérifier qu’elles sont exactes et complètes.</t>
        </is>
      </c>
      <c r="L110" s="9" t="inlineStr">
        <is>
          <t>Retenu pour couverture de facette et formulation rendue directement concrète.</t>
        </is>
      </c>
      <c r="M110" s="9" t="inlineStr">
        <is>
          <t>PIP-BANK-0.4</t>
        </is>
      </c>
    </row>
    <row r="111">
      <c r="A111" s="9" t="inlineStr">
        <is>
          <t>PIP-ACT-C-C3-010</t>
        </is>
      </c>
      <c r="B111" s="9" t="inlineStr">
        <is>
          <t>C</t>
        </is>
      </c>
      <c r="C111" s="9" t="inlineStr">
        <is>
          <t>C3</t>
        </is>
      </c>
      <c r="D111" s="9" t="inlineStr">
        <is>
          <t>ACT</t>
        </is>
      </c>
      <c r="E111" s="9" t="inlineStr">
        <is>
          <t>Comparer plusieurs données pour repérer une erreur ou une incohérence.</t>
        </is>
      </c>
      <c r="F111" s="9" t="inlineStr">
        <is>
          <t>Comparer des données entre plusieurs documents pour repérer une erreur, un écart ou une incohérence.</t>
        </is>
      </c>
      <c r="G111" s="9" t="inlineStr">
        <is>
          <t>MOYENNE</t>
        </is>
      </c>
      <c r="H111" s="9" t="inlineStr">
        <is>
          <t>A_SURVEILLER</t>
        </is>
      </c>
      <c r="I111" s="9" t="inlineStr">
        <is>
          <t>FORTE</t>
        </is>
      </c>
      <c r="J111" s="9" t="inlineStr">
        <is>
          <t>MAINTIEN_REECRIT</t>
        </is>
      </c>
      <c r="K111" s="9" t="inlineStr">
        <is>
          <t>Comparer des données entre plusieurs documents pour repérer une erreur, un écart ou une incohérence.</t>
        </is>
      </c>
      <c r="L111" s="9" t="inlineStr">
        <is>
          <t>Retenu pour couverture de facette et formulation rendue directement concrète.</t>
        </is>
      </c>
      <c r="M111" s="9" t="inlineStr">
        <is>
          <t>PIP-BANK-0.4</t>
        </is>
      </c>
    </row>
    <row r="112">
      <c r="A112" s="9" t="inlineStr">
        <is>
          <t>PIP-SIT-C-C3-011</t>
        </is>
      </c>
      <c r="B112" s="9" t="inlineStr">
        <is>
          <t>C</t>
        </is>
      </c>
      <c r="C112" s="9" t="inlineStr">
        <is>
          <t>C3</t>
        </is>
      </c>
      <c r="D112" s="9" t="inlineStr">
        <is>
          <t>SIT</t>
        </is>
      </c>
      <c r="E112" s="9" t="inlineStr">
        <is>
          <t>Contrôler un dossier afin de s’assurer que toutes les informations nécessaires sont présentes et exactes.</t>
        </is>
      </c>
      <c r="F112" s="9" t="inlineStr">
        <is>
          <t>Vérifier méthodiquement un dossier avant validation pour s’assurer qu’aucune information nécessaire ne manque.</t>
        </is>
      </c>
      <c r="G112" s="9" t="inlineStr">
        <is>
          <t>FAIBLE_A_MOYENNE</t>
        </is>
      </c>
      <c r="H112" s="9" t="inlineStr">
        <is>
          <t>FAIBLE</t>
        </is>
      </c>
      <c r="I112" s="9" t="inlineStr">
        <is>
          <t>FORTE</t>
        </is>
      </c>
      <c r="J112" s="9" t="inlineStr">
        <is>
          <t>RETRAIT_BANQUE72</t>
        </is>
      </c>
      <c r="K112" s="9" t="inlineStr"/>
      <c r="L112" s="9" t="inlineStr">
        <is>
          <t>Historique conservé ; item non nécessaire pour atteindre 12/dimension et ≥2/facette.</t>
        </is>
      </c>
      <c r="M112" s="9" t="inlineStr">
        <is>
          <t>PIP-BANK-0.3</t>
        </is>
      </c>
    </row>
    <row r="113">
      <c r="A113" s="9" t="inlineStr">
        <is>
          <t>PIP-ENV-C-C3-012</t>
        </is>
      </c>
      <c r="B113" s="9" t="inlineStr">
        <is>
          <t>C</t>
        </is>
      </c>
      <c r="C113" s="9" t="inlineStr">
        <is>
          <t>C3</t>
        </is>
      </c>
      <c r="D113" s="9" t="inlineStr">
        <is>
          <t>ENV</t>
        </is>
      </c>
      <c r="E113" s="9" t="inlineStr">
        <is>
          <t>Travailler dans un contexte où la fiabilité des données et les vérifications régulières sont importantes.</t>
        </is>
      </c>
      <c r="F113" s="9" t="inlineStr">
        <is>
          <t>Travailler dans un contexte où les contrôles de cohérence et la fiabilité des données sont réalisés régulièrement.</t>
        </is>
      </c>
      <c r="G113" s="9" t="inlineStr">
        <is>
          <t>FAIBLE_A_MOYENNE</t>
        </is>
      </c>
      <c r="H113" s="9" t="inlineStr">
        <is>
          <t>FAIBLE</t>
        </is>
      </c>
      <c r="I113" s="9" t="inlineStr">
        <is>
          <t>MOYENNE</t>
        </is>
      </c>
      <c r="J113" s="9" t="inlineStr">
        <is>
          <t>RETRAIT_BANQUE72</t>
        </is>
      </c>
      <c r="K113" s="9" t="inlineStr"/>
      <c r="L113" s="9" t="inlineStr">
        <is>
          <t>Historique conservé ; item non nécessaire pour atteindre 12/dimension et ≥2/facette.</t>
        </is>
      </c>
      <c r="M113" s="9" t="inlineStr">
        <is>
          <t>PIP-BANK-0.3</t>
        </is>
      </c>
    </row>
    <row r="114">
      <c r="A114" s="9" t="inlineStr">
        <is>
          <t>PIP-ACT-C-C4-013</t>
        </is>
      </c>
      <c r="B114" s="9" t="inlineStr">
        <is>
          <t>C</t>
        </is>
      </c>
      <c r="C114" s="9" t="inlineStr">
        <is>
          <t>C4</t>
        </is>
      </c>
      <c r="D114" s="9" t="inlineStr">
        <is>
          <t>ACT</t>
        </is>
      </c>
      <c r="E114" s="9" t="inlineStr">
        <is>
          <t>Suivre une procédure définie pour réaliser une opération de façon conforme.</t>
        </is>
      </c>
      <c r="F114" s="9" t="inlineStr">
        <is>
          <t>Réaliser une opération en suivant une procédure précise afin de respecter les règles prévues.</t>
        </is>
      </c>
      <c r="G114" s="9" t="inlineStr">
        <is>
          <t>MOYENNE</t>
        </is>
      </c>
      <c r="H114" s="9" t="inlineStr">
        <is>
          <t>FAIBLE</t>
        </is>
      </c>
      <c r="I114" s="9" t="inlineStr">
        <is>
          <t>FORTE</t>
        </is>
      </c>
      <c r="J114" s="9" t="inlineStr">
        <is>
          <t>MAINTIEN_REECRIT</t>
        </is>
      </c>
      <c r="K114" s="9" t="inlineStr">
        <is>
          <t>Réaliser une opération en suivant une procédure précise afin de respecter les règles prévues.</t>
        </is>
      </c>
      <c r="L114" s="9" t="inlineStr">
        <is>
          <t>Retenu pour couverture de facette et formulation rendue directement concrète.</t>
        </is>
      </c>
      <c r="M114" s="9" t="inlineStr">
        <is>
          <t>PIP-BANK-0.4</t>
        </is>
      </c>
    </row>
    <row r="115">
      <c r="A115" s="9" t="inlineStr">
        <is>
          <t>PIP-ACT-C-C4-014</t>
        </is>
      </c>
      <c r="B115" s="9" t="inlineStr">
        <is>
          <t>C</t>
        </is>
      </c>
      <c r="C115" s="9" t="inlineStr">
        <is>
          <t>C4</t>
        </is>
      </c>
      <c r="D115" s="9" t="inlineStr">
        <is>
          <t>ACT</t>
        </is>
      </c>
      <c r="E115" s="9" t="inlineStr">
        <is>
          <t>Vérifier qu’une activité respecte des règles ou des critères précis.</t>
        </is>
      </c>
      <c r="F115" s="9" t="inlineStr">
        <is>
          <t>Contrôler qu’une opération, un dossier ou une activité respecte les critères et règles applicables.</t>
        </is>
      </c>
      <c r="G115" s="9" t="inlineStr">
        <is>
          <t>MOYENNE</t>
        </is>
      </c>
      <c r="H115" s="9" t="inlineStr">
        <is>
          <t>FAIBLE</t>
        </is>
      </c>
      <c r="I115" s="9" t="inlineStr">
        <is>
          <t>FORTE</t>
        </is>
      </c>
      <c r="J115" s="9" t="inlineStr">
        <is>
          <t>MAINTIEN_REECRIT</t>
        </is>
      </c>
      <c r="K115" s="9" t="inlineStr">
        <is>
          <t>Contrôler qu’une opération, un dossier ou une activité respecte les critères et règles applicables.</t>
        </is>
      </c>
      <c r="L115" s="9" t="inlineStr">
        <is>
          <t>Retenu pour couverture de facette et formulation rendue directement concrète.</t>
        </is>
      </c>
      <c r="M115" s="9" t="inlineStr">
        <is>
          <t>PIP-BANK-0.4</t>
        </is>
      </c>
    </row>
    <row r="116">
      <c r="A116" s="9" t="inlineStr">
        <is>
          <t>PIP-SIT-C-C4-015</t>
        </is>
      </c>
      <c r="B116" s="9" t="inlineStr">
        <is>
          <t>C</t>
        </is>
      </c>
      <c r="C116" s="9" t="inlineStr">
        <is>
          <t>C4</t>
        </is>
      </c>
      <c r="D116" s="9" t="inlineStr">
        <is>
          <t>SIT</t>
        </is>
      </c>
      <c r="E116" s="9" t="inlineStr">
        <is>
          <t>Traiter une situation en appliquant méthodiquement les règles prévues pour ce type de cas.</t>
        </is>
      </c>
      <c r="F116" s="9" t="inlineStr">
        <is>
          <t>Traiter un cas en suivant méthodiquement les étapes prévues par la procédure correspondante.</t>
        </is>
      </c>
      <c r="G116" s="9" t="inlineStr">
        <is>
          <t>FAIBLE_A_MOYENNE</t>
        </is>
      </c>
      <c r="H116" s="9" t="inlineStr">
        <is>
          <t>FAIBLE</t>
        </is>
      </c>
      <c r="I116" s="9" t="inlineStr">
        <is>
          <t>FORTE</t>
        </is>
      </c>
      <c r="J116" s="9" t="inlineStr">
        <is>
          <t>RETRAIT_BANQUE72</t>
        </is>
      </c>
      <c r="K116" s="9" t="inlineStr"/>
      <c r="L116" s="9" t="inlineStr">
        <is>
          <t>Historique conservé ; item non nécessaire pour atteindre 12/dimension et ≥2/facette.</t>
        </is>
      </c>
      <c r="M116" s="9" t="inlineStr">
        <is>
          <t>PIP-BANK-0.3</t>
        </is>
      </c>
    </row>
    <row r="117">
      <c r="A117" s="9" t="inlineStr">
        <is>
          <t>PIP-ENV-C-C4-016</t>
        </is>
      </c>
      <c r="B117" s="9" t="inlineStr">
        <is>
          <t>C</t>
        </is>
      </c>
      <c r="C117" s="9" t="inlineStr">
        <is>
          <t>C4</t>
        </is>
      </c>
      <c r="D117" s="9" t="inlineStr">
        <is>
          <t>ENV</t>
        </is>
      </c>
      <c r="E117" s="9" t="inlineStr">
        <is>
          <t>Évoluer dans un contexte où des procédures et des normes claires permettent de sécuriser le travail.</t>
        </is>
      </c>
      <c r="F117" s="9" t="inlineStr">
        <is>
          <t>Évoluer dans un environnement où des procédures et des normes explicites servent à sécuriser le travail.</t>
        </is>
      </c>
      <c r="G117" s="9" t="inlineStr">
        <is>
          <t>FAIBLE_A_MOYENNE</t>
        </is>
      </c>
      <c r="H117" s="9" t="inlineStr">
        <is>
          <t>FAIBLE</t>
        </is>
      </c>
      <c r="I117" s="9" t="inlineStr">
        <is>
          <t>MOYENNE</t>
        </is>
      </c>
      <c r="J117" s="9" t="inlineStr">
        <is>
          <t>RETRAIT_BANQUE72</t>
        </is>
      </c>
      <c r="K117" s="9" t="inlineStr"/>
      <c r="L117" s="9" t="inlineStr">
        <is>
          <t>Historique conservé ; item non nécessaire pour atteindre 12/dimension et ≥2/facette.</t>
        </is>
      </c>
      <c r="M117" s="9" t="inlineStr">
        <is>
          <t>PIP-BANK-0.3</t>
        </is>
      </c>
    </row>
    <row r="118">
      <c r="A118" s="9" t="inlineStr">
        <is>
          <t>PIP-ACT-C-C5-017</t>
        </is>
      </c>
      <c r="B118" s="9" t="inlineStr">
        <is>
          <t>C</t>
        </is>
      </c>
      <c r="C118" s="9" t="inlineStr">
        <is>
          <t>C5</t>
        </is>
      </c>
      <c r="D118" s="9" t="inlineStr">
        <is>
          <t>ACT</t>
        </is>
      </c>
      <c r="E118" s="9" t="inlineStr">
        <is>
          <t>Suivre l’avancement d’un dossier jusqu’à sa clôture.</t>
        </is>
      </c>
      <c r="F118" s="9" t="inlineStr">
        <is>
          <t>Suivre un dossier depuis son ouverture jusqu’à sa clôture en vérifiant que chaque étape est réalisée.</t>
        </is>
      </c>
      <c r="G118" s="9" t="inlineStr">
        <is>
          <t>MOYENNE</t>
        </is>
      </c>
      <c r="H118" s="9" t="inlineStr">
        <is>
          <t>FAIBLE</t>
        </is>
      </c>
      <c r="I118" s="9" t="inlineStr">
        <is>
          <t>FORTE</t>
        </is>
      </c>
      <c r="J118" s="9" t="inlineStr">
        <is>
          <t>MAINTIEN_REECRIT</t>
        </is>
      </c>
      <c r="K118" s="9" t="inlineStr">
        <is>
          <t>Suivre un dossier depuis son ouverture jusqu’à sa clôture en vérifiant que chaque étape est réalisée.</t>
        </is>
      </c>
      <c r="L118" s="9" t="inlineStr">
        <is>
          <t>Retenu pour couverture de facette et formulation rendue directement concrète.</t>
        </is>
      </c>
      <c r="M118" s="9" t="inlineStr">
        <is>
          <t>PIP-BANK-0.4</t>
        </is>
      </c>
    </row>
    <row r="119">
      <c r="A119" s="9" t="inlineStr">
        <is>
          <t>PIP-ACT-C-C5-018</t>
        </is>
      </c>
      <c r="B119" s="9" t="inlineStr">
        <is>
          <t>C</t>
        </is>
      </c>
      <c r="C119" s="9" t="inlineStr">
        <is>
          <t>C5</t>
        </is>
      </c>
      <c r="D119" s="9" t="inlineStr">
        <is>
          <t>ACT</t>
        </is>
      </c>
      <c r="E119" s="9" t="inlineStr">
        <is>
          <t>Planifier et suivre des échéances pour que plusieurs opérations soient réalisées au bon moment.</t>
        </is>
      </c>
      <c r="F119" s="9" t="inlineStr">
        <is>
          <t>Planifier plusieurs échéances et vérifier régulièrement que les opérations prévues sont réalisées au bon moment.</t>
        </is>
      </c>
      <c r="G119" s="9" t="inlineStr">
        <is>
          <t>MOYENNE</t>
        </is>
      </c>
      <c r="H119" s="9" t="inlineStr">
        <is>
          <t>A_SURVEILLER</t>
        </is>
      </c>
      <c r="I119" s="9" t="inlineStr">
        <is>
          <t>FORTE</t>
        </is>
      </c>
      <c r="J119" s="9" t="inlineStr">
        <is>
          <t>MAINTIEN_REECRIT</t>
        </is>
      </c>
      <c r="K119" s="9" t="inlineStr">
        <is>
          <t>Planifier plusieurs échéances et vérifier régulièrement que les opérations prévues sont réalisées au bon moment.</t>
        </is>
      </c>
      <c r="L119" s="9" t="inlineStr">
        <is>
          <t>Retenu pour couverture de facette et formulation rendue directement concrète.</t>
        </is>
      </c>
      <c r="M119" s="9" t="inlineStr">
        <is>
          <t>PIP-BANK-0.4</t>
        </is>
      </c>
    </row>
    <row r="120">
      <c r="A120" s="9" t="inlineStr">
        <is>
          <t>PIP-SIT-C-C5-019</t>
        </is>
      </c>
      <c r="B120" s="9" t="inlineStr">
        <is>
          <t>C</t>
        </is>
      </c>
      <c r="C120" s="9" t="inlineStr">
        <is>
          <t>C5</t>
        </is>
      </c>
      <c r="D120" s="9" t="inlineStr">
        <is>
          <t>SIT</t>
        </is>
      </c>
      <c r="E120" s="9" t="inlineStr">
        <is>
          <t>Gérer plusieurs dossiers en parallèle en veillant à ce qu’aucune étape ou échéance ne soit oubliée.</t>
        </is>
      </c>
      <c r="F120" s="9" t="inlineStr">
        <is>
          <t>Gérer plusieurs dossiers en parallèle avec un suivi précis des étapes et des dates à respecter.</t>
        </is>
      </c>
      <c r="G120" s="9" t="inlineStr">
        <is>
          <t>FAIBLE_A_MOYENNE</t>
        </is>
      </c>
      <c r="H120" s="9" t="inlineStr">
        <is>
          <t>FAIBLE</t>
        </is>
      </c>
      <c r="I120" s="9" t="inlineStr">
        <is>
          <t>FORTE</t>
        </is>
      </c>
      <c r="J120" s="9" t="inlineStr">
        <is>
          <t>RETRAIT_BANQUE72</t>
        </is>
      </c>
      <c r="K120" s="9" t="inlineStr"/>
      <c r="L120" s="9" t="inlineStr">
        <is>
          <t>Historique conservé ; item non nécessaire pour atteindre 12/dimension et ≥2/facette.</t>
        </is>
      </c>
      <c r="M120" s="9" t="inlineStr">
        <is>
          <t>PIP-BANK-0.3</t>
        </is>
      </c>
    </row>
    <row r="121">
      <c r="A121" s="9" t="inlineStr">
        <is>
          <t>PIP-ENV-C-C5-020</t>
        </is>
      </c>
      <c r="B121" s="9" t="inlineStr">
        <is>
          <t>C</t>
        </is>
      </c>
      <c r="C121" s="9" t="inlineStr">
        <is>
          <t>C5</t>
        </is>
      </c>
      <c r="D121" s="9" t="inlineStr">
        <is>
          <t>ENV</t>
        </is>
      </c>
      <c r="E121" s="9" t="inlineStr">
        <is>
          <t>Travailler dans un contexte où l’on assure un suivi régulier de dossiers, de données ou d’opérations jusqu’à leur aboutissement.</t>
        </is>
      </c>
      <c r="F121" s="9" t="inlineStr">
        <is>
          <t>Travailler dans un contexte où l’on suit méthodiquement dossiers, données ou opérations jusqu’à leur aboutissement.</t>
        </is>
      </c>
      <c r="G121" s="9" t="inlineStr">
        <is>
          <t>FAIBLE_A_MOYENNE</t>
        </is>
      </c>
      <c r="H121" s="9" t="inlineStr">
        <is>
          <t>FAIBLE</t>
        </is>
      </c>
      <c r="I121" s="9" t="inlineStr">
        <is>
          <t>MOYENNE</t>
        </is>
      </c>
      <c r="J121" s="9" t="inlineStr">
        <is>
          <t>RETRAIT_BANQUE72</t>
        </is>
      </c>
      <c r="K121" s="9" t="inlineStr"/>
      <c r="L121" s="9" t="inlineStr">
        <is>
          <t>Historique conservé ; item non nécessaire pour atteindre 12/dimension et ≥2/facette.</t>
        </is>
      </c>
      <c r="M121" s="9" t="inlineStr">
        <is>
          <t>PIP-BANK-0.3</t>
        </is>
      </c>
    </row>
  </sheetData>
  <autoFilter ref="A1:M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J3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42" customWidth="1" style="34" min="1" max="1"/>
    <col width="11" customWidth="1" style="34" min="2" max="2"/>
    <col width="15" customWidth="1" style="34" min="3" max="3"/>
    <col width="42" customWidth="1" style="34" min="4" max="9"/>
    <col width="10" customWidth="1" style="34" min="10" max="10"/>
  </cols>
  <sheetData>
    <row r="1" ht="25.95" customHeight="1" s="34">
      <c r="A1" s="35" t="inlineStr">
        <is>
          <t>DIMENSIONS &amp; FACETTES RIASEC</t>
        </is>
      </c>
    </row>
    <row r="2" ht="30" customHeight="1" s="34">
      <c r="A2" s="33" t="inlineStr">
        <is>
          <t>6 dimensions / 30 facettes — référentiel V1.0</t>
        </is>
      </c>
    </row>
    <row r="4" ht="30" customHeight="1" s="34">
      <c r="A4" s="1" t="inlineStr">
        <is>
          <t>facette_id</t>
        </is>
      </c>
      <c r="B4" s="1" t="inlineStr">
        <is>
          <t>dimension</t>
        </is>
      </c>
      <c r="C4" s="1" t="inlineStr">
        <is>
          <t>dimension_nom</t>
        </is>
      </c>
      <c r="D4" s="1" t="inlineStr">
        <is>
          <t>facette_nom</t>
        </is>
      </c>
      <c r="E4" s="1" t="inlineStr">
        <is>
          <t>definition_dimension</t>
        </is>
      </c>
      <c r="F4" s="1" t="inlineStr">
        <is>
          <t>noyau_dimension</t>
        </is>
      </c>
      <c r="G4" s="1" t="inlineStr">
        <is>
          <t>ce_que_le_score_ne_mesure_pas</t>
        </is>
      </c>
      <c r="H4" s="1" t="inlineStr">
        <is>
          <t>description_facette</t>
        </is>
      </c>
      <c r="I4" s="1" t="inlineStr">
        <is>
          <t>verbes_indicatifs</t>
        </is>
      </c>
      <c r="J4" s="1" t="inlineStr">
        <is>
          <t>statut</t>
        </is>
      </c>
    </row>
    <row r="5" ht="86.40000000000001" customHeight="1" s="34">
      <c r="A5" s="4" t="inlineStr">
        <is>
          <t>R1</t>
        </is>
      </c>
      <c r="B5" s="4" t="inlineStr">
        <is>
          <t>R</t>
        </is>
      </c>
      <c r="C5" s="4" t="inlineStr">
        <is>
          <t>Réaliste</t>
        </is>
      </c>
      <c r="D5" s="4" t="inlineStr">
        <is>
          <t>Construire / fabriquer / transformer</t>
        </is>
      </c>
      <c r="E5" s="4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5" s="4" t="inlineStr">
        <is>
          <t>Action concrète sur le réel et résultat tangible.</t>
        </is>
      </c>
      <c r="G5" s="4" t="inlineStr">
        <is>
          <t>Ni dextérité, ni niveau technique, ni goût exclusif pour le travail manuel.</t>
        </is>
      </c>
      <c r="H5" s="4" t="inlineStr">
        <is>
          <t>Création ou transformation concrète d’objets, structures ou matières.</t>
        </is>
      </c>
      <c r="I5" s="4" t="inlineStr">
        <is>
          <t>Assembler, fabriquer, construire, façonner, transformer</t>
        </is>
      </c>
      <c r="J5" s="6" t="inlineStr">
        <is>
          <t>ACTIF</t>
        </is>
      </c>
    </row>
    <row r="6" ht="86.40000000000001" customHeight="1" s="34">
      <c r="A6" s="4" t="inlineStr">
        <is>
          <t>R2</t>
        </is>
      </c>
      <c r="B6" s="4" t="inlineStr">
        <is>
          <t>R</t>
        </is>
      </c>
      <c r="C6" s="4" t="inlineStr">
        <is>
          <t>Réaliste</t>
        </is>
      </c>
      <c r="D6" s="4" t="inlineStr">
        <is>
          <t>Installer / réparer / maintenir</t>
        </is>
      </c>
      <c r="E6" s="4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6" s="4" t="inlineStr">
        <is>
          <t>Action concrète sur le réel et résultat tangible.</t>
        </is>
      </c>
      <c r="G6" s="4" t="inlineStr">
        <is>
          <t>Ni dextérité, ni niveau technique, ni goût exclusif pour le travail manuel.</t>
        </is>
      </c>
      <c r="H6" s="4" t="inlineStr">
        <is>
          <t>Diagnostic pratique suivi d’une intervention concrète visant le fonctionnement.</t>
        </is>
      </c>
      <c r="I6" s="4" t="inlineStr">
        <is>
          <t>Installer, régler, réparer, entretenir, remettre en service</t>
        </is>
      </c>
      <c r="J6" s="6" t="inlineStr">
        <is>
          <t>ACTIF</t>
        </is>
      </c>
    </row>
    <row r="7" ht="86.40000000000001" customHeight="1" s="34">
      <c r="A7" s="4" t="inlineStr">
        <is>
          <t>R3</t>
        </is>
      </c>
      <c r="B7" s="4" t="inlineStr">
        <is>
          <t>R</t>
        </is>
      </c>
      <c r="C7" s="4" t="inlineStr">
        <is>
          <t>Réaliste</t>
        </is>
      </c>
      <c r="D7" s="4" t="inlineStr">
        <is>
          <t>Outils / machines / équipements</t>
        </is>
      </c>
      <c r="E7" s="4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7" s="4" t="inlineStr">
        <is>
          <t>Action concrète sur le réel et résultat tangible.</t>
        </is>
      </c>
      <c r="G7" s="4" t="inlineStr">
        <is>
          <t>Ni dextérité, ni niveau technique, ni goût exclusif pour le travail manuel.</t>
        </is>
      </c>
      <c r="H7" s="4" t="inlineStr">
        <is>
          <t>Usage direct d’outils, machines, instruments ou équipements techniques.</t>
        </is>
      </c>
      <c r="I7" s="4" t="inlineStr">
        <is>
          <t>Manipuler, piloter, régler, utiliser un équipement</t>
        </is>
      </c>
      <c r="J7" s="6" t="inlineStr">
        <is>
          <t>ACTIF</t>
        </is>
      </c>
    </row>
    <row r="8" ht="86.40000000000001" customHeight="1" s="34">
      <c r="A8" s="4" t="inlineStr">
        <is>
          <t>R4</t>
        </is>
      </c>
      <c r="B8" s="4" t="inlineStr">
        <is>
          <t>R</t>
        </is>
      </c>
      <c r="C8" s="4" t="inlineStr">
        <is>
          <t>Réaliste</t>
        </is>
      </c>
      <c r="D8" s="4" t="inlineStr">
        <is>
          <t>Terrain / environnement concret</t>
        </is>
      </c>
      <c r="E8" s="4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8" s="4" t="inlineStr">
        <is>
          <t>Action concrète sur le réel et résultat tangible.</t>
        </is>
      </c>
      <c r="G8" s="4" t="inlineStr">
        <is>
          <t>Ni dextérité, ni niveau technique, ni goût exclusif pour le travail manuel.</t>
        </is>
      </c>
      <c r="H8" s="4" t="inlineStr">
        <is>
          <t>Action dans des contextes physiques, extérieurs ou directement liés à un environnement réel.</t>
        </is>
      </c>
      <c r="I8" s="4" t="inlineStr">
        <is>
          <t>Intervenir sur site, travailler dehors, se déplacer sur le terrain</t>
        </is>
      </c>
      <c r="J8" s="6" t="inlineStr">
        <is>
          <t>ACTIF</t>
        </is>
      </c>
    </row>
    <row r="9" ht="86.40000000000001" customHeight="1" s="34">
      <c r="A9" s="4" t="inlineStr">
        <is>
          <t>R5</t>
        </is>
      </c>
      <c r="B9" s="4" t="inlineStr">
        <is>
          <t>R</t>
        </is>
      </c>
      <c r="C9" s="4" t="inlineStr">
        <is>
          <t>Réaliste</t>
        </is>
      </c>
      <c r="D9" s="4" t="inlineStr">
        <is>
          <t>Vivant / matière / action physique</t>
        </is>
      </c>
      <c r="E9" s="4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9" s="4" t="inlineStr">
        <is>
          <t>Action concrète sur le réel et résultat tangible.</t>
        </is>
      </c>
      <c r="G9" s="4" t="inlineStr">
        <is>
          <t>Ni dextérité, ni niveau technique, ni goût exclusif pour le travail manuel.</t>
        </is>
      </c>
      <c r="H9" s="4" t="inlineStr">
        <is>
          <t>Activités pratiques impliquant plantes, animaux, matière, effort corporel ou intervention physique finalisée.</t>
        </is>
      </c>
      <c r="I9" s="4" t="inlineStr">
        <is>
          <t>S’occuper d’animaux ou cultures, manipuler des matériaux</t>
        </is>
      </c>
      <c r="J9" s="6" t="inlineStr">
        <is>
          <t>ACTIF</t>
        </is>
      </c>
    </row>
    <row r="10" ht="86.40000000000001" customHeight="1" s="34">
      <c r="A10" s="4" t="inlineStr">
        <is>
          <t>I1</t>
        </is>
      </c>
      <c r="B10" s="4" t="inlineStr">
        <is>
          <t>I</t>
        </is>
      </c>
      <c r="C10" s="4" t="inlineStr">
        <is>
          <t>Investigateur</t>
        </is>
      </c>
      <c r="D10" s="4" t="inlineStr">
        <is>
          <t>Observer / examiner</t>
        </is>
      </c>
      <c r="E10" s="4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10" s="4" t="inlineStr">
        <is>
          <t>Comprendre, rechercher, expliquer et résoudre.</t>
        </is>
      </c>
      <c r="G10" s="4" t="inlineStr">
        <is>
          <t>Ni intelligence, ni niveau scolaire, ni étiquette de scientifique.</t>
        </is>
      </c>
      <c r="H10" s="4" t="inlineStr">
        <is>
          <t>Examen attentif de faits, phénomènes, informations ou situations.</t>
        </is>
      </c>
      <c r="I10" s="4" t="inlineStr">
        <is>
          <t>Observer, examiner, comparer, repérer, documenter</t>
        </is>
      </c>
      <c r="J10" s="6" t="inlineStr">
        <is>
          <t>ACTIF</t>
        </is>
      </c>
    </row>
    <row r="11" ht="86.40000000000001" customHeight="1" s="34">
      <c r="A11" s="4" t="inlineStr">
        <is>
          <t>I2</t>
        </is>
      </c>
      <c r="B11" s="4" t="inlineStr">
        <is>
          <t>I</t>
        </is>
      </c>
      <c r="C11" s="4" t="inlineStr">
        <is>
          <t>Investigateur</t>
        </is>
      </c>
      <c r="D11" s="4" t="inlineStr">
        <is>
          <t>Analyser / raisonner</t>
        </is>
      </c>
      <c r="E11" s="4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11" s="4" t="inlineStr">
        <is>
          <t>Comprendre, rechercher, expliquer et résoudre.</t>
        </is>
      </c>
      <c r="G11" s="4" t="inlineStr">
        <is>
          <t>Ni intelligence, ni niveau scolaire, ni étiquette de scientifique.</t>
        </is>
      </c>
      <c r="H11" s="4" t="inlineStr">
        <is>
          <t>Décomposition d’un problème et mise en relation d’informations.</t>
        </is>
      </c>
      <c r="I11" s="4" t="inlineStr">
        <is>
          <t>Analyser, relier, déduire, interpréter, modéliser</t>
        </is>
      </c>
      <c r="J11" s="6" t="inlineStr">
        <is>
          <t>ACTIF</t>
        </is>
      </c>
    </row>
    <row r="12" ht="86.40000000000001" customHeight="1" s="34">
      <c r="A12" s="4" t="inlineStr">
        <is>
          <t>I3</t>
        </is>
      </c>
      <c r="B12" s="4" t="inlineStr">
        <is>
          <t>I</t>
        </is>
      </c>
      <c r="C12" s="4" t="inlineStr">
        <is>
          <t>Investigateur</t>
        </is>
      </c>
      <c r="D12" s="4" t="inlineStr">
        <is>
          <t>Rechercher / enquêter</t>
        </is>
      </c>
      <c r="E12" s="4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12" s="4" t="inlineStr">
        <is>
          <t>Comprendre, rechercher, expliquer et résoudre.</t>
        </is>
      </c>
      <c r="G12" s="4" t="inlineStr">
        <is>
          <t>Ni intelligence, ni niveau scolaire, ni étiquette de scientifique.</t>
        </is>
      </c>
      <c r="H12" s="4" t="inlineStr">
        <is>
          <t>Recherche d’informations, preuves ou explications lorsqu’une question reste ouverte.</t>
        </is>
      </c>
      <c r="I12" s="4" t="inlineStr">
        <is>
          <t>Rechercher, enquêter, vérifier, approfondir, confronter des sources</t>
        </is>
      </c>
      <c r="J12" s="6" t="inlineStr">
        <is>
          <t>ACTIF</t>
        </is>
      </c>
    </row>
    <row r="13" ht="86.40000000000001" customHeight="1" s="34">
      <c r="A13" s="4" t="inlineStr">
        <is>
          <t>I4</t>
        </is>
      </c>
      <c r="B13" s="4" t="inlineStr">
        <is>
          <t>I</t>
        </is>
      </c>
      <c r="C13" s="4" t="inlineStr">
        <is>
          <t>Investigateur</t>
        </is>
      </c>
      <c r="D13" s="4" t="inlineStr">
        <is>
          <t>Expérimenter / tester</t>
        </is>
      </c>
      <c r="E13" s="4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13" s="4" t="inlineStr">
        <is>
          <t>Comprendre, rechercher, expliquer et résoudre.</t>
        </is>
      </c>
      <c r="G13" s="4" t="inlineStr">
        <is>
          <t>Ni intelligence, ni niveau scolaire, ni étiquette de scientifique.</t>
        </is>
      </c>
      <c r="H13" s="4" t="inlineStr">
        <is>
          <t>Mise à l’épreuve d’hypothèses ou solutions afin d’apprendre du résultat.</t>
        </is>
      </c>
      <c r="I13" s="4" t="inlineStr">
        <is>
          <t>Tester, expérimenter, mesurer, essayer</t>
        </is>
      </c>
      <c r="J13" s="6" t="inlineStr">
        <is>
          <t>ACTIF</t>
        </is>
      </c>
    </row>
    <row r="14" ht="86.40000000000001" customHeight="1" s="34">
      <c r="A14" s="4" t="inlineStr">
        <is>
          <t>I5</t>
        </is>
      </c>
      <c r="B14" s="4" t="inlineStr">
        <is>
          <t>I</t>
        </is>
      </c>
      <c r="C14" s="4" t="inlineStr">
        <is>
          <t>Investigateur</t>
        </is>
      </c>
      <c r="D14" s="4" t="inlineStr">
        <is>
          <t>Résoudre / expliquer</t>
        </is>
      </c>
      <c r="E14" s="4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14" s="4" t="inlineStr">
        <is>
          <t>Comprendre, rechercher, expliquer et résoudre.</t>
        </is>
      </c>
      <c r="G14" s="4" t="inlineStr">
        <is>
          <t>Ni intelligence, ni niveau scolaire, ni étiquette de scientifique.</t>
        </is>
      </c>
      <c r="H14" s="4" t="inlineStr">
        <is>
          <t>Problèmes intellectuels dont l’enjeu est de comprendre, expliquer ou trouver une solution fondée.</t>
        </is>
      </c>
      <c r="I14" s="4" t="inlineStr">
        <is>
          <t>Résoudre, expliquer, diagnostiquer intellectuellement, conceptualiser</t>
        </is>
      </c>
      <c r="J14" s="6" t="inlineStr">
        <is>
          <t>ACTIF</t>
        </is>
      </c>
    </row>
    <row r="15" ht="57.6" customHeight="1" s="34">
      <c r="A15" s="4" t="inlineStr">
        <is>
          <t>A1</t>
        </is>
      </c>
      <c r="B15" s="4" t="inlineStr">
        <is>
          <t>A</t>
        </is>
      </c>
      <c r="C15" s="4" t="inlineStr">
        <is>
          <t>Artistique</t>
        </is>
      </c>
      <c r="D15" s="4" t="inlineStr">
        <is>
          <t>Imaginer / inventer</t>
        </is>
      </c>
      <c r="E15" s="4" t="inlineStr">
        <is>
          <t>Attirance pour des activités où l’on imagine, crée, compose, conçoit ou exprime quelque chose avec un espace d’originalité, d’interprétation, de sensibilité ou de choix personnel.</t>
        </is>
      </c>
      <c r="F15" s="4" t="inlineStr">
        <is>
          <t>Créer, concevoir ou exprimer avec ouverture.</t>
        </is>
      </c>
      <c r="G15" s="4" t="inlineStr">
        <is>
          <t>Ni talent artistique, ni originalité personnelle mesurée, ni obligation de métier culturel.</t>
        </is>
      </c>
      <c r="H15" s="4" t="inlineStr">
        <is>
          <t>Génération d’idées, concepts, scénarios ou formes nouvelles.</t>
        </is>
      </c>
      <c r="I15" s="4" t="inlineStr">
        <is>
          <t>Imaginer, inventer, proposer, explorer, détourner</t>
        </is>
      </c>
      <c r="J15" s="6" t="inlineStr">
        <is>
          <t>ACTIF</t>
        </is>
      </c>
    </row>
    <row r="16" ht="57.6" customHeight="1" s="34">
      <c r="A16" s="4" t="inlineStr">
        <is>
          <t>A2</t>
        </is>
      </c>
      <c r="B16" s="4" t="inlineStr">
        <is>
          <t>A</t>
        </is>
      </c>
      <c r="C16" s="4" t="inlineStr">
        <is>
          <t>Artistique</t>
        </is>
      </c>
      <c r="D16" s="4" t="inlineStr">
        <is>
          <t>Concevoir / composer</t>
        </is>
      </c>
      <c r="E16" s="4" t="inlineStr">
        <is>
          <t>Attirance pour des activités où l’on imagine, crée, compose, conçoit ou exprime quelque chose avec un espace d’originalité, d’interprétation, de sensibilité ou de choix personnel.</t>
        </is>
      </c>
      <c r="F16" s="4" t="inlineStr">
        <is>
          <t>Créer, concevoir ou exprimer avec ouverture.</t>
        </is>
      </c>
      <c r="G16" s="4" t="inlineStr">
        <is>
          <t>Ni talent artistique, ni originalité personnelle mesurée, ni obligation de métier culturel.</t>
        </is>
      </c>
      <c r="H16" s="4" t="inlineStr">
        <is>
          <t>Organisation créative d’éléments afin de produire une forme cohérente et personnelle.</t>
        </is>
      </c>
      <c r="I16" s="4" t="inlineStr">
        <is>
          <t>Concevoir, composer, agencer, scénariser, designer</t>
        </is>
      </c>
      <c r="J16" s="6" t="inlineStr">
        <is>
          <t>ACTIF</t>
        </is>
      </c>
    </row>
    <row r="17" ht="57.6" customHeight="1" s="34">
      <c r="A17" s="4" t="inlineStr">
        <is>
          <t>A3</t>
        </is>
      </c>
      <c r="B17" s="4" t="inlineStr">
        <is>
          <t>A</t>
        </is>
      </c>
      <c r="C17" s="4" t="inlineStr">
        <is>
          <t>Artistique</t>
        </is>
      </c>
      <c r="D17" s="4" t="inlineStr">
        <is>
          <t>Exprimer / raconter</t>
        </is>
      </c>
      <c r="E17" s="4" t="inlineStr">
        <is>
          <t>Attirance pour des activités où l’on imagine, crée, compose, conçoit ou exprime quelque chose avec un espace d’originalité, d’interprétation, de sensibilité ou de choix personnel.</t>
        </is>
      </c>
      <c r="F17" s="4" t="inlineStr">
        <is>
          <t>Créer, concevoir ou exprimer avec ouverture.</t>
        </is>
      </c>
      <c r="G17" s="4" t="inlineStr">
        <is>
          <t>Ni talent artistique, ni originalité personnelle mesurée, ni obligation de métier culturel.</t>
        </is>
      </c>
      <c r="H17" s="4" t="inlineStr">
        <is>
          <t>Transmission d’une idée, émotion, point de vue ou histoire par une forme expressive.</t>
        </is>
      </c>
      <c r="I17" s="4" t="inlineStr">
        <is>
          <t>Écrire, raconter, interpréter, représenter, mettre en scène</t>
        </is>
      </c>
      <c r="J17" s="6" t="inlineStr">
        <is>
          <t>ACTIF</t>
        </is>
      </c>
    </row>
    <row r="18" ht="57.6" customHeight="1" s="34">
      <c r="A18" s="4" t="inlineStr">
        <is>
          <t>A4</t>
        </is>
      </c>
      <c r="B18" s="4" t="inlineStr">
        <is>
          <t>A</t>
        </is>
      </c>
      <c r="C18" s="4" t="inlineStr">
        <is>
          <t>Artistique</t>
        </is>
      </c>
      <c r="D18" s="4" t="inlineStr">
        <is>
          <t>Créer visuellement / sensoriellement</t>
        </is>
      </c>
      <c r="E18" s="4" t="inlineStr">
        <is>
          <t>Attirance pour des activités où l’on imagine, crée, compose, conçoit ou exprime quelque chose avec un espace d’originalité, d’interprétation, de sensibilité ou de choix personnel.</t>
        </is>
      </c>
      <c r="F18" s="4" t="inlineStr">
        <is>
          <t>Créer, concevoir ou exprimer avec ouverture.</t>
        </is>
      </c>
      <c r="G18" s="4" t="inlineStr">
        <is>
          <t>Ni talent artistique, ni originalité personnelle mesurée, ni obligation de métier culturel.</t>
        </is>
      </c>
      <c r="H18" s="4" t="inlineStr">
        <is>
          <t>Création mobilisant formes, images, sons, mouvements, matières, espaces ou expériences sensibles.</t>
        </is>
      </c>
      <c r="I18" s="4" t="inlineStr">
        <is>
          <t>Dessiner, photographier, filmer, composer, chorégraphier</t>
        </is>
      </c>
      <c r="J18" s="6" t="inlineStr">
        <is>
          <t>ACTIF</t>
        </is>
      </c>
    </row>
    <row r="19" ht="57.6" customHeight="1" s="34">
      <c r="A19" s="4" t="inlineStr">
        <is>
          <t>A5</t>
        </is>
      </c>
      <c r="B19" s="4" t="inlineStr">
        <is>
          <t>A</t>
        </is>
      </c>
      <c r="C19" s="4" t="inlineStr">
        <is>
          <t>Artistique</t>
        </is>
      </c>
      <c r="D19" s="4" t="inlineStr">
        <is>
          <t>Explorer des solutions ouvertes</t>
        </is>
      </c>
      <c r="E19" s="4" t="inlineStr">
        <is>
          <t>Attirance pour des activités où l’on imagine, crée, compose, conçoit ou exprime quelque chose avec un espace d’originalité, d’interprétation, de sensibilité ou de choix personnel.</t>
        </is>
      </c>
      <c r="F19" s="4" t="inlineStr">
        <is>
          <t>Créer, concevoir ou exprimer avec ouverture.</t>
        </is>
      </c>
      <c r="G19" s="4" t="inlineStr">
        <is>
          <t>Ni talent artistique, ni originalité personnelle mesurée, ni obligation de métier culturel.</t>
        </is>
      </c>
      <c r="H19" s="4" t="inlineStr">
        <is>
          <t>Tâches créatives où plusieurs réponses sont possibles et l’originalité a une place réelle.</t>
        </is>
      </c>
      <c r="I19" s="4" t="inlineStr">
        <is>
          <t>Explorer, réinventer, proposer plusieurs pistes</t>
        </is>
      </c>
      <c r="J19" s="6" t="inlineStr">
        <is>
          <t>ACTIF</t>
        </is>
      </c>
    </row>
    <row r="20" ht="57.6" customHeight="1" s="34">
      <c r="A20" s="4" t="inlineStr">
        <is>
          <t>S1</t>
        </is>
      </c>
      <c r="B20" s="4" t="inlineStr">
        <is>
          <t>S</t>
        </is>
      </c>
      <c r="C20" s="4" t="inlineStr">
        <is>
          <t>Social</t>
        </is>
      </c>
      <c r="D20" s="4" t="inlineStr">
        <is>
          <t>Enseigner / transmettre</t>
        </is>
      </c>
      <c r="E20" s="4" t="inlineStr">
        <is>
          <t>Attirance pour des activités où l’on aide, enseigne, conseille, accompagne, soigne, soutient ou rend un service directement utile à d’autres personnes.</t>
        </is>
      </c>
      <c r="F20" s="4" t="inlineStr">
        <is>
          <t>Aider, développer, soutenir ou servir autrui.</t>
        </is>
      </c>
      <c r="G20" s="4" t="inlineStr">
        <is>
          <t>Ni empathie, ni sociabilité, ni bonté, ni obligation d’exercer un métier social.</t>
        </is>
      </c>
      <c r="H20" s="4" t="inlineStr">
        <is>
          <t>Faire apprendre, expliquer et développer des connaissances ou savoir-faire chez autrui.</t>
        </is>
      </c>
      <c r="I20" s="4" t="inlineStr">
        <is>
          <t>Enseigner, expliquer, montrer, former, transmettre</t>
        </is>
      </c>
      <c r="J20" s="6" t="inlineStr">
        <is>
          <t>ACTIF</t>
        </is>
      </c>
    </row>
    <row r="21" ht="57.6" customHeight="1" s="34">
      <c r="A21" s="4" t="inlineStr">
        <is>
          <t>S2</t>
        </is>
      </c>
      <c r="B21" s="4" t="inlineStr">
        <is>
          <t>S</t>
        </is>
      </c>
      <c r="C21" s="4" t="inlineStr">
        <is>
          <t>Social</t>
        </is>
      </c>
      <c r="D21" s="4" t="inlineStr">
        <is>
          <t>Aider / soutenir / accompagner</t>
        </is>
      </c>
      <c r="E21" s="4" t="inlineStr">
        <is>
          <t>Attirance pour des activités où l’on aide, enseigne, conseille, accompagne, soigne, soutient ou rend un service directement utile à d’autres personnes.</t>
        </is>
      </c>
      <c r="F21" s="4" t="inlineStr">
        <is>
          <t>Aider, développer, soutenir ou servir autrui.</t>
        </is>
      </c>
      <c r="G21" s="4" t="inlineStr">
        <is>
          <t>Ni empathie, ni sociabilité, ni bonté, ni obligation d’exercer un métier social.</t>
        </is>
      </c>
      <c r="H21" s="4" t="inlineStr">
        <is>
          <t>Soutenir une personne face à une difficulté, un changement ou un objectif.</t>
        </is>
      </c>
      <c r="I21" s="4" t="inlineStr">
        <is>
          <t>Aider, soutenir, accompagner, encourager, faciliter</t>
        </is>
      </c>
      <c r="J21" s="6" t="inlineStr">
        <is>
          <t>ACTIF</t>
        </is>
      </c>
    </row>
    <row r="22" ht="57.6" customHeight="1" s="34">
      <c r="A22" s="4" t="inlineStr">
        <is>
          <t>S3</t>
        </is>
      </c>
      <c r="B22" s="4" t="inlineStr">
        <is>
          <t>S</t>
        </is>
      </c>
      <c r="C22" s="4" t="inlineStr">
        <is>
          <t>Social</t>
        </is>
      </c>
      <c r="D22" s="4" t="inlineStr">
        <is>
          <t>Conseiller / guider / orienter</t>
        </is>
      </c>
      <c r="E22" s="4" t="inlineStr">
        <is>
          <t>Attirance pour des activités où l’on aide, enseigne, conseille, accompagne, soigne, soutient ou rend un service directement utile à d’autres personnes.</t>
        </is>
      </c>
      <c r="F22" s="4" t="inlineStr">
        <is>
          <t>Aider, développer, soutenir ou servir autrui.</t>
        </is>
      </c>
      <c r="G22" s="4" t="inlineStr">
        <is>
          <t>Ni empathie, ni sociabilité, ni bonté, ni obligation d’exercer un métier social.</t>
        </is>
      </c>
      <c r="H22" s="4" t="inlineStr">
        <is>
          <t>Aider une personne à comprendre ses options ou avancer dans une décision.</t>
        </is>
      </c>
      <c r="I22" s="4" t="inlineStr">
        <is>
          <t>Conseiller, guider, orienter, informer, recommander</t>
        </is>
      </c>
      <c r="J22" s="6" t="inlineStr">
        <is>
          <t>ACTIF</t>
        </is>
      </c>
    </row>
    <row r="23" ht="57.6" customHeight="1" s="34">
      <c r="A23" s="4" t="inlineStr">
        <is>
          <t>S4</t>
        </is>
      </c>
      <c r="B23" s="4" t="inlineStr">
        <is>
          <t>S</t>
        </is>
      </c>
      <c r="C23" s="4" t="inlineStr">
        <is>
          <t>Social</t>
        </is>
      </c>
      <c r="D23" s="4" t="inlineStr">
        <is>
          <t>Soigner / prendre soin</t>
        </is>
      </c>
      <c r="E23" s="4" t="inlineStr">
        <is>
          <t>Attirance pour des activités où l’on aide, enseigne, conseille, accompagne, soigne, soutient ou rend un service directement utile à d’autres personnes.</t>
        </is>
      </c>
      <c r="F23" s="4" t="inlineStr">
        <is>
          <t>Aider, développer, soutenir ou servir autrui.</t>
        </is>
      </c>
      <c r="G23" s="4" t="inlineStr">
        <is>
          <t>Ni empathie, ni sociabilité, ni bonté, ni obligation d’exercer un métier social.</t>
        </is>
      </c>
      <c r="H23" s="4" t="inlineStr">
        <is>
          <t>Contribuer directement à la santé, au bien-être, à la sécurité ou au rétablissement d’une personne.</t>
        </is>
      </c>
      <c r="I23" s="4" t="inlineStr">
        <is>
          <t>Soigner, prendre en charge, assister, rééduquer, protéger</t>
        </is>
      </c>
      <c r="J23" s="6" t="inlineStr">
        <is>
          <t>ACTIF</t>
        </is>
      </c>
    </row>
    <row r="24" ht="57.6" customHeight="1" s="34">
      <c r="A24" s="4" t="inlineStr">
        <is>
          <t>S5</t>
        </is>
      </c>
      <c r="B24" s="4" t="inlineStr">
        <is>
          <t>S</t>
        </is>
      </c>
      <c r="C24" s="4" t="inlineStr">
        <is>
          <t>Social</t>
        </is>
      </c>
      <c r="D24" s="4" t="inlineStr">
        <is>
          <t>Servir / assister directement</t>
        </is>
      </c>
      <c r="E24" s="4" t="inlineStr">
        <is>
          <t>Attirance pour des activités où l’on aide, enseigne, conseille, accompagne, soigne, soutient ou rend un service directement utile à d’autres personnes.</t>
        </is>
      </c>
      <c r="F24" s="4" t="inlineStr">
        <is>
          <t>Aider, développer, soutenir ou servir autrui.</t>
        </is>
      </c>
      <c r="G24" s="4" t="inlineStr">
        <is>
          <t>Ni empathie, ni sociabilité, ni bonté, ni obligation d’exercer un métier social.</t>
        </is>
      </c>
      <c r="H24" s="4" t="inlineStr">
        <is>
          <t>Rendre un service concret ou personnalisé répondant à un besoin d’autrui.</t>
        </is>
      </c>
      <c r="I24" s="4" t="inlineStr">
        <is>
          <t>Accueillir, assister, renseigner, faciliter le quotidien</t>
        </is>
      </c>
      <c r="J24" s="6" t="inlineStr">
        <is>
          <t>ACTIF</t>
        </is>
      </c>
    </row>
    <row r="25" ht="57.6" customHeight="1" s="34">
      <c r="A25" s="4" t="inlineStr">
        <is>
          <t>E1</t>
        </is>
      </c>
      <c r="B25" s="4" t="inlineStr">
        <is>
          <t>E</t>
        </is>
      </c>
      <c r="C25" s="4" t="inlineStr">
        <is>
          <t>Entreprenant</t>
        </is>
      </c>
      <c r="D25" s="4" t="inlineStr">
        <is>
          <t>Initier / entreprendre / développer</t>
        </is>
      </c>
      <c r="E25" s="4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25" s="4" t="inlineStr">
        <is>
          <t>Initier, influencer, décider et faire avancer.</t>
        </is>
      </c>
      <c r="G25" s="4" t="inlineStr">
        <is>
          <t>Ni ambition, ni domination, ni extraversion, ni réussite commerciale.</t>
        </is>
      </c>
      <c r="H25" s="4" t="inlineStr">
        <is>
          <t>Lancer, faire croître ou transformer une activité, un projet ou une opportunité.</t>
        </is>
      </c>
      <c r="I25" s="4" t="inlineStr">
        <is>
          <t>Initier, entreprendre, lancer, développer, saisir une opportunité</t>
        </is>
      </c>
      <c r="J25" s="6" t="inlineStr">
        <is>
          <t>ACTIF</t>
        </is>
      </c>
    </row>
    <row r="26" ht="57.6" customHeight="1" s="34">
      <c r="A26" s="4" t="inlineStr">
        <is>
          <t>E2</t>
        </is>
      </c>
      <c r="B26" s="4" t="inlineStr">
        <is>
          <t>E</t>
        </is>
      </c>
      <c r="C26" s="4" t="inlineStr">
        <is>
          <t>Entreprenant</t>
        </is>
      </c>
      <c r="D26" s="4" t="inlineStr">
        <is>
          <t>Convaincre / vendre / promouvoir</t>
        </is>
      </c>
      <c r="E26" s="4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26" s="4" t="inlineStr">
        <is>
          <t>Initier, influencer, décider et faire avancer.</t>
        </is>
      </c>
      <c r="G26" s="4" t="inlineStr">
        <is>
          <t>Ni ambition, ni domination, ni extraversion, ni réussite commerciale.</t>
        </is>
      </c>
      <c r="H26" s="4" t="inlineStr">
        <is>
          <t>Présenter une proposition et obtenir l’adhésion d’un client, public ou partenaire.</t>
        </is>
      </c>
      <c r="I26" s="4" t="inlineStr">
        <is>
          <t>Convaincre, vendre, promouvoir, argumenter, présenter</t>
        </is>
      </c>
      <c r="J26" s="6" t="inlineStr">
        <is>
          <t>ACTIF</t>
        </is>
      </c>
    </row>
    <row r="27" ht="57.6" customHeight="1" s="34">
      <c r="A27" s="4" t="inlineStr">
        <is>
          <t>E3</t>
        </is>
      </c>
      <c r="B27" s="4" t="inlineStr">
        <is>
          <t>E</t>
        </is>
      </c>
      <c r="C27" s="4" t="inlineStr">
        <is>
          <t>Entreprenant</t>
        </is>
      </c>
      <c r="D27" s="4" t="inlineStr">
        <is>
          <t>Négocier / obtenir un accord</t>
        </is>
      </c>
      <c r="E27" s="4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27" s="4" t="inlineStr">
        <is>
          <t>Initier, influencer, décider et faire avancer.</t>
        </is>
      </c>
      <c r="G27" s="4" t="inlineStr">
        <is>
          <t>Ni ambition, ni domination, ni extraversion, ni réussite commerciale.</t>
        </is>
      </c>
      <c r="H27" s="4" t="inlineStr">
        <is>
          <t>Confronter des intérêts, rechercher des compromis et conclure des accords.</t>
        </is>
      </c>
      <c r="I27" s="4" t="inlineStr">
        <is>
          <t>Négocier, défendre, arbitrer, conclure, obtenir</t>
        </is>
      </c>
      <c r="J27" s="6" t="inlineStr">
        <is>
          <t>ACTIF</t>
        </is>
      </c>
    </row>
    <row r="28" ht="57.6" customHeight="1" s="34">
      <c r="A28" s="4" t="inlineStr">
        <is>
          <t>E4</t>
        </is>
      </c>
      <c r="B28" s="4" t="inlineStr">
        <is>
          <t>E</t>
        </is>
      </c>
      <c r="C28" s="4" t="inlineStr">
        <is>
          <t>Entreprenant</t>
        </is>
      </c>
      <c r="D28" s="4" t="inlineStr">
        <is>
          <t>Diriger / manager / décider</t>
        </is>
      </c>
      <c r="E28" s="4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28" s="4" t="inlineStr">
        <is>
          <t>Initier, influencer, décider et faire avancer.</t>
        </is>
      </c>
      <c r="G28" s="4" t="inlineStr">
        <is>
          <t>Ni ambition, ni domination, ni extraversion, ni réussite commerciale.</t>
        </is>
      </c>
      <c r="H28" s="4" t="inlineStr">
        <is>
          <t>Assumer la conduite d’un projet ou collectif, décider et orienter l’action.</t>
        </is>
      </c>
      <c r="I28" s="4" t="inlineStr">
        <is>
          <t>Diriger, manager, superviser, décider, coordonner</t>
        </is>
      </c>
      <c r="J28" s="6" t="inlineStr">
        <is>
          <t>ACTIF</t>
        </is>
      </c>
    </row>
    <row r="29" ht="57.6" customHeight="1" s="34">
      <c r="A29" s="4" t="inlineStr">
        <is>
          <t>E5</t>
        </is>
      </c>
      <c r="B29" s="4" t="inlineStr">
        <is>
          <t>E</t>
        </is>
      </c>
      <c r="C29" s="4" t="inlineStr">
        <is>
          <t>Entreprenant</t>
        </is>
      </c>
      <c r="D29" s="4" t="inlineStr">
        <is>
          <t>Influencer / représenter / mobiliser</t>
        </is>
      </c>
      <c r="E29" s="4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29" s="4" t="inlineStr">
        <is>
          <t>Initier, influencer, décider et faire avancer.</t>
        </is>
      </c>
      <c r="G29" s="4" t="inlineStr">
        <is>
          <t>Ni ambition, ni domination, ni extraversion, ni réussite commerciale.</t>
        </is>
      </c>
      <c r="H29" s="4" t="inlineStr">
        <is>
          <t>Prendre la parole, représenter une position, créer de l’adhésion ou mobiliser.</t>
        </is>
      </c>
      <c r="I29" s="4" t="inlineStr">
        <is>
          <t>Influencer, mobiliser, représenter, plaider, prendre la parole</t>
        </is>
      </c>
      <c r="J29" s="6" t="inlineStr">
        <is>
          <t>ACTIF</t>
        </is>
      </c>
    </row>
    <row r="30" ht="57.6" customHeight="1" s="34">
      <c r="A30" s="4" t="inlineStr">
        <is>
          <t>C1</t>
        </is>
      </c>
      <c r="B30" s="4" t="inlineStr">
        <is>
          <t>C</t>
        </is>
      </c>
      <c r="C30" s="4" t="inlineStr">
        <is>
          <t>Conventionnel</t>
        </is>
      </c>
      <c r="D30" s="4" t="inlineStr">
        <is>
          <t>Organiser / classer / structurer</t>
        </is>
      </c>
      <c r="E30" s="4" t="inlineStr">
        <is>
          <t>Attirance pour des activités où l’on organise, enregistre, classe, traite, vérifie ou suit des informations, données, dossiers, transactions ou ressources dans un cadre structuré.</t>
        </is>
      </c>
      <c r="F30" s="4" t="inlineStr">
        <is>
          <t>Structurer, fiabiliser et suivre méthodiquement.</t>
        </is>
      </c>
      <c r="G30" s="4" t="inlineStr">
        <is>
          <t>Ni rigidité, ni conscienciosité, ni routine, ni compétence administrative.</t>
        </is>
      </c>
      <c r="H30" s="4" t="inlineStr">
        <is>
          <t>Mettre de l’ordre dans des informations, documents, ressources ou données.</t>
        </is>
      </c>
      <c r="I30" s="4" t="inlineStr">
        <is>
          <t>Organiser, classer, trier, structurer, ordonner</t>
        </is>
      </c>
      <c r="J30" s="6" t="inlineStr">
        <is>
          <t>ACTIF</t>
        </is>
      </c>
    </row>
    <row r="31" ht="57.6" customHeight="1" s="34">
      <c r="A31" s="4" t="inlineStr">
        <is>
          <t>C2</t>
        </is>
      </c>
      <c r="B31" s="4" t="inlineStr">
        <is>
          <t>C</t>
        </is>
      </c>
      <c r="C31" s="4" t="inlineStr">
        <is>
          <t>Conventionnel</t>
        </is>
      </c>
      <c r="D31" s="4" t="inlineStr">
        <is>
          <t>Enregistrer / saisir / tenir à jour</t>
        </is>
      </c>
      <c r="E31" s="4" t="inlineStr">
        <is>
          <t>Attirance pour des activités où l’on organise, enregistre, classe, traite, vérifie ou suit des informations, données, dossiers, transactions ou ressources dans un cadre structuré.</t>
        </is>
      </c>
      <c r="F31" s="4" t="inlineStr">
        <is>
          <t>Structurer, fiabiliser et suivre méthodiquement.</t>
        </is>
      </c>
      <c r="G31" s="4" t="inlineStr">
        <is>
          <t>Ni rigidité, ni conscienciosité, ni routine, ni compétence administrative.</t>
        </is>
      </c>
      <c r="H31" s="4" t="inlineStr">
        <is>
          <t>Consigner, actualiser et maintenir des informations ou enregistrements.</t>
        </is>
      </c>
      <c r="I31" s="4" t="inlineStr">
        <is>
          <t>Saisir, enregistrer, renseigner, mettre à jour, documenter</t>
        </is>
      </c>
      <c r="J31" s="6" t="inlineStr">
        <is>
          <t>ACTIF</t>
        </is>
      </c>
    </row>
    <row r="32" ht="57.6" customHeight="1" s="34">
      <c r="A32" s="4" t="inlineStr">
        <is>
          <t>C3</t>
        </is>
      </c>
      <c r="B32" s="4" t="inlineStr">
        <is>
          <t>C</t>
        </is>
      </c>
      <c r="C32" s="4" t="inlineStr">
        <is>
          <t>Conventionnel</t>
        </is>
      </c>
      <c r="D32" s="4" t="inlineStr">
        <is>
          <t>Vérifier / contrôler / fiabiliser</t>
        </is>
      </c>
      <c r="E32" s="4" t="inlineStr">
        <is>
          <t>Attirance pour des activités où l’on organise, enregistre, classe, traite, vérifie ou suit des informations, données, dossiers, transactions ou ressources dans un cadre structuré.</t>
        </is>
      </c>
      <c r="F32" s="4" t="inlineStr">
        <is>
          <t>Structurer, fiabiliser et suivre méthodiquement.</t>
        </is>
      </c>
      <c r="G32" s="4" t="inlineStr">
        <is>
          <t>Ni rigidité, ni conscienciosité, ni routine, ni compétence administrative.</t>
        </is>
      </c>
      <c r="H32" s="4" t="inlineStr">
        <is>
          <t>Contrôler exactitude, complétude ou conformité et repérer les écarts.</t>
        </is>
      </c>
      <c r="I32" s="4" t="inlineStr">
        <is>
          <t>Vérifier, contrôler, rapprocher, inspecter, valider</t>
        </is>
      </c>
      <c r="J32" s="6" t="inlineStr">
        <is>
          <t>ACTIF</t>
        </is>
      </c>
    </row>
    <row r="33" ht="57.6" customHeight="1" s="34">
      <c r="A33" s="4" t="inlineStr">
        <is>
          <t>C4</t>
        </is>
      </c>
      <c r="B33" s="4" t="inlineStr">
        <is>
          <t>C</t>
        </is>
      </c>
      <c r="C33" s="4" t="inlineStr">
        <is>
          <t>Conventionnel</t>
        </is>
      </c>
      <c r="D33" s="4" t="inlineStr">
        <is>
          <t>Appliquer règles / procédures / conformité</t>
        </is>
      </c>
      <c r="E33" s="4" t="inlineStr">
        <is>
          <t>Attirance pour des activités où l’on organise, enregistre, classe, traite, vérifie ou suit des informations, données, dossiers, transactions ou ressources dans un cadre structuré.</t>
        </is>
      </c>
      <c r="F33" s="4" t="inlineStr">
        <is>
          <t>Structurer, fiabiliser et suivre méthodiquement.</t>
        </is>
      </c>
      <c r="G33" s="4" t="inlineStr">
        <is>
          <t>Ni rigidité, ni conscienciosité, ni routine, ni compétence administrative.</t>
        </is>
      </c>
      <c r="H33" s="4" t="inlineStr">
        <is>
          <t>Travailler dans un cadre explicite où règles, procédures ou normes sécurisent le résultat.</t>
        </is>
      </c>
      <c r="I33" s="4" t="inlineStr">
        <is>
          <t>Appliquer, respecter, suivre une procédure, contrôler la conformité</t>
        </is>
      </c>
      <c r="J33" s="6" t="inlineStr">
        <is>
          <t>ACTIF</t>
        </is>
      </c>
    </row>
    <row r="34" ht="57.6" customHeight="1" s="34">
      <c r="A34" s="4" t="inlineStr">
        <is>
          <t>C5</t>
        </is>
      </c>
      <c r="B34" s="4" t="inlineStr">
        <is>
          <t>C</t>
        </is>
      </c>
      <c r="C34" s="4" t="inlineStr">
        <is>
          <t>Conventionnel</t>
        </is>
      </c>
      <c r="D34" s="4" t="inlineStr">
        <is>
          <t>Traiter / suivre dossiers, données et opérations</t>
        </is>
      </c>
      <c r="E34" s="4" t="inlineStr">
        <is>
          <t>Attirance pour des activités où l’on organise, enregistre, classe, traite, vérifie ou suit des informations, données, dossiers, transactions ou ressources dans un cadre structuré.</t>
        </is>
      </c>
      <c r="F34" s="4" t="inlineStr">
        <is>
          <t>Structurer, fiabiliser et suivre méthodiquement.</t>
        </is>
      </c>
      <c r="G34" s="4" t="inlineStr">
        <is>
          <t>Ni rigidité, ni conscienciosité, ni routine, ni compétence administrative.</t>
        </is>
      </c>
      <c r="H34" s="4" t="inlineStr">
        <is>
          <t>Faire avancer méthodiquement dossiers, données, opérations ou transactions en assurant leur suivi.</t>
        </is>
      </c>
      <c r="I34" s="4" t="inlineStr">
        <is>
          <t>Traiter, suivre, planifier des échéances, rapprocher, clôturer</t>
        </is>
      </c>
      <c r="J34" s="6" t="inlineStr">
        <is>
          <t>ACTIF</t>
        </is>
      </c>
    </row>
  </sheetData>
  <autoFilter ref="A4:J34"/>
  <mergeCells count="2">
    <mergeCell ref="A1:J1"/>
    <mergeCell ref="A2:J2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AP1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24" customWidth="1" style="34" min="1" max="1"/>
    <col width="12" customWidth="1" style="34" min="2" max="3"/>
    <col width="9" customWidth="1" style="34" min="6" max="6"/>
    <col width="28" customWidth="1" style="34" min="7" max="7"/>
    <col width="10" customWidth="1" style="34" min="8" max="9"/>
    <col width="20" customWidth="1" style="34" min="10" max="10"/>
    <col width="55" customWidth="1" style="34" min="11" max="11"/>
    <col width="32" customWidth="1" style="34" min="12" max="12"/>
    <col width="28" customWidth="1" style="34" min="13" max="13"/>
    <col width="38" customWidth="1" style="34" min="14" max="14"/>
    <col width="24" customWidth="1" style="34" min="15" max="15"/>
    <col width="30" customWidth="1" style="34" min="16" max="16"/>
    <col width="45" customWidth="1" style="34" min="22" max="24"/>
    <col width="12" customWidth="1" style="34" min="36" max="36"/>
    <col width="35" customWidth="1" style="34" min="37" max="37"/>
    <col width="20" customWidth="1" style="34" min="38" max="38"/>
    <col width="35" customWidth="1" style="34" min="39" max="39"/>
    <col width="22" customWidth="1" style="34" min="40" max="41"/>
    <col width="16" customWidth="1" style="34" min="42" max="42"/>
  </cols>
  <sheetData>
    <row r="1" ht="25.95" customHeight="1" s="34">
      <c r="A1" s="35" t="inlineStr">
        <is>
          <t>BANQUE EXPÉRIMENTALE PIP — QUESTIONS</t>
        </is>
      </c>
    </row>
    <row r="2" ht="30" customHeight="1" s="34">
      <c r="A2" s="33" t="inlineStr">
        <is>
          <t>120 items historiques conservés. V0.5 : décision documentée de passage à 72 items ; les formulations V0.4 restent intactes dans cette feuille.</t>
        </is>
      </c>
    </row>
    <row r="4" ht="30" customHeight="1" s="34">
      <c r="A4" s="1" t="inlineStr">
        <is>
          <t>item_id</t>
        </is>
      </c>
      <c r="B4" s="1" t="inlineStr">
        <is>
          <t>item_version</t>
        </is>
      </c>
      <c r="C4" s="1" t="inlineStr">
        <is>
          <t>statut</t>
        </is>
      </c>
      <c r="D4" s="1" t="inlineStr">
        <is>
          <t>date_creation</t>
        </is>
      </c>
      <c r="E4" s="1" t="inlineStr">
        <is>
          <t>date_modification</t>
        </is>
      </c>
      <c r="F4" s="1" t="inlineStr">
        <is>
          <t>bloc</t>
        </is>
      </c>
      <c r="G4" s="1" t="inlineStr">
        <is>
          <t>famille_formulation</t>
        </is>
      </c>
      <c r="H4" s="1" t="inlineStr">
        <is>
          <t>dimension</t>
        </is>
      </c>
      <c r="I4" s="1" t="inlineStr">
        <is>
          <t>facette</t>
        </is>
      </c>
      <c r="J4" s="1" t="inlineStr">
        <is>
          <t>dimensions_concurrentes</t>
        </is>
      </c>
      <c r="K4" s="1" t="inlineStr">
        <is>
          <t>texte_fr</t>
        </is>
      </c>
      <c r="L4" s="1" t="inlineStr">
        <is>
          <t>reponse_1</t>
        </is>
      </c>
      <c r="M4" s="1" t="inlineStr">
        <is>
          <t>reponse_2</t>
        </is>
      </c>
      <c r="N4" s="1" t="inlineStr">
        <is>
          <t>reponse_3</t>
        </is>
      </c>
      <c r="O4" s="1" t="inlineStr">
        <is>
          <t>reponse_4</t>
        </is>
      </c>
      <c r="P4" s="1" t="inlineStr">
        <is>
          <t>reponse_5</t>
        </is>
      </c>
      <c r="Q4" s="1" t="inlineStr">
        <is>
          <t>score_1</t>
        </is>
      </c>
      <c r="R4" s="1" t="inlineStr">
        <is>
          <t>score_2</t>
        </is>
      </c>
      <c r="S4" s="1" t="inlineStr">
        <is>
          <t>score_3</t>
        </is>
      </c>
      <c r="T4" s="1" t="inlineStr">
        <is>
          <t>score_4</t>
        </is>
      </c>
      <c r="U4" s="1" t="inlineStr">
        <is>
          <t>score_5</t>
        </is>
      </c>
      <c r="V4" s="1" t="inlineStr">
        <is>
          <t>justification_dimension</t>
        </is>
      </c>
      <c r="W4" s="1" t="inlineStr">
        <is>
          <t>justification_facette</t>
        </is>
      </c>
      <c r="X4" s="1" t="inlineStr">
        <is>
          <t>commentaire_concepteur</t>
        </is>
      </c>
      <c r="Y4" s="1" t="inlineStr">
        <is>
          <t>risque_genre</t>
        </is>
      </c>
      <c r="Z4" s="1" t="inlineStr">
        <is>
          <t>risque_age_generation</t>
        </is>
      </c>
      <c r="AA4" s="1" t="inlineStr">
        <is>
          <t>risque_origine_culturelle_sociale</t>
        </is>
      </c>
      <c r="AB4" s="1" t="inlineStr">
        <is>
          <t>risque_niveau_etudes</t>
        </is>
      </c>
      <c r="AC4" s="1" t="inlineStr">
        <is>
          <t>risque_langue_litteratie</t>
        </is>
      </c>
      <c r="AD4" s="1" t="inlineStr">
        <is>
          <t>risque_accessibilite</t>
        </is>
      </c>
      <c r="AE4" s="1" t="inlineStr">
        <is>
          <t>risque_familiarite_numerique</t>
        </is>
      </c>
      <c r="AF4" s="1" t="inlineStr">
        <is>
          <t>risque_prestige</t>
        </is>
      </c>
      <c r="AG4" s="1" t="inlineStr">
        <is>
          <t>risque_familiarite_sectorielle</t>
        </is>
      </c>
      <c r="AH4" s="1" t="inlineStr">
        <is>
          <t>risque_desirabilite</t>
        </is>
      </c>
      <c r="AI4" s="1" t="inlineStr">
        <is>
          <t>risque_hybridite</t>
        </is>
      </c>
      <c r="AJ4" s="1" t="inlineStr">
        <is>
          <t>n_passations</t>
        </is>
      </c>
      <c r="AK4" s="1" t="inlineStr">
        <is>
          <t>indicateurs_item</t>
        </is>
      </c>
      <c r="AL4" s="1" t="inlineStr">
        <is>
          <t>decision_validation</t>
        </is>
      </c>
      <c r="AM4" s="1" t="inlineStr">
        <is>
          <t>motif_retrait</t>
        </is>
      </c>
      <c r="AN4" s="1" t="inlineStr">
        <is>
          <t>version_questionnaire_entree</t>
        </is>
      </c>
      <c r="AO4" s="1" t="inlineStr">
        <is>
          <t>version_questionnaire_sortie</t>
        </is>
      </c>
      <c r="AP4" s="1" t="inlineStr">
        <is>
          <t>controle_ligne</t>
        </is>
      </c>
    </row>
    <row r="5" ht="72" customHeight="1" s="34">
      <c r="A5" s="4" t="inlineStr">
        <is>
          <t>PIP-ACT-R-R1-001</t>
        </is>
      </c>
      <c r="B5" s="4" t="inlineStr">
        <is>
          <t>0.2</t>
        </is>
      </c>
      <c r="C5" s="4" t="inlineStr">
        <is>
          <t>PILOTE</t>
        </is>
      </c>
      <c r="D5" s="4" t="inlineStr">
        <is>
          <t>08/09/2026</t>
        </is>
      </c>
      <c r="E5" s="4" t="inlineStr">
        <is>
          <t>08/09/2026</t>
        </is>
      </c>
      <c r="F5" s="4" t="inlineStr">
        <is>
          <t>ACT</t>
        </is>
      </c>
      <c r="G5" s="4" t="inlineStr">
        <is>
          <t>Verbe d’action + objet/contexte</t>
        </is>
      </c>
      <c r="H5" s="4" t="inlineStr">
        <is>
          <t>R</t>
        </is>
      </c>
      <c r="I5" s="4" t="inlineStr">
        <is>
          <t>R1</t>
        </is>
      </c>
      <c r="J5" s="6" t="inlineStr">
        <is>
          <t>A</t>
        </is>
      </c>
      <c r="K5" s="6" t="inlineStr">
        <is>
          <t>Assembler des éléments pour fabriquer un objet fonctionnel.</t>
        </is>
      </c>
      <c r="L5" s="4" t="inlineStr">
        <is>
          <t>Cela ne m’attire pas du tout</t>
        </is>
      </c>
      <c r="M5" s="4" t="inlineStr">
        <is>
          <t>Cela m’attire peu</t>
        </is>
      </c>
      <c r="N5" s="4" t="inlineStr">
        <is>
          <t>Je suis partagé(e) / sans préférence marquée</t>
        </is>
      </c>
      <c r="O5" s="4" t="inlineStr">
        <is>
          <t>Cela m’attire</t>
        </is>
      </c>
      <c r="P5" s="4" t="inlineStr">
        <is>
          <t>Cela m’attire beaucoup</t>
        </is>
      </c>
      <c r="Q5" s="4" t="n">
        <v>1</v>
      </c>
      <c r="R5" s="4" t="n">
        <v>2</v>
      </c>
      <c r="S5" s="4" t="n">
        <v>3</v>
      </c>
      <c r="T5" s="4" t="n">
        <v>4</v>
      </c>
      <c r="U5" s="4" t="n">
        <v>5</v>
      </c>
      <c r="V5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5" s="6" t="inlineStr">
        <is>
          <t>L’item relève de R1 — Construire / fabriquer / transformer : Création ou transformation concrète d’objets, structures ou matières.</t>
        </is>
      </c>
      <c r="X5" s="6" t="inlineStr">
        <is>
          <t>Revue méthodologique V0.3 : surveiller projection en cas de limitation physique ou sensorielle, familiarité avec le contexte professionnel au pilote.</t>
        </is>
      </c>
      <c r="Y5" s="6" t="inlineStr">
        <is>
          <t>FAIBLE</t>
        </is>
      </c>
      <c r="Z5" s="6" t="inlineStr">
        <is>
          <t>FAIBLE</t>
        </is>
      </c>
      <c r="AA5" s="6" t="inlineStr">
        <is>
          <t>FAIBLE</t>
        </is>
      </c>
      <c r="AB5" s="6" t="inlineStr">
        <is>
          <t>FAIBLE</t>
        </is>
      </c>
      <c r="AC5" s="6" t="inlineStr">
        <is>
          <t>FAIBLE</t>
        </is>
      </c>
      <c r="AD5" s="6" t="inlineStr">
        <is>
          <t>MOYEN</t>
        </is>
      </c>
      <c r="AE5" s="6" t="inlineStr">
        <is>
          <t>FAIBLE</t>
        </is>
      </c>
      <c r="AF5" s="6" t="inlineStr">
        <is>
          <t>FAIBLE</t>
        </is>
      </c>
      <c r="AG5" s="6" t="inlineStr">
        <is>
          <t>MOYEN</t>
        </is>
      </c>
      <c r="AH5" s="6" t="inlineStr">
        <is>
          <t>FAIBLE</t>
        </is>
      </c>
      <c r="AI5" s="6" t="inlineStr">
        <is>
          <t>FAIBLE</t>
        </is>
      </c>
      <c r="AJ5" s="4" t="n">
        <v>0</v>
      </c>
      <c r="AK5" s="4" t="n"/>
      <c r="AL5" s="6" t="inlineStr">
        <is>
          <t>RETENU_V0.5_REECRIT_CONCRET</t>
        </is>
      </c>
      <c r="AM5" s="6" t="n"/>
      <c r="AN5" s="4" t="inlineStr">
        <is>
          <t>PIP-BANK-0.3</t>
        </is>
      </c>
      <c r="AO5" s="6" t="inlineStr">
        <is>
          <t>PIP-BANK-0.4</t>
        </is>
      </c>
      <c r="AP5" s="8">
        <f>IF(OR(C5="PILOTE",C5="ACTIF"),IF(AND(A5&lt;&gt;"",H5&lt;&gt;"",I5&lt;&gt;"",K5&lt;&gt;"",V5&lt;&gt;"",W5&lt;&gt;""),"OK","A_COMPLETER"),"OK_STRUCTURE")</f>
        <v/>
      </c>
    </row>
    <row r="6" ht="72" customHeight="1" s="34">
      <c r="A6" s="4" t="inlineStr">
        <is>
          <t>PIP-ACT-R-R1-002</t>
        </is>
      </c>
      <c r="B6" s="4" t="inlineStr">
        <is>
          <t>0.2</t>
        </is>
      </c>
      <c r="C6" s="4" t="inlineStr">
        <is>
          <t>PILOTE</t>
        </is>
      </c>
      <c r="D6" s="4" t="inlineStr">
        <is>
          <t>08/09/2026</t>
        </is>
      </c>
      <c r="E6" s="4" t="inlineStr">
        <is>
          <t>08/09/2026</t>
        </is>
      </c>
      <c r="F6" s="4" t="inlineStr">
        <is>
          <t>ACT</t>
        </is>
      </c>
      <c r="G6" s="4" t="inlineStr">
        <is>
          <t>Verbe d’action + objet/contexte</t>
        </is>
      </c>
      <c r="H6" s="4" t="inlineStr">
        <is>
          <t>R</t>
        </is>
      </c>
      <c r="I6" s="4" t="inlineStr">
        <is>
          <t>R1</t>
        </is>
      </c>
      <c r="J6" s="6" t="inlineStr">
        <is>
          <t>A</t>
        </is>
      </c>
      <c r="K6" s="6" t="inlineStr">
        <is>
          <t>Transformer une matière ou un matériau pour lui donner une forme utile.</t>
        </is>
      </c>
      <c r="L6" s="4" t="inlineStr">
        <is>
          <t>Cela ne m’attire pas du tout</t>
        </is>
      </c>
      <c r="M6" s="4" t="inlineStr">
        <is>
          <t>Cela m’attire peu</t>
        </is>
      </c>
      <c r="N6" s="4" t="inlineStr">
        <is>
          <t>Je suis partagé(e) / sans préférence marquée</t>
        </is>
      </c>
      <c r="O6" s="4" t="inlineStr">
        <is>
          <t>Cela m’attire</t>
        </is>
      </c>
      <c r="P6" s="4" t="inlineStr">
        <is>
          <t>Cela m’attire beaucoup</t>
        </is>
      </c>
      <c r="Q6" s="4" t="n">
        <v>1</v>
      </c>
      <c r="R6" s="4" t="n">
        <v>2</v>
      </c>
      <c r="S6" s="4" t="n">
        <v>3</v>
      </c>
      <c r="T6" s="4" t="n">
        <v>4</v>
      </c>
      <c r="U6" s="4" t="n">
        <v>5</v>
      </c>
      <c r="V6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6" s="6" t="inlineStr">
        <is>
          <t>L’item relève de R1 — Construire / fabriquer / transformer : Création ou transformation concrète d’objets, structures ou matières.</t>
        </is>
      </c>
      <c r="X6" s="6" t="inlineStr">
        <is>
          <t>Revue méthodologique V0.3 : surveiller projection en cas de limitation physique ou sensorielle, familiarité avec le contexte professionnel au pilote.</t>
        </is>
      </c>
      <c r="Y6" s="6" t="inlineStr">
        <is>
          <t>FAIBLE</t>
        </is>
      </c>
      <c r="Z6" s="6" t="inlineStr">
        <is>
          <t>FAIBLE</t>
        </is>
      </c>
      <c r="AA6" s="6" t="inlineStr">
        <is>
          <t>FAIBLE</t>
        </is>
      </c>
      <c r="AB6" s="6" t="inlineStr">
        <is>
          <t>FAIBLE</t>
        </is>
      </c>
      <c r="AC6" s="6" t="inlineStr">
        <is>
          <t>FAIBLE</t>
        </is>
      </c>
      <c r="AD6" s="6" t="inlineStr">
        <is>
          <t>MOYEN</t>
        </is>
      </c>
      <c r="AE6" s="6" t="inlineStr">
        <is>
          <t>FAIBLE</t>
        </is>
      </c>
      <c r="AF6" s="6" t="inlineStr">
        <is>
          <t>FAIBLE</t>
        </is>
      </c>
      <c r="AG6" s="6" t="inlineStr">
        <is>
          <t>MOYEN</t>
        </is>
      </c>
      <c r="AH6" s="6" t="inlineStr">
        <is>
          <t>FAIBLE</t>
        </is>
      </c>
      <c r="AI6" s="6" t="inlineStr">
        <is>
          <t>FAIBLE</t>
        </is>
      </c>
      <c r="AJ6" s="4" t="n">
        <v>0</v>
      </c>
      <c r="AK6" s="4" t="n"/>
      <c r="AL6" s="6" t="inlineStr">
        <is>
          <t>RETENU_V0.5_REECRIT_CONCRET</t>
        </is>
      </c>
      <c r="AM6" s="6" t="n"/>
      <c r="AN6" s="4" t="inlineStr">
        <is>
          <t>PIP-BANK-0.3</t>
        </is>
      </c>
      <c r="AO6" s="6" t="inlineStr">
        <is>
          <t>PIP-BANK-0.4</t>
        </is>
      </c>
      <c r="AP6" s="8">
        <f>IF(OR(C6="PILOTE",C6="ACTIF"),IF(AND(A6&lt;&gt;"",H6&lt;&gt;"",I6&lt;&gt;"",K6&lt;&gt;"",V6&lt;&gt;"",W6&lt;&gt;""),"OK","A_COMPLETER"),"OK_STRUCTURE")</f>
        <v/>
      </c>
    </row>
    <row r="7" ht="72" customHeight="1" s="34">
      <c r="A7" s="4" t="inlineStr">
        <is>
          <t>PIP-SIT-R-R1-003</t>
        </is>
      </c>
      <c r="B7" s="4" t="inlineStr">
        <is>
          <t>0.2</t>
        </is>
      </c>
      <c r="C7" s="4" t="inlineStr">
        <is>
          <t>PILOTE</t>
        </is>
      </c>
      <c r="D7" s="4" t="inlineStr">
        <is>
          <t>08/09/2026</t>
        </is>
      </c>
      <c r="E7" s="4" t="inlineStr">
        <is>
          <t>08/09/2026</t>
        </is>
      </c>
      <c r="F7" s="4" t="inlineStr">
        <is>
          <t>SIT</t>
        </is>
      </c>
      <c r="G7" s="4" t="inlineStr">
        <is>
          <t>Situation courte avec enjeu central</t>
        </is>
      </c>
      <c r="H7" s="4" t="inlineStr">
        <is>
          <t>R</t>
        </is>
      </c>
      <c r="I7" s="4" t="inlineStr">
        <is>
          <t>R1</t>
        </is>
      </c>
      <c r="J7" s="6" t="inlineStr">
        <is>
          <t>A</t>
        </is>
      </c>
      <c r="K7" s="6" t="inlineStr">
        <is>
          <t>Prendre en charge la réalisation concrète d’un objet ou d’une structure à partir d’éléments séparés.</t>
        </is>
      </c>
      <c r="L7" s="4" t="inlineStr">
        <is>
          <t>Cela ne m’attire pas du tout</t>
        </is>
      </c>
      <c r="M7" s="4" t="inlineStr">
        <is>
          <t>Cela m’attire peu</t>
        </is>
      </c>
      <c r="N7" s="4" t="inlineStr">
        <is>
          <t>Je suis partagé(e) / sans préférence marquée</t>
        </is>
      </c>
      <c r="O7" s="4" t="inlineStr">
        <is>
          <t>Cela m’attire</t>
        </is>
      </c>
      <c r="P7" s="4" t="inlineStr">
        <is>
          <t>Cela m’attire beaucoup</t>
        </is>
      </c>
      <c r="Q7" s="4" t="n">
        <v>1</v>
      </c>
      <c r="R7" s="4" t="n">
        <v>2</v>
      </c>
      <c r="S7" s="4" t="n">
        <v>3</v>
      </c>
      <c r="T7" s="4" t="n">
        <v>4</v>
      </c>
      <c r="U7" s="4" t="n">
        <v>5</v>
      </c>
      <c r="V7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7" s="6" t="inlineStr">
        <is>
          <t>L’item relève de R1 — Construire / fabriquer / transformer : Création ou transformation concrète d’objets, structures ou matières.</t>
        </is>
      </c>
      <c r="X7" s="6" t="inlineStr">
        <is>
          <t>Revue méthodologique V0.3 : surveiller projection en cas de limitation physique ou sensorielle, familiarité avec le contexte professionnel au pilote.</t>
        </is>
      </c>
      <c r="Y7" s="6" t="inlineStr">
        <is>
          <t>FAIBLE</t>
        </is>
      </c>
      <c r="Z7" s="6" t="inlineStr">
        <is>
          <t>FAIBLE</t>
        </is>
      </c>
      <c r="AA7" s="6" t="inlineStr">
        <is>
          <t>FAIBLE</t>
        </is>
      </c>
      <c r="AB7" s="6" t="inlineStr">
        <is>
          <t>FAIBLE</t>
        </is>
      </c>
      <c r="AC7" s="6" t="inlineStr">
        <is>
          <t>FAIBLE</t>
        </is>
      </c>
      <c r="AD7" s="6" t="inlineStr">
        <is>
          <t>MOYEN</t>
        </is>
      </c>
      <c r="AE7" s="6" t="inlineStr">
        <is>
          <t>FAIBLE</t>
        </is>
      </c>
      <c r="AF7" s="6" t="inlineStr">
        <is>
          <t>FAIBLE</t>
        </is>
      </c>
      <c r="AG7" s="6" t="inlineStr">
        <is>
          <t>MOYEN</t>
        </is>
      </c>
      <c r="AH7" s="6" t="inlineStr">
        <is>
          <t>FAIBLE</t>
        </is>
      </c>
      <c r="AI7" s="6" t="inlineStr">
        <is>
          <t>FAIBLE</t>
        </is>
      </c>
      <c r="AJ7" s="4" t="n">
        <v>0</v>
      </c>
      <c r="AK7" s="4" t="n"/>
      <c r="AL7" s="6" t="inlineStr">
        <is>
          <t>RETENU_V0.5_REECRIT_CONCRET</t>
        </is>
      </c>
      <c r="AM7" s="6" t="n"/>
      <c r="AN7" s="4" t="inlineStr">
        <is>
          <t>PIP-BANK-0.3</t>
        </is>
      </c>
      <c r="AO7" s="6" t="inlineStr">
        <is>
          <t>PIP-BANK-0.4</t>
        </is>
      </c>
      <c r="AP7" s="8">
        <f>IF(OR(C7="PILOTE",C7="ACTIF"),IF(AND(A7&lt;&gt;"",H7&lt;&gt;"",I7&lt;&gt;"",K7&lt;&gt;"",V7&lt;&gt;"",W7&lt;&gt;""),"OK","A_COMPLETER"),"OK_STRUCTURE")</f>
        <v/>
      </c>
    </row>
    <row r="8" ht="72" customHeight="1" s="34">
      <c r="A8" s="4" t="inlineStr">
        <is>
          <t>PIP-ENV-R-R1-004</t>
        </is>
      </c>
      <c r="B8" s="4" t="inlineStr">
        <is>
          <t>0.2</t>
        </is>
      </c>
      <c r="C8" s="4" t="inlineStr">
        <is>
          <t>PILOTE</t>
        </is>
      </c>
      <c r="D8" s="4" t="inlineStr">
        <is>
          <t>08/09/2026</t>
        </is>
      </c>
      <c r="E8" s="4" t="inlineStr">
        <is>
          <t>08/09/2026</t>
        </is>
      </c>
      <c r="F8" s="4" t="inlineStr">
        <is>
          <t>ENV</t>
        </is>
      </c>
      <c r="G8" s="4" t="inlineStr">
        <is>
          <t>Contexte décrit par ce qu’il permet de faire</t>
        </is>
      </c>
      <c r="H8" s="4" t="inlineStr">
        <is>
          <t>R</t>
        </is>
      </c>
      <c r="I8" s="4" t="inlineStr">
        <is>
          <t>R1</t>
        </is>
      </c>
      <c r="J8" s="6" t="inlineStr">
        <is>
          <t>A</t>
        </is>
      </c>
      <c r="K8" s="6" t="inlineStr">
        <is>
          <t>Travailler dans un contexte où l’on voit directement le résultat matériel de ce que l’on fabrique ou transforme.</t>
        </is>
      </c>
      <c r="L8" s="4" t="inlineStr">
        <is>
          <t>Cela ne m’attire pas du tout</t>
        </is>
      </c>
      <c r="M8" s="4" t="inlineStr">
        <is>
          <t>Cela m’attire peu</t>
        </is>
      </c>
      <c r="N8" s="4" t="inlineStr">
        <is>
          <t>Je suis partagé(e) / sans préférence marquée</t>
        </is>
      </c>
      <c r="O8" s="4" t="inlineStr">
        <is>
          <t>Cela m’attire</t>
        </is>
      </c>
      <c r="P8" s="4" t="inlineStr">
        <is>
          <t>Cela m’attire beaucoup</t>
        </is>
      </c>
      <c r="Q8" s="4" t="n">
        <v>1</v>
      </c>
      <c r="R8" s="4" t="n">
        <v>2</v>
      </c>
      <c r="S8" s="4" t="n">
        <v>3</v>
      </c>
      <c r="T8" s="4" t="n">
        <v>4</v>
      </c>
      <c r="U8" s="4" t="n">
        <v>5</v>
      </c>
      <c r="V8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8" s="6" t="inlineStr">
        <is>
          <t>L’item relève de R1 — Construire / fabriquer / transformer : Création ou transformation concrète d’objets, structures ou matières.</t>
        </is>
      </c>
      <c r="X8" s="6" t="inlineStr">
        <is>
          <t>Revue méthodologique V0.3 : surveiller projection en cas de limitation physique ou sensorielle, familiarité avec le contexte professionnel au pilote.</t>
        </is>
      </c>
      <c r="Y8" s="6" t="inlineStr">
        <is>
          <t>FAIBLE</t>
        </is>
      </c>
      <c r="Z8" s="6" t="inlineStr">
        <is>
          <t>FAIBLE</t>
        </is>
      </c>
      <c r="AA8" s="6" t="inlineStr">
        <is>
          <t>FAIBLE</t>
        </is>
      </c>
      <c r="AB8" s="6" t="inlineStr">
        <is>
          <t>FAIBLE</t>
        </is>
      </c>
      <c r="AC8" s="6" t="inlineStr">
        <is>
          <t>FAIBLE</t>
        </is>
      </c>
      <c r="AD8" s="6" t="inlineStr">
        <is>
          <t>MOYEN</t>
        </is>
      </c>
      <c r="AE8" s="6" t="inlineStr">
        <is>
          <t>FAIBLE</t>
        </is>
      </c>
      <c r="AF8" s="6" t="inlineStr">
        <is>
          <t>FAIBLE</t>
        </is>
      </c>
      <c r="AG8" s="6" t="inlineStr">
        <is>
          <t>MOYEN</t>
        </is>
      </c>
      <c r="AH8" s="6" t="inlineStr">
        <is>
          <t>FAIBLE</t>
        </is>
      </c>
      <c r="AI8" s="6" t="inlineStr">
        <is>
          <t>FAIBLE</t>
        </is>
      </c>
      <c r="AJ8" s="4" t="n">
        <v>0</v>
      </c>
      <c r="AK8" s="4" t="n"/>
      <c r="AL8" s="6" t="inlineStr">
        <is>
          <t>RETIRE_BANQUE72_HISTORIQUE_CONSERVE</t>
        </is>
      </c>
      <c r="AM8" s="6" t="inlineStr">
        <is>
          <t>Réduction méthodologique 120→72 : doublon de facette / priorité aux activités professionnelles observables et aux items à plus faible risque.</t>
        </is>
      </c>
      <c r="AN8" s="4" t="inlineStr">
        <is>
          <t>PIP-BANK-0.3</t>
        </is>
      </c>
      <c r="AO8" s="6" t="inlineStr">
        <is>
          <t>PIP-BANK-0.3</t>
        </is>
      </c>
      <c r="AP8" s="8">
        <f>IF(OR(C8="PILOTE",C8="ACTIF"),IF(AND(A8&lt;&gt;"",H8&lt;&gt;"",I8&lt;&gt;"",K8&lt;&gt;"",V8&lt;&gt;"",W8&lt;&gt;""),"OK","A_COMPLETER"),"OK_STRUCTURE")</f>
        <v/>
      </c>
    </row>
    <row r="9" ht="72" customHeight="1" s="34">
      <c r="A9" s="4" t="inlineStr">
        <is>
          <t>PIP-ACT-R-R2-005</t>
        </is>
      </c>
      <c r="B9" s="4" t="inlineStr">
        <is>
          <t>0.2</t>
        </is>
      </c>
      <c r="C9" s="4" t="inlineStr">
        <is>
          <t>PILOTE</t>
        </is>
      </c>
      <c r="D9" s="4" t="inlineStr">
        <is>
          <t>08/09/2026</t>
        </is>
      </c>
      <c r="E9" s="4" t="inlineStr">
        <is>
          <t>08/09/2026</t>
        </is>
      </c>
      <c r="F9" s="4" t="inlineStr">
        <is>
          <t>ACT</t>
        </is>
      </c>
      <c r="G9" s="4" t="inlineStr">
        <is>
          <t>Verbe d’action + objet/contexte</t>
        </is>
      </c>
      <c r="H9" s="4" t="inlineStr">
        <is>
          <t>R</t>
        </is>
      </c>
      <c r="I9" s="4" t="inlineStr">
        <is>
          <t>R2</t>
        </is>
      </c>
      <c r="J9" s="6" t="inlineStr">
        <is>
          <t>I</t>
        </is>
      </c>
      <c r="K9" s="6" t="inlineStr">
        <is>
          <t>Installer un équipement pour qu’il soit prêt à fonctionner.</t>
        </is>
      </c>
      <c r="L9" s="4" t="inlineStr">
        <is>
          <t>Cela ne m’attire pas du tout</t>
        </is>
      </c>
      <c r="M9" s="4" t="inlineStr">
        <is>
          <t>Cela m’attire peu</t>
        </is>
      </c>
      <c r="N9" s="4" t="inlineStr">
        <is>
          <t>Je suis partagé(e) / sans préférence marquée</t>
        </is>
      </c>
      <c r="O9" s="4" t="inlineStr">
        <is>
          <t>Cela m’attire</t>
        </is>
      </c>
      <c r="P9" s="4" t="inlineStr">
        <is>
          <t>Cela m’attire beaucoup</t>
        </is>
      </c>
      <c r="Q9" s="4" t="n">
        <v>1</v>
      </c>
      <c r="R9" s="4" t="n">
        <v>2</v>
      </c>
      <c r="S9" s="4" t="n">
        <v>3</v>
      </c>
      <c r="T9" s="4" t="n">
        <v>4</v>
      </c>
      <c r="U9" s="4" t="n">
        <v>5</v>
      </c>
      <c r="V9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9" s="6" t="inlineStr">
        <is>
          <t>L’item relève de R2 — Installer / réparer / maintenir : Diagnostic pratique suivi d’une intervention concrète visant le fonctionnement.</t>
        </is>
      </c>
      <c r="X9" s="6" t="inlineStr">
        <is>
          <t>Revue méthodologique V0.3 : surveiller projection en cas de limitation physique ou sensorielle, familiarité avec le contexte professionnel au pilote.</t>
        </is>
      </c>
      <c r="Y9" s="6" t="inlineStr">
        <is>
          <t>FAIBLE</t>
        </is>
      </c>
      <c r="Z9" s="6" t="inlineStr">
        <is>
          <t>FAIBLE</t>
        </is>
      </c>
      <c r="AA9" s="6" t="inlineStr">
        <is>
          <t>FAIBLE</t>
        </is>
      </c>
      <c r="AB9" s="6" t="inlineStr">
        <is>
          <t>FAIBLE</t>
        </is>
      </c>
      <c r="AC9" s="6" t="inlineStr">
        <is>
          <t>FAIBLE</t>
        </is>
      </c>
      <c r="AD9" s="6" t="inlineStr">
        <is>
          <t>MOYEN</t>
        </is>
      </c>
      <c r="AE9" s="6" t="inlineStr">
        <is>
          <t>FAIBLE</t>
        </is>
      </c>
      <c r="AF9" s="6" t="inlineStr">
        <is>
          <t>FAIBLE</t>
        </is>
      </c>
      <c r="AG9" s="6" t="inlineStr">
        <is>
          <t>MOYEN</t>
        </is>
      </c>
      <c r="AH9" s="6" t="inlineStr">
        <is>
          <t>FAIBLE</t>
        </is>
      </c>
      <c r="AI9" s="6" t="inlineStr">
        <is>
          <t>FAIBLE</t>
        </is>
      </c>
      <c r="AJ9" s="4" t="n">
        <v>0</v>
      </c>
      <c r="AK9" s="4" t="n"/>
      <c r="AL9" s="6" t="inlineStr">
        <is>
          <t>RETENU_V0.5_REECRIT_CONCRET</t>
        </is>
      </c>
      <c r="AM9" s="6" t="n"/>
      <c r="AN9" s="4" t="inlineStr">
        <is>
          <t>PIP-BANK-0.3</t>
        </is>
      </c>
      <c r="AO9" s="6" t="inlineStr">
        <is>
          <t>PIP-BANK-0.4</t>
        </is>
      </c>
      <c r="AP9" s="8">
        <f>IF(OR(C9="PILOTE",C9="ACTIF"),IF(AND(A9&lt;&gt;"",H9&lt;&gt;"",I9&lt;&gt;"",K9&lt;&gt;"",V9&lt;&gt;"",W9&lt;&gt;""),"OK","A_COMPLETER"),"OK_STRUCTURE")</f>
        <v/>
      </c>
    </row>
    <row r="10" ht="72" customHeight="1" s="34">
      <c r="A10" s="4" t="inlineStr">
        <is>
          <t>PIP-ACT-R-R2-006</t>
        </is>
      </c>
      <c r="B10" s="4" t="inlineStr">
        <is>
          <t>0.2</t>
        </is>
      </c>
      <c r="C10" s="4" t="inlineStr">
        <is>
          <t>PILOTE</t>
        </is>
      </c>
      <c r="D10" s="4" t="inlineStr">
        <is>
          <t>08/09/2026</t>
        </is>
      </c>
      <c r="E10" s="4" t="inlineStr">
        <is>
          <t>08/09/2026</t>
        </is>
      </c>
      <c r="F10" s="4" t="inlineStr">
        <is>
          <t>ACT</t>
        </is>
      </c>
      <c r="G10" s="4" t="inlineStr">
        <is>
          <t>Verbe d’action + objet/contexte</t>
        </is>
      </c>
      <c r="H10" s="4" t="inlineStr">
        <is>
          <t>R</t>
        </is>
      </c>
      <c r="I10" s="4" t="inlineStr">
        <is>
          <t>R2</t>
        </is>
      </c>
      <c r="J10" s="6" t="inlineStr">
        <is>
          <t>I</t>
        </is>
      </c>
      <c r="K10" s="6" t="inlineStr">
        <is>
          <t>Réparer un matériel qui ne fonctionne plus correctement.</t>
        </is>
      </c>
      <c r="L10" s="4" t="inlineStr">
        <is>
          <t>Cela ne m’attire pas du tout</t>
        </is>
      </c>
      <c r="M10" s="4" t="inlineStr">
        <is>
          <t>Cela m’attire peu</t>
        </is>
      </c>
      <c r="N10" s="4" t="inlineStr">
        <is>
          <t>Je suis partagé(e) / sans préférence marquée</t>
        </is>
      </c>
      <c r="O10" s="4" t="inlineStr">
        <is>
          <t>Cela m’attire</t>
        </is>
      </c>
      <c r="P10" s="4" t="inlineStr">
        <is>
          <t>Cela m’attire beaucoup</t>
        </is>
      </c>
      <c r="Q10" s="4" t="n">
        <v>1</v>
      </c>
      <c r="R10" s="4" t="n">
        <v>2</v>
      </c>
      <c r="S10" s="4" t="n">
        <v>3</v>
      </c>
      <c r="T10" s="4" t="n">
        <v>4</v>
      </c>
      <c r="U10" s="4" t="n">
        <v>5</v>
      </c>
      <c r="V10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0" s="6" t="inlineStr">
        <is>
          <t>L’item relève de R2 — Installer / réparer / maintenir : Diagnostic pratique suivi d’une intervention concrète visant le fonctionnement.</t>
        </is>
      </c>
      <c r="X10" s="6" t="inlineStr">
        <is>
          <t>Revue méthodologique V0.3 : surveiller projection en cas de limitation physique ou sensorielle, familiarité avec le contexte professionnel, frontière avec I au pilote.</t>
        </is>
      </c>
      <c r="Y10" s="6" t="inlineStr">
        <is>
          <t>FAIBLE</t>
        </is>
      </c>
      <c r="Z10" s="6" t="inlineStr">
        <is>
          <t>FAIBLE</t>
        </is>
      </c>
      <c r="AA10" s="6" t="inlineStr">
        <is>
          <t>FAIBLE</t>
        </is>
      </c>
      <c r="AB10" s="6" t="inlineStr">
        <is>
          <t>FAIBLE</t>
        </is>
      </c>
      <c r="AC10" s="6" t="inlineStr">
        <is>
          <t>FAIBLE</t>
        </is>
      </c>
      <c r="AD10" s="6" t="inlineStr">
        <is>
          <t>MOYEN</t>
        </is>
      </c>
      <c r="AE10" s="6" t="inlineStr">
        <is>
          <t>FAIBLE</t>
        </is>
      </c>
      <c r="AF10" s="6" t="inlineStr">
        <is>
          <t>FAIBLE</t>
        </is>
      </c>
      <c r="AG10" s="6" t="inlineStr">
        <is>
          <t>MOYEN</t>
        </is>
      </c>
      <c r="AH10" s="6" t="inlineStr">
        <is>
          <t>FAIBLE</t>
        </is>
      </c>
      <c r="AI10" s="6" t="inlineStr">
        <is>
          <t>MOYEN</t>
        </is>
      </c>
      <c r="AJ10" s="4" t="n">
        <v>0</v>
      </c>
      <c r="AK10" s="4" t="n"/>
      <c r="AL10" s="6" t="inlineStr">
        <is>
          <t>RETENU_V0.5_REECRIT_CONCRET</t>
        </is>
      </c>
      <c r="AM10" s="6" t="n"/>
      <c r="AN10" s="4" t="inlineStr">
        <is>
          <t>PIP-BANK-0.3</t>
        </is>
      </c>
      <c r="AO10" s="6" t="inlineStr">
        <is>
          <t>PIP-BANK-0.4</t>
        </is>
      </c>
      <c r="AP10" s="8">
        <f>IF(OR(C10="PILOTE",C10="ACTIF"),IF(AND(A10&lt;&gt;"",H10&lt;&gt;"",I10&lt;&gt;"",K10&lt;&gt;"",V10&lt;&gt;"",W10&lt;&gt;""),"OK","A_COMPLETER"),"OK_STRUCTURE")</f>
        <v/>
      </c>
    </row>
    <row r="11" ht="72" customHeight="1" s="34">
      <c r="A11" s="4" t="inlineStr">
        <is>
          <t>PIP-SIT-R-R2-007</t>
        </is>
      </c>
      <c r="B11" s="4" t="inlineStr">
        <is>
          <t>0.2</t>
        </is>
      </c>
      <c r="C11" s="4" t="inlineStr">
        <is>
          <t>PILOTE</t>
        </is>
      </c>
      <c r="D11" s="4" t="inlineStr">
        <is>
          <t>08/09/2026</t>
        </is>
      </c>
      <c r="E11" s="4" t="inlineStr">
        <is>
          <t>08/09/2026</t>
        </is>
      </c>
      <c r="F11" s="4" t="inlineStr">
        <is>
          <t>SIT</t>
        </is>
      </c>
      <c r="G11" s="4" t="inlineStr">
        <is>
          <t>Situation courte avec enjeu central</t>
        </is>
      </c>
      <c r="H11" s="4" t="inlineStr">
        <is>
          <t>R</t>
        </is>
      </c>
      <c r="I11" s="4" t="inlineStr">
        <is>
          <t>R2</t>
        </is>
      </c>
      <c r="J11" s="6" t="inlineStr">
        <is>
          <t>I</t>
        </is>
      </c>
      <c r="K11" s="6" t="inlineStr">
        <is>
          <t>Intervenir lorsqu’un équipement doit être réglé ou remis en service.</t>
        </is>
      </c>
      <c r="L11" s="4" t="inlineStr">
        <is>
          <t>Cela ne m’attire pas du tout</t>
        </is>
      </c>
      <c r="M11" s="4" t="inlineStr">
        <is>
          <t>Cela m’attire peu</t>
        </is>
      </c>
      <c r="N11" s="4" t="inlineStr">
        <is>
          <t>Je suis partagé(e) / sans préférence marquée</t>
        </is>
      </c>
      <c r="O11" s="4" t="inlineStr">
        <is>
          <t>Cela m’attire</t>
        </is>
      </c>
      <c r="P11" s="4" t="inlineStr">
        <is>
          <t>Cela m’attire beaucoup</t>
        </is>
      </c>
      <c r="Q11" s="4" t="n">
        <v>1</v>
      </c>
      <c r="R11" s="4" t="n">
        <v>2</v>
      </c>
      <c r="S11" s="4" t="n">
        <v>3</v>
      </c>
      <c r="T11" s="4" t="n">
        <v>4</v>
      </c>
      <c r="U11" s="4" t="n">
        <v>5</v>
      </c>
      <c r="V11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1" s="6" t="inlineStr">
        <is>
          <t>L’item relève de R2 — Installer / réparer / maintenir : Diagnostic pratique suivi d’une intervention concrète visant le fonctionnement.</t>
        </is>
      </c>
      <c r="X11" s="6" t="inlineStr">
        <is>
          <t>Revue méthodologique V0.3 : surveiller projection en cas de limitation physique ou sensorielle, familiarité avec le contexte professionnel, frontière avec I au pilote.</t>
        </is>
      </c>
      <c r="Y11" s="6" t="inlineStr">
        <is>
          <t>FAIBLE</t>
        </is>
      </c>
      <c r="Z11" s="6" t="inlineStr">
        <is>
          <t>FAIBLE</t>
        </is>
      </c>
      <c r="AA11" s="6" t="inlineStr">
        <is>
          <t>FAIBLE</t>
        </is>
      </c>
      <c r="AB11" s="6" t="inlineStr">
        <is>
          <t>FAIBLE</t>
        </is>
      </c>
      <c r="AC11" s="6" t="inlineStr">
        <is>
          <t>FAIBLE</t>
        </is>
      </c>
      <c r="AD11" s="6" t="inlineStr">
        <is>
          <t>MOYEN</t>
        </is>
      </c>
      <c r="AE11" s="6" t="inlineStr">
        <is>
          <t>FAIBLE</t>
        </is>
      </c>
      <c r="AF11" s="6" t="inlineStr">
        <is>
          <t>FAIBLE</t>
        </is>
      </c>
      <c r="AG11" s="6" t="inlineStr">
        <is>
          <t>MOYEN</t>
        </is>
      </c>
      <c r="AH11" s="6" t="inlineStr">
        <is>
          <t>FAIBLE</t>
        </is>
      </c>
      <c r="AI11" s="6" t="inlineStr">
        <is>
          <t>MOYEN</t>
        </is>
      </c>
      <c r="AJ11" s="4" t="n">
        <v>0</v>
      </c>
      <c r="AK11" s="4" t="n"/>
      <c r="AL11" s="6" t="inlineStr">
        <is>
          <t>RETIRE_BANQUE72_HISTORIQUE_CONSERVE</t>
        </is>
      </c>
      <c r="AM11" s="6" t="inlineStr">
        <is>
          <t>Réduction méthodologique 120→72 : doublon de facette / priorité aux activités professionnelles observables et aux items à plus faible risque.</t>
        </is>
      </c>
      <c r="AN11" s="4" t="inlineStr">
        <is>
          <t>PIP-BANK-0.3</t>
        </is>
      </c>
      <c r="AO11" s="6" t="inlineStr">
        <is>
          <t>PIP-BANK-0.3</t>
        </is>
      </c>
      <c r="AP11" s="8">
        <f>IF(OR(C11="PILOTE",C11="ACTIF"),IF(AND(A11&lt;&gt;"",H11&lt;&gt;"",I11&lt;&gt;"",K11&lt;&gt;"",V11&lt;&gt;"",W11&lt;&gt;""),"OK","A_COMPLETER"),"OK_STRUCTURE")</f>
        <v/>
      </c>
    </row>
    <row r="12" ht="72" customHeight="1" s="34">
      <c r="A12" s="4" t="inlineStr">
        <is>
          <t>PIP-ENV-R-R2-008</t>
        </is>
      </c>
      <c r="B12" s="4" t="inlineStr">
        <is>
          <t>0.2</t>
        </is>
      </c>
      <c r="C12" s="4" t="inlineStr">
        <is>
          <t>PILOTE</t>
        </is>
      </c>
      <c r="D12" s="4" t="inlineStr">
        <is>
          <t>08/09/2026</t>
        </is>
      </c>
      <c r="E12" s="4" t="inlineStr">
        <is>
          <t>08/09/2026</t>
        </is>
      </c>
      <c r="F12" s="4" t="inlineStr">
        <is>
          <t>ENV</t>
        </is>
      </c>
      <c r="G12" s="4" t="inlineStr">
        <is>
          <t>Contexte décrit par ce qu’il permet de faire</t>
        </is>
      </c>
      <c r="H12" s="4" t="inlineStr">
        <is>
          <t>R</t>
        </is>
      </c>
      <c r="I12" s="4" t="inlineStr">
        <is>
          <t>R2</t>
        </is>
      </c>
      <c r="J12" s="6" t="inlineStr">
        <is>
          <t>I</t>
        </is>
      </c>
      <c r="K12" s="6" t="inlineStr">
        <is>
          <t>Évoluer dans un contexte où une part importante du travail consiste à entretenir et remettre en fonctionnement des équipements.</t>
        </is>
      </c>
      <c r="L12" s="4" t="inlineStr">
        <is>
          <t>Cela ne m’attire pas du tout</t>
        </is>
      </c>
      <c r="M12" s="4" t="inlineStr">
        <is>
          <t>Cela m’attire peu</t>
        </is>
      </c>
      <c r="N12" s="4" t="inlineStr">
        <is>
          <t>Je suis partagé(e) / sans préférence marquée</t>
        </is>
      </c>
      <c r="O12" s="4" t="inlineStr">
        <is>
          <t>Cela m’attire</t>
        </is>
      </c>
      <c r="P12" s="4" t="inlineStr">
        <is>
          <t>Cela m’attire beaucoup</t>
        </is>
      </c>
      <c r="Q12" s="4" t="n">
        <v>1</v>
      </c>
      <c r="R12" s="4" t="n">
        <v>2</v>
      </c>
      <c r="S12" s="4" t="n">
        <v>3</v>
      </c>
      <c r="T12" s="4" t="n">
        <v>4</v>
      </c>
      <c r="U12" s="4" t="n">
        <v>5</v>
      </c>
      <c r="V12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2" s="6" t="inlineStr">
        <is>
          <t>L’item relève de R2 — Installer / réparer / maintenir : Diagnostic pratique suivi d’une intervention concrète visant le fonctionnement.</t>
        </is>
      </c>
      <c r="X12" s="6" t="inlineStr">
        <is>
          <t>Revue méthodologique V0.3 : surveiller projection en cas de limitation physique ou sensorielle, familiarité avec le contexte professionnel au pilote.</t>
        </is>
      </c>
      <c r="Y12" s="6" t="inlineStr">
        <is>
          <t>FAIBLE</t>
        </is>
      </c>
      <c r="Z12" s="6" t="inlineStr">
        <is>
          <t>FAIBLE</t>
        </is>
      </c>
      <c r="AA12" s="6" t="inlineStr">
        <is>
          <t>FAIBLE</t>
        </is>
      </c>
      <c r="AB12" s="6" t="inlineStr">
        <is>
          <t>FAIBLE</t>
        </is>
      </c>
      <c r="AC12" s="6" t="inlineStr">
        <is>
          <t>FAIBLE</t>
        </is>
      </c>
      <c r="AD12" s="6" t="inlineStr">
        <is>
          <t>MOYEN</t>
        </is>
      </c>
      <c r="AE12" s="6" t="inlineStr">
        <is>
          <t>FAIBLE</t>
        </is>
      </c>
      <c r="AF12" s="6" t="inlineStr">
        <is>
          <t>FAIBLE</t>
        </is>
      </c>
      <c r="AG12" s="6" t="inlineStr">
        <is>
          <t>MOYEN</t>
        </is>
      </c>
      <c r="AH12" s="6" t="inlineStr">
        <is>
          <t>FAIBLE</t>
        </is>
      </c>
      <c r="AI12" s="6" t="inlineStr">
        <is>
          <t>FAIBLE</t>
        </is>
      </c>
      <c r="AJ12" s="4" t="n">
        <v>0</v>
      </c>
      <c r="AK12" s="4" t="n"/>
      <c r="AL12" s="6" t="inlineStr">
        <is>
          <t>RETIRE_BANQUE72_HISTORIQUE_CONSERVE</t>
        </is>
      </c>
      <c r="AM12" s="6" t="inlineStr">
        <is>
          <t>Réduction méthodologique 120→72 : doublon de facette / priorité aux activités professionnelles observables et aux items à plus faible risque.</t>
        </is>
      </c>
      <c r="AN12" s="4" t="inlineStr">
        <is>
          <t>PIP-BANK-0.3</t>
        </is>
      </c>
      <c r="AO12" s="6" t="inlineStr">
        <is>
          <t>PIP-BANK-0.3</t>
        </is>
      </c>
      <c r="AP12" s="8">
        <f>IF(OR(C12="PILOTE",C12="ACTIF"),IF(AND(A12&lt;&gt;"",H12&lt;&gt;"",I12&lt;&gt;"",K12&lt;&gt;"",V12&lt;&gt;"",W12&lt;&gt;""),"OK","A_COMPLETER"),"OK_STRUCTURE")</f>
        <v/>
      </c>
    </row>
    <row r="13" ht="72" customHeight="1" s="34">
      <c r="A13" s="4" t="inlineStr">
        <is>
          <t>PIP-ACT-R-R3-009</t>
        </is>
      </c>
      <c r="B13" s="4" t="inlineStr">
        <is>
          <t>0.2</t>
        </is>
      </c>
      <c r="C13" s="4" t="inlineStr">
        <is>
          <t>PILOTE</t>
        </is>
      </c>
      <c r="D13" s="4" t="inlineStr">
        <is>
          <t>08/09/2026</t>
        </is>
      </c>
      <c r="E13" s="4" t="inlineStr">
        <is>
          <t>08/09/2026</t>
        </is>
      </c>
      <c r="F13" s="4" t="inlineStr">
        <is>
          <t>ACT</t>
        </is>
      </c>
      <c r="G13" s="4" t="inlineStr">
        <is>
          <t>Verbe d’action + objet/contexte</t>
        </is>
      </c>
      <c r="H13" s="4" t="inlineStr">
        <is>
          <t>R</t>
        </is>
      </c>
      <c r="I13" s="4" t="inlineStr">
        <is>
          <t>R3</t>
        </is>
      </c>
      <c r="J13" s="6" t="inlineStr">
        <is>
          <t>I</t>
        </is>
      </c>
      <c r="K13" s="6" t="inlineStr">
        <is>
          <t>Utiliser des outils pour réaliser une tâche concrète avec précision.</t>
        </is>
      </c>
      <c r="L13" s="4" t="inlineStr">
        <is>
          <t>Cela ne m’attire pas du tout</t>
        </is>
      </c>
      <c r="M13" s="4" t="inlineStr">
        <is>
          <t>Cela m’attire peu</t>
        </is>
      </c>
      <c r="N13" s="4" t="inlineStr">
        <is>
          <t>Je suis partagé(e) / sans préférence marquée</t>
        </is>
      </c>
      <c r="O13" s="4" t="inlineStr">
        <is>
          <t>Cela m’attire</t>
        </is>
      </c>
      <c r="P13" s="4" t="inlineStr">
        <is>
          <t>Cela m’attire beaucoup</t>
        </is>
      </c>
      <c r="Q13" s="4" t="n">
        <v>1</v>
      </c>
      <c r="R13" s="4" t="n">
        <v>2</v>
      </c>
      <c r="S13" s="4" t="n">
        <v>3</v>
      </c>
      <c r="T13" s="4" t="n">
        <v>4</v>
      </c>
      <c r="U13" s="4" t="n">
        <v>5</v>
      </c>
      <c r="V13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3" s="6" t="inlineStr">
        <is>
          <t>L’item relève de R3 — Outils / machines / équipements : Usage direct d’outils, machines, instruments ou équipements techniques.</t>
        </is>
      </c>
      <c r="X13" s="6" t="inlineStr">
        <is>
          <t>Revue méthodologique V0.3 : surveiller projection en cas de limitation physique ou sensorielle, familiarité avec le contexte professionnel au pilote.</t>
        </is>
      </c>
      <c r="Y13" s="6" t="inlineStr">
        <is>
          <t>FAIBLE</t>
        </is>
      </c>
      <c r="Z13" s="6" t="inlineStr">
        <is>
          <t>FAIBLE</t>
        </is>
      </c>
      <c r="AA13" s="6" t="inlineStr">
        <is>
          <t>FAIBLE</t>
        </is>
      </c>
      <c r="AB13" s="6" t="inlineStr">
        <is>
          <t>FAIBLE</t>
        </is>
      </c>
      <c r="AC13" s="6" t="inlineStr">
        <is>
          <t>FAIBLE</t>
        </is>
      </c>
      <c r="AD13" s="6" t="inlineStr">
        <is>
          <t>MOYEN</t>
        </is>
      </c>
      <c r="AE13" s="6" t="inlineStr">
        <is>
          <t>FAIBLE</t>
        </is>
      </c>
      <c r="AF13" s="6" t="inlineStr">
        <is>
          <t>FAIBLE</t>
        </is>
      </c>
      <c r="AG13" s="6" t="inlineStr">
        <is>
          <t>MOYEN</t>
        </is>
      </c>
      <c r="AH13" s="6" t="inlineStr">
        <is>
          <t>FAIBLE</t>
        </is>
      </c>
      <c r="AI13" s="6" t="inlineStr">
        <is>
          <t>FAIBLE</t>
        </is>
      </c>
      <c r="AJ13" s="4" t="n">
        <v>0</v>
      </c>
      <c r="AK13" s="4" t="n"/>
      <c r="AL13" s="6" t="inlineStr">
        <is>
          <t>RETENU_V0.5_REECRIT_CONCRET</t>
        </is>
      </c>
      <c r="AM13" s="6" t="n"/>
      <c r="AN13" s="4" t="inlineStr">
        <is>
          <t>PIP-BANK-0.3</t>
        </is>
      </c>
      <c r="AO13" s="6" t="inlineStr">
        <is>
          <t>PIP-BANK-0.4</t>
        </is>
      </c>
      <c r="AP13" s="8">
        <f>IF(OR(C13="PILOTE",C13="ACTIF"),IF(AND(A13&lt;&gt;"",H13&lt;&gt;"",I13&lt;&gt;"",K13&lt;&gt;"",V13&lt;&gt;"",W13&lt;&gt;""),"OK","A_COMPLETER"),"OK_STRUCTURE")</f>
        <v/>
      </c>
    </row>
    <row r="14" ht="72" customHeight="1" s="34">
      <c r="A14" s="4" t="inlineStr">
        <is>
          <t>PIP-ACT-R-R3-010</t>
        </is>
      </c>
      <c r="B14" s="4" t="inlineStr">
        <is>
          <t>0.2</t>
        </is>
      </c>
      <c r="C14" s="4" t="inlineStr">
        <is>
          <t>PILOTE</t>
        </is>
      </c>
      <c r="D14" s="4" t="inlineStr">
        <is>
          <t>08/09/2026</t>
        </is>
      </c>
      <c r="E14" s="4" t="inlineStr">
        <is>
          <t>08/09/2026</t>
        </is>
      </c>
      <c r="F14" s="4" t="inlineStr">
        <is>
          <t>ACT</t>
        </is>
      </c>
      <c r="G14" s="4" t="inlineStr">
        <is>
          <t>Verbe d’action + objet/contexte</t>
        </is>
      </c>
      <c r="H14" s="4" t="inlineStr">
        <is>
          <t>R</t>
        </is>
      </c>
      <c r="I14" s="4" t="inlineStr">
        <is>
          <t>R3</t>
        </is>
      </c>
      <c r="J14" s="6" t="inlineStr">
        <is>
          <t>I</t>
        </is>
      </c>
      <c r="K14" s="6" t="inlineStr">
        <is>
          <t>Piloter ou régler une machine pour obtenir le résultat attendu.</t>
        </is>
      </c>
      <c r="L14" s="4" t="inlineStr">
        <is>
          <t>Cela ne m’attire pas du tout</t>
        </is>
      </c>
      <c r="M14" s="4" t="inlineStr">
        <is>
          <t>Cela m’attire peu</t>
        </is>
      </c>
      <c r="N14" s="4" t="inlineStr">
        <is>
          <t>Je suis partagé(e) / sans préférence marquée</t>
        </is>
      </c>
      <c r="O14" s="4" t="inlineStr">
        <is>
          <t>Cela m’attire</t>
        </is>
      </c>
      <c r="P14" s="4" t="inlineStr">
        <is>
          <t>Cela m’attire beaucoup</t>
        </is>
      </c>
      <c r="Q14" s="4" t="n">
        <v>1</v>
      </c>
      <c r="R14" s="4" t="n">
        <v>2</v>
      </c>
      <c r="S14" s="4" t="n">
        <v>3</v>
      </c>
      <c r="T14" s="4" t="n">
        <v>4</v>
      </c>
      <c r="U14" s="4" t="n">
        <v>5</v>
      </c>
      <c r="V14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4" s="6" t="inlineStr">
        <is>
          <t>L’item relève de R3 — Outils / machines / équipements : Usage direct d’outils, machines, instruments ou équipements techniques.</t>
        </is>
      </c>
      <c r="X14" s="6" t="inlineStr">
        <is>
          <t>Revue méthodologique V0.3 : surveiller projection en cas de limitation physique ou sensorielle, familiarité avec le contexte professionnel au pilote.</t>
        </is>
      </c>
      <c r="Y14" s="6" t="inlineStr">
        <is>
          <t>FAIBLE</t>
        </is>
      </c>
      <c r="Z14" s="6" t="inlineStr">
        <is>
          <t>FAIBLE</t>
        </is>
      </c>
      <c r="AA14" s="6" t="inlineStr">
        <is>
          <t>FAIBLE</t>
        </is>
      </c>
      <c r="AB14" s="6" t="inlineStr">
        <is>
          <t>FAIBLE</t>
        </is>
      </c>
      <c r="AC14" s="6" t="inlineStr">
        <is>
          <t>FAIBLE</t>
        </is>
      </c>
      <c r="AD14" s="6" t="inlineStr">
        <is>
          <t>MOYEN</t>
        </is>
      </c>
      <c r="AE14" s="6" t="inlineStr">
        <is>
          <t>FAIBLE</t>
        </is>
      </c>
      <c r="AF14" s="6" t="inlineStr">
        <is>
          <t>FAIBLE</t>
        </is>
      </c>
      <c r="AG14" s="6" t="inlineStr">
        <is>
          <t>MOYEN</t>
        </is>
      </c>
      <c r="AH14" s="6" t="inlineStr">
        <is>
          <t>FAIBLE</t>
        </is>
      </c>
      <c r="AI14" s="6" t="inlineStr">
        <is>
          <t>FAIBLE</t>
        </is>
      </c>
      <c r="AJ14" s="4" t="n">
        <v>0</v>
      </c>
      <c r="AK14" s="4" t="n"/>
      <c r="AL14" s="6" t="inlineStr">
        <is>
          <t>RETENU_V0.5_REECRIT_CONCRET</t>
        </is>
      </c>
      <c r="AM14" s="6" t="n"/>
      <c r="AN14" s="4" t="inlineStr">
        <is>
          <t>PIP-BANK-0.3</t>
        </is>
      </c>
      <c r="AO14" s="6" t="inlineStr">
        <is>
          <t>PIP-BANK-0.4</t>
        </is>
      </c>
      <c r="AP14" s="8">
        <f>IF(OR(C14="PILOTE",C14="ACTIF"),IF(AND(A14&lt;&gt;"",H14&lt;&gt;"",I14&lt;&gt;"",K14&lt;&gt;"",V14&lt;&gt;"",W14&lt;&gt;""),"OK","A_COMPLETER"),"OK_STRUCTURE")</f>
        <v/>
      </c>
    </row>
    <row r="15" ht="72" customHeight="1" s="34">
      <c r="A15" s="4" t="inlineStr">
        <is>
          <t>PIP-SIT-R-R3-011</t>
        </is>
      </c>
      <c r="B15" s="4" t="inlineStr">
        <is>
          <t>0.2</t>
        </is>
      </c>
      <c r="C15" s="4" t="inlineStr">
        <is>
          <t>PILOTE</t>
        </is>
      </c>
      <c r="D15" s="4" t="inlineStr">
        <is>
          <t>08/09/2026</t>
        </is>
      </c>
      <c r="E15" s="4" t="inlineStr">
        <is>
          <t>08/09/2026</t>
        </is>
      </c>
      <c r="F15" s="4" t="inlineStr">
        <is>
          <t>SIT</t>
        </is>
      </c>
      <c r="G15" s="4" t="inlineStr">
        <is>
          <t>Situation courte avec enjeu central</t>
        </is>
      </c>
      <c r="H15" s="4" t="inlineStr">
        <is>
          <t>R</t>
        </is>
      </c>
      <c r="I15" s="4" t="inlineStr">
        <is>
          <t>R3</t>
        </is>
      </c>
      <c r="J15" s="6" t="inlineStr">
        <is>
          <t>I</t>
        </is>
      </c>
      <c r="K15" s="6" t="inlineStr">
        <is>
          <t>Prendre en charge une tâche qui nécessite de manipuler directement un appareil ou un équipement.</t>
        </is>
      </c>
      <c r="L15" s="4" t="inlineStr">
        <is>
          <t>Cela ne m’attire pas du tout</t>
        </is>
      </c>
      <c r="M15" s="4" t="inlineStr">
        <is>
          <t>Cela m’attire peu</t>
        </is>
      </c>
      <c r="N15" s="4" t="inlineStr">
        <is>
          <t>Je suis partagé(e) / sans préférence marquée</t>
        </is>
      </c>
      <c r="O15" s="4" t="inlineStr">
        <is>
          <t>Cela m’attire</t>
        </is>
      </c>
      <c r="P15" s="4" t="inlineStr">
        <is>
          <t>Cela m’attire beaucoup</t>
        </is>
      </c>
      <c r="Q15" s="4" t="n">
        <v>1</v>
      </c>
      <c r="R15" s="4" t="n">
        <v>2</v>
      </c>
      <c r="S15" s="4" t="n">
        <v>3</v>
      </c>
      <c r="T15" s="4" t="n">
        <v>4</v>
      </c>
      <c r="U15" s="4" t="n">
        <v>5</v>
      </c>
      <c r="V15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5" s="6" t="inlineStr">
        <is>
          <t>L’item relève de R3 — Outils / machines / équipements : Usage direct d’outils, machines, instruments ou équipements techniques.</t>
        </is>
      </c>
      <c r="X15" s="6" t="inlineStr">
        <is>
          <t>Revue méthodologique V0.3 : surveiller projection en cas de limitation physique ou sensorielle, familiarité avec le contexte professionnel au pilote.</t>
        </is>
      </c>
      <c r="Y15" s="6" t="inlineStr">
        <is>
          <t>FAIBLE</t>
        </is>
      </c>
      <c r="Z15" s="6" t="inlineStr">
        <is>
          <t>FAIBLE</t>
        </is>
      </c>
      <c r="AA15" s="6" t="inlineStr">
        <is>
          <t>FAIBLE</t>
        </is>
      </c>
      <c r="AB15" s="6" t="inlineStr">
        <is>
          <t>FAIBLE</t>
        </is>
      </c>
      <c r="AC15" s="6" t="inlineStr">
        <is>
          <t>FAIBLE</t>
        </is>
      </c>
      <c r="AD15" s="6" t="inlineStr">
        <is>
          <t>MOYEN</t>
        </is>
      </c>
      <c r="AE15" s="6" t="inlineStr">
        <is>
          <t>FAIBLE</t>
        </is>
      </c>
      <c r="AF15" s="6" t="inlineStr">
        <is>
          <t>FAIBLE</t>
        </is>
      </c>
      <c r="AG15" s="6" t="inlineStr">
        <is>
          <t>MOYEN</t>
        </is>
      </c>
      <c r="AH15" s="6" t="inlineStr">
        <is>
          <t>FAIBLE</t>
        </is>
      </c>
      <c r="AI15" s="6" t="inlineStr">
        <is>
          <t>FAIBLE</t>
        </is>
      </c>
      <c r="AJ15" s="4" t="n">
        <v>0</v>
      </c>
      <c r="AK15" s="4" t="n"/>
      <c r="AL15" s="6" t="inlineStr">
        <is>
          <t>RETENU_V0.5_REECRIT_CONCRET</t>
        </is>
      </c>
      <c r="AM15" s="6" t="n"/>
      <c r="AN15" s="4" t="inlineStr">
        <is>
          <t>PIP-BANK-0.3</t>
        </is>
      </c>
      <c r="AO15" s="6" t="inlineStr">
        <is>
          <t>PIP-BANK-0.4</t>
        </is>
      </c>
      <c r="AP15" s="8">
        <f>IF(OR(C15="PILOTE",C15="ACTIF"),IF(AND(A15&lt;&gt;"",H15&lt;&gt;"",I15&lt;&gt;"",K15&lt;&gt;"",V15&lt;&gt;"",W15&lt;&gt;""),"OK","A_COMPLETER"),"OK_STRUCTURE")</f>
        <v/>
      </c>
    </row>
    <row r="16" ht="72" customHeight="1" s="34">
      <c r="A16" s="4" t="inlineStr">
        <is>
          <t>PIP-ENV-R-R3-012</t>
        </is>
      </c>
      <c r="B16" s="4" t="inlineStr">
        <is>
          <t>0.2</t>
        </is>
      </c>
      <c r="C16" s="4" t="inlineStr">
        <is>
          <t>PILOTE</t>
        </is>
      </c>
      <c r="D16" s="4" t="inlineStr">
        <is>
          <t>08/09/2026</t>
        </is>
      </c>
      <c r="E16" s="4" t="inlineStr">
        <is>
          <t>08/09/2026</t>
        </is>
      </c>
      <c r="F16" s="4" t="inlineStr">
        <is>
          <t>ENV</t>
        </is>
      </c>
      <c r="G16" s="4" t="inlineStr">
        <is>
          <t>Contexte décrit par ce qu’il permet de faire</t>
        </is>
      </c>
      <c r="H16" s="4" t="inlineStr">
        <is>
          <t>R</t>
        </is>
      </c>
      <c r="I16" s="4" t="inlineStr">
        <is>
          <t>R3</t>
        </is>
      </c>
      <c r="J16" s="6" t="inlineStr">
        <is>
          <t>I</t>
        </is>
      </c>
      <c r="K16" s="6" t="inlineStr">
        <is>
          <t>Travailler dans un environnement où l’on utilise régulièrement des outils, des instruments ou des machines pour agir sur le réel.</t>
        </is>
      </c>
      <c r="L16" s="4" t="inlineStr">
        <is>
          <t>Cela ne m’attire pas du tout</t>
        </is>
      </c>
      <c r="M16" s="4" t="inlineStr">
        <is>
          <t>Cela m’attire peu</t>
        </is>
      </c>
      <c r="N16" s="4" t="inlineStr">
        <is>
          <t>Je suis partagé(e) / sans préférence marquée</t>
        </is>
      </c>
      <c r="O16" s="4" t="inlineStr">
        <is>
          <t>Cela m’attire</t>
        </is>
      </c>
      <c r="P16" s="4" t="inlineStr">
        <is>
          <t>Cela m’attire beaucoup</t>
        </is>
      </c>
      <c r="Q16" s="4" t="n">
        <v>1</v>
      </c>
      <c r="R16" s="4" t="n">
        <v>2</v>
      </c>
      <c r="S16" s="4" t="n">
        <v>3</v>
      </c>
      <c r="T16" s="4" t="n">
        <v>4</v>
      </c>
      <c r="U16" s="4" t="n">
        <v>5</v>
      </c>
      <c r="V16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6" s="6" t="inlineStr">
        <is>
          <t>L’item relève de R3 — Outils / machines / équipements : Usage direct d’outils, machines, instruments ou équipements techniques.</t>
        </is>
      </c>
      <c r="X16" s="6" t="inlineStr">
        <is>
          <t>Revue méthodologique V0.3 : surveiller projection en cas de limitation physique ou sensorielle, familiarité avec le contexte professionnel au pilote.</t>
        </is>
      </c>
      <c r="Y16" s="6" t="inlineStr">
        <is>
          <t>FAIBLE</t>
        </is>
      </c>
      <c r="Z16" s="6" t="inlineStr">
        <is>
          <t>FAIBLE</t>
        </is>
      </c>
      <c r="AA16" s="6" t="inlineStr">
        <is>
          <t>FAIBLE</t>
        </is>
      </c>
      <c r="AB16" s="6" t="inlineStr">
        <is>
          <t>FAIBLE</t>
        </is>
      </c>
      <c r="AC16" s="6" t="inlineStr">
        <is>
          <t>FAIBLE</t>
        </is>
      </c>
      <c r="AD16" s="6" t="inlineStr">
        <is>
          <t>MOYEN</t>
        </is>
      </c>
      <c r="AE16" s="6" t="inlineStr">
        <is>
          <t>FAIBLE</t>
        </is>
      </c>
      <c r="AF16" s="6" t="inlineStr">
        <is>
          <t>FAIBLE</t>
        </is>
      </c>
      <c r="AG16" s="6" t="inlineStr">
        <is>
          <t>MOYEN</t>
        </is>
      </c>
      <c r="AH16" s="6" t="inlineStr">
        <is>
          <t>FAIBLE</t>
        </is>
      </c>
      <c r="AI16" s="6" t="inlineStr">
        <is>
          <t>FAIBLE</t>
        </is>
      </c>
      <c r="AJ16" s="4" t="n">
        <v>0</v>
      </c>
      <c r="AK16" s="4" t="n"/>
      <c r="AL16" s="6" t="inlineStr">
        <is>
          <t>RETIRE_BANQUE72_HISTORIQUE_CONSERVE</t>
        </is>
      </c>
      <c r="AM16" s="6" t="inlineStr">
        <is>
          <t>Réduction méthodologique 120→72 : doublon de facette / priorité aux activités professionnelles observables et aux items à plus faible risque.</t>
        </is>
      </c>
      <c r="AN16" s="4" t="inlineStr">
        <is>
          <t>PIP-BANK-0.3</t>
        </is>
      </c>
      <c r="AO16" s="6" t="inlineStr">
        <is>
          <t>PIP-BANK-0.3</t>
        </is>
      </c>
      <c r="AP16" s="8">
        <f>IF(OR(C16="PILOTE",C16="ACTIF"),IF(AND(A16&lt;&gt;"",H16&lt;&gt;"",I16&lt;&gt;"",K16&lt;&gt;"",V16&lt;&gt;"",W16&lt;&gt;""),"OK","A_COMPLETER"),"OK_STRUCTURE")</f>
        <v/>
      </c>
    </row>
    <row r="17" ht="72" customHeight="1" s="34">
      <c r="A17" s="4" t="inlineStr">
        <is>
          <t>PIP-ACT-R-R4-013</t>
        </is>
      </c>
      <c r="B17" s="4" t="inlineStr">
        <is>
          <t>0.2</t>
        </is>
      </c>
      <c r="C17" s="4" t="inlineStr">
        <is>
          <t>PILOTE</t>
        </is>
      </c>
      <c r="D17" s="4" t="inlineStr">
        <is>
          <t>08/09/2026</t>
        </is>
      </c>
      <c r="E17" s="4" t="inlineStr">
        <is>
          <t>08/09/2026</t>
        </is>
      </c>
      <c r="F17" s="4" t="inlineStr">
        <is>
          <t>ACT</t>
        </is>
      </c>
      <c r="G17" s="4" t="inlineStr">
        <is>
          <t>Verbe d’action + objet/contexte</t>
        </is>
      </c>
      <c r="H17" s="4" t="inlineStr">
        <is>
          <t>R</t>
        </is>
      </c>
      <c r="I17" s="4" t="inlineStr">
        <is>
          <t>R4</t>
        </is>
      </c>
      <c r="J17" s="6" t="inlineStr">
        <is>
          <t>I</t>
        </is>
      </c>
      <c r="K17" s="6" t="inlineStr">
        <is>
          <t>Se rendre sur différents sites pour intervenir directement sur le terrain.</t>
        </is>
      </c>
      <c r="L17" s="4" t="inlineStr">
        <is>
          <t>Cela ne m’attire pas du tout</t>
        </is>
      </c>
      <c r="M17" s="4" t="inlineStr">
        <is>
          <t>Cela m’attire peu</t>
        </is>
      </c>
      <c r="N17" s="4" t="inlineStr">
        <is>
          <t>Je suis partagé(e) / sans préférence marquée</t>
        </is>
      </c>
      <c r="O17" s="4" t="inlineStr">
        <is>
          <t>Cela m’attire</t>
        </is>
      </c>
      <c r="P17" s="4" t="inlineStr">
        <is>
          <t>Cela m’attire beaucoup</t>
        </is>
      </c>
      <c r="Q17" s="4" t="n">
        <v>1</v>
      </c>
      <c r="R17" s="4" t="n">
        <v>2</v>
      </c>
      <c r="S17" s="4" t="n">
        <v>3</v>
      </c>
      <c r="T17" s="4" t="n">
        <v>4</v>
      </c>
      <c r="U17" s="4" t="n">
        <v>5</v>
      </c>
      <c r="V17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7" s="6" t="inlineStr">
        <is>
          <t>L’item relève de R4 — Terrain / environnement concret : Action dans des contextes physiques, extérieurs ou directement liés à un environnement réel.</t>
        </is>
      </c>
      <c r="X17" s="6" t="inlineStr">
        <is>
          <t>Revue méthodologique V0.3 : surveiller projection en cas de limitation physique ou sensorielle, familiarité avec le contexte professionnel au pilote.</t>
        </is>
      </c>
      <c r="Y17" s="6" t="inlineStr">
        <is>
          <t>FAIBLE</t>
        </is>
      </c>
      <c r="Z17" s="6" t="inlineStr">
        <is>
          <t>FAIBLE</t>
        </is>
      </c>
      <c r="AA17" s="6" t="inlineStr">
        <is>
          <t>FAIBLE</t>
        </is>
      </c>
      <c r="AB17" s="6" t="inlineStr">
        <is>
          <t>FAIBLE</t>
        </is>
      </c>
      <c r="AC17" s="6" t="inlineStr">
        <is>
          <t>FAIBLE</t>
        </is>
      </c>
      <c r="AD17" s="6" t="inlineStr">
        <is>
          <t>MOYEN</t>
        </is>
      </c>
      <c r="AE17" s="6" t="inlineStr">
        <is>
          <t>FAIBLE</t>
        </is>
      </c>
      <c r="AF17" s="6" t="inlineStr">
        <is>
          <t>FAIBLE</t>
        </is>
      </c>
      <c r="AG17" s="6" t="inlineStr">
        <is>
          <t>MOYEN</t>
        </is>
      </c>
      <c r="AH17" s="6" t="inlineStr">
        <is>
          <t>FAIBLE</t>
        </is>
      </c>
      <c r="AI17" s="6" t="inlineStr">
        <is>
          <t>FAIBLE</t>
        </is>
      </c>
      <c r="AJ17" s="4" t="n">
        <v>0</v>
      </c>
      <c r="AK17" s="4" t="n"/>
      <c r="AL17" s="6" t="inlineStr">
        <is>
          <t>RETENU_V0.5_REECRIT_CONCRET</t>
        </is>
      </c>
      <c r="AM17" s="6" t="n"/>
      <c r="AN17" s="4" t="inlineStr">
        <is>
          <t>PIP-BANK-0.3</t>
        </is>
      </c>
      <c r="AO17" s="6" t="inlineStr">
        <is>
          <t>PIP-BANK-0.4</t>
        </is>
      </c>
      <c r="AP17" s="8">
        <f>IF(OR(C17="PILOTE",C17="ACTIF"),IF(AND(A17&lt;&gt;"",H17&lt;&gt;"",I17&lt;&gt;"",K17&lt;&gt;"",V17&lt;&gt;"",W17&lt;&gt;""),"OK","A_COMPLETER"),"OK_STRUCTURE")</f>
        <v/>
      </c>
    </row>
    <row r="18" ht="72" customHeight="1" s="34">
      <c r="A18" s="4" t="inlineStr">
        <is>
          <t>PIP-ACT-R-R4-014</t>
        </is>
      </c>
      <c r="B18" s="4" t="inlineStr">
        <is>
          <t>0.2</t>
        </is>
      </c>
      <c r="C18" s="4" t="inlineStr">
        <is>
          <t>PILOTE</t>
        </is>
      </c>
      <c r="D18" s="4" t="inlineStr">
        <is>
          <t>08/09/2026</t>
        </is>
      </c>
      <c r="E18" s="4" t="inlineStr">
        <is>
          <t>08/09/2026</t>
        </is>
      </c>
      <c r="F18" s="4" t="inlineStr">
        <is>
          <t>ACT</t>
        </is>
      </c>
      <c r="G18" s="4" t="inlineStr">
        <is>
          <t>Verbe d’action + objet/contexte</t>
        </is>
      </c>
      <c r="H18" s="4" t="inlineStr">
        <is>
          <t>R</t>
        </is>
      </c>
      <c r="I18" s="4" t="inlineStr">
        <is>
          <t>R4</t>
        </is>
      </c>
      <c r="J18" s="6" t="inlineStr">
        <is>
          <t>I</t>
        </is>
      </c>
      <c r="K18" s="6" t="inlineStr">
        <is>
          <t>Réaliser une activité professionnelle principalement en extérieur.</t>
        </is>
      </c>
      <c r="L18" s="4" t="inlineStr">
        <is>
          <t>Cela ne m’attire pas du tout</t>
        </is>
      </c>
      <c r="M18" s="4" t="inlineStr">
        <is>
          <t>Cela m’attire peu</t>
        </is>
      </c>
      <c r="N18" s="4" t="inlineStr">
        <is>
          <t>Je suis partagé(e) / sans préférence marquée</t>
        </is>
      </c>
      <c r="O18" s="4" t="inlineStr">
        <is>
          <t>Cela m’attire</t>
        </is>
      </c>
      <c r="P18" s="4" t="inlineStr">
        <is>
          <t>Cela m’attire beaucoup</t>
        </is>
      </c>
      <c r="Q18" s="4" t="n">
        <v>1</v>
      </c>
      <c r="R18" s="4" t="n">
        <v>2</v>
      </c>
      <c r="S18" s="4" t="n">
        <v>3</v>
      </c>
      <c r="T18" s="4" t="n">
        <v>4</v>
      </c>
      <c r="U18" s="4" t="n">
        <v>5</v>
      </c>
      <c r="V18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8" s="6" t="inlineStr">
        <is>
          <t>L’item relève de R4 — Terrain / environnement concret : Action dans des contextes physiques, extérieurs ou directement liés à un environnement réel.</t>
        </is>
      </c>
      <c r="X18" s="6" t="inlineStr">
        <is>
          <t>Revue méthodologique V0.3 : surveiller projection en cas de limitation physique ou sensorielle, familiarité avec le contexte professionnel au pilote.</t>
        </is>
      </c>
      <c r="Y18" s="6" t="inlineStr">
        <is>
          <t>FAIBLE</t>
        </is>
      </c>
      <c r="Z18" s="6" t="inlineStr">
        <is>
          <t>FAIBLE</t>
        </is>
      </c>
      <c r="AA18" s="6" t="inlineStr">
        <is>
          <t>FAIBLE</t>
        </is>
      </c>
      <c r="AB18" s="6" t="inlineStr">
        <is>
          <t>FAIBLE</t>
        </is>
      </c>
      <c r="AC18" s="6" t="inlineStr">
        <is>
          <t>FAIBLE</t>
        </is>
      </c>
      <c r="AD18" s="6" t="inlineStr">
        <is>
          <t>MOYEN</t>
        </is>
      </c>
      <c r="AE18" s="6" t="inlineStr">
        <is>
          <t>FAIBLE</t>
        </is>
      </c>
      <c r="AF18" s="6" t="inlineStr">
        <is>
          <t>FAIBLE</t>
        </is>
      </c>
      <c r="AG18" s="6" t="inlineStr">
        <is>
          <t>MOYEN</t>
        </is>
      </c>
      <c r="AH18" s="6" t="inlineStr">
        <is>
          <t>FAIBLE</t>
        </is>
      </c>
      <c r="AI18" s="6" t="inlineStr">
        <is>
          <t>FAIBLE</t>
        </is>
      </c>
      <c r="AJ18" s="4" t="n">
        <v>0</v>
      </c>
      <c r="AK18" s="4" t="n"/>
      <c r="AL18" s="6" t="inlineStr">
        <is>
          <t>RETENU_V0.5_REECRIT_CONCRET</t>
        </is>
      </c>
      <c r="AM18" s="6" t="n"/>
      <c r="AN18" s="4" t="inlineStr">
        <is>
          <t>PIP-BANK-0.3</t>
        </is>
      </c>
      <c r="AO18" s="6" t="inlineStr">
        <is>
          <t>PIP-BANK-0.4</t>
        </is>
      </c>
      <c r="AP18" s="8">
        <f>IF(OR(C18="PILOTE",C18="ACTIF"),IF(AND(A18&lt;&gt;"",H18&lt;&gt;"",I18&lt;&gt;"",K18&lt;&gt;"",V18&lt;&gt;"",W18&lt;&gt;""),"OK","A_COMPLETER"),"OK_STRUCTURE")</f>
        <v/>
      </c>
    </row>
    <row r="19" ht="72" customHeight="1" s="34">
      <c r="A19" s="4" t="inlineStr">
        <is>
          <t>PIP-SIT-R-R4-015</t>
        </is>
      </c>
      <c r="B19" s="4" t="inlineStr">
        <is>
          <t>0.2</t>
        </is>
      </c>
      <c r="C19" s="4" t="inlineStr">
        <is>
          <t>PILOTE</t>
        </is>
      </c>
      <c r="D19" s="4" t="inlineStr">
        <is>
          <t>08/09/2026</t>
        </is>
      </c>
      <c r="E19" s="4" t="inlineStr">
        <is>
          <t>08/09/2026</t>
        </is>
      </c>
      <c r="F19" s="4" t="inlineStr">
        <is>
          <t>SIT</t>
        </is>
      </c>
      <c r="G19" s="4" t="inlineStr">
        <is>
          <t>Situation courte avec enjeu central</t>
        </is>
      </c>
      <c r="H19" s="4" t="inlineStr">
        <is>
          <t>R</t>
        </is>
      </c>
      <c r="I19" s="4" t="inlineStr">
        <is>
          <t>R4</t>
        </is>
      </c>
      <c r="J19" s="6" t="inlineStr">
        <is>
          <t>I</t>
        </is>
      </c>
      <c r="K19" s="6" t="inlineStr">
        <is>
          <t>Intervenir sur place lorsqu’une situation concrète doit être traitée directement plutôt qu’à distance.</t>
        </is>
      </c>
      <c r="L19" s="4" t="inlineStr">
        <is>
          <t>Cela ne m’attire pas du tout</t>
        </is>
      </c>
      <c r="M19" s="4" t="inlineStr">
        <is>
          <t>Cela m’attire peu</t>
        </is>
      </c>
      <c r="N19" s="4" t="inlineStr">
        <is>
          <t>Je suis partagé(e) / sans préférence marquée</t>
        </is>
      </c>
      <c r="O19" s="4" t="inlineStr">
        <is>
          <t>Cela m’attire</t>
        </is>
      </c>
      <c r="P19" s="4" t="inlineStr">
        <is>
          <t>Cela m’attire beaucoup</t>
        </is>
      </c>
      <c r="Q19" s="4" t="n">
        <v>1</v>
      </c>
      <c r="R19" s="4" t="n">
        <v>2</v>
      </c>
      <c r="S19" s="4" t="n">
        <v>3</v>
      </c>
      <c r="T19" s="4" t="n">
        <v>4</v>
      </c>
      <c r="U19" s="4" t="n">
        <v>5</v>
      </c>
      <c r="V19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9" s="6" t="inlineStr">
        <is>
          <t>L’item relève de R4 — Terrain / environnement concret : Action dans des contextes physiques, extérieurs ou directement liés à un environnement réel.</t>
        </is>
      </c>
      <c r="X19" s="6" t="inlineStr">
        <is>
          <t>Revue méthodologique V0.3 : surveiller projection en cas de limitation physique ou sensorielle, familiarité avec le contexte professionnel au pilote.</t>
        </is>
      </c>
      <c r="Y19" s="6" t="inlineStr">
        <is>
          <t>FAIBLE</t>
        </is>
      </c>
      <c r="Z19" s="6" t="inlineStr">
        <is>
          <t>FAIBLE</t>
        </is>
      </c>
      <c r="AA19" s="6" t="inlineStr">
        <is>
          <t>FAIBLE</t>
        </is>
      </c>
      <c r="AB19" s="6" t="inlineStr">
        <is>
          <t>FAIBLE</t>
        </is>
      </c>
      <c r="AC19" s="6" t="inlineStr">
        <is>
          <t>FAIBLE</t>
        </is>
      </c>
      <c r="AD19" s="6" t="inlineStr">
        <is>
          <t>MOYEN</t>
        </is>
      </c>
      <c r="AE19" s="6" t="inlineStr">
        <is>
          <t>FAIBLE</t>
        </is>
      </c>
      <c r="AF19" s="6" t="inlineStr">
        <is>
          <t>FAIBLE</t>
        </is>
      </c>
      <c r="AG19" s="6" t="inlineStr">
        <is>
          <t>MOYEN</t>
        </is>
      </c>
      <c r="AH19" s="6" t="inlineStr">
        <is>
          <t>FAIBLE</t>
        </is>
      </c>
      <c r="AI19" s="6" t="inlineStr">
        <is>
          <t>FAIBLE</t>
        </is>
      </c>
      <c r="AJ19" s="4" t="n">
        <v>0</v>
      </c>
      <c r="AK19" s="4" t="n"/>
      <c r="AL19" s="6" t="inlineStr">
        <is>
          <t>RETIRE_BANQUE72_HISTORIQUE_CONSERVE</t>
        </is>
      </c>
      <c r="AM19" s="6" t="inlineStr">
        <is>
          <t>Réduction méthodologique 120→72 : doublon de facette / priorité aux activités professionnelles observables et aux items à plus faible risque.</t>
        </is>
      </c>
      <c r="AN19" s="4" t="inlineStr">
        <is>
          <t>PIP-BANK-0.3</t>
        </is>
      </c>
      <c r="AO19" s="6" t="inlineStr">
        <is>
          <t>PIP-BANK-0.3</t>
        </is>
      </c>
      <c r="AP19" s="8">
        <f>IF(OR(C19="PILOTE",C19="ACTIF"),IF(AND(A19&lt;&gt;"",H19&lt;&gt;"",I19&lt;&gt;"",K19&lt;&gt;"",V19&lt;&gt;"",W19&lt;&gt;""),"OK","A_COMPLETER"),"OK_STRUCTURE")</f>
        <v/>
      </c>
    </row>
    <row r="20" ht="72" customHeight="1" s="34">
      <c r="A20" s="4" t="inlineStr">
        <is>
          <t>PIP-ENV-R-R4-016</t>
        </is>
      </c>
      <c r="B20" s="4" t="inlineStr">
        <is>
          <t>0.2</t>
        </is>
      </c>
      <c r="C20" s="4" t="inlineStr">
        <is>
          <t>PILOTE</t>
        </is>
      </c>
      <c r="D20" s="4" t="inlineStr">
        <is>
          <t>08/09/2026</t>
        </is>
      </c>
      <c r="E20" s="4" t="inlineStr">
        <is>
          <t>08/09/2026</t>
        </is>
      </c>
      <c r="F20" s="4" t="inlineStr">
        <is>
          <t>ENV</t>
        </is>
      </c>
      <c r="G20" s="4" t="inlineStr">
        <is>
          <t>Contexte décrit par ce qu’il permet de faire</t>
        </is>
      </c>
      <c r="H20" s="4" t="inlineStr">
        <is>
          <t>R</t>
        </is>
      </c>
      <c r="I20" s="4" t="inlineStr">
        <is>
          <t>R4</t>
        </is>
      </c>
      <c r="J20" s="6" t="inlineStr">
        <is>
          <t>I</t>
        </is>
      </c>
      <c r="K20" s="6" t="inlineStr">
        <is>
          <t>Travailler dans un contexte où l’activité se déroule souvent sur le terrain, au contact direct de l’environnement réel.</t>
        </is>
      </c>
      <c r="L20" s="4" t="inlineStr">
        <is>
          <t>Cela ne m’attire pas du tout</t>
        </is>
      </c>
      <c r="M20" s="4" t="inlineStr">
        <is>
          <t>Cela m’attire peu</t>
        </is>
      </c>
      <c r="N20" s="4" t="inlineStr">
        <is>
          <t>Je suis partagé(e) / sans préférence marquée</t>
        </is>
      </c>
      <c r="O20" s="4" t="inlineStr">
        <is>
          <t>Cela m’attire</t>
        </is>
      </c>
      <c r="P20" s="4" t="inlineStr">
        <is>
          <t>Cela m’attire beaucoup</t>
        </is>
      </c>
      <c r="Q20" s="4" t="n">
        <v>1</v>
      </c>
      <c r="R20" s="4" t="n">
        <v>2</v>
      </c>
      <c r="S20" s="4" t="n">
        <v>3</v>
      </c>
      <c r="T20" s="4" t="n">
        <v>4</v>
      </c>
      <c r="U20" s="4" t="n">
        <v>5</v>
      </c>
      <c r="V20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20" s="6" t="inlineStr">
        <is>
          <t>L’item relève de R4 — Terrain / environnement concret : Action dans des contextes physiques, extérieurs ou directement liés à un environnement réel.</t>
        </is>
      </c>
      <c r="X20" s="6" t="inlineStr">
        <is>
          <t>Revue méthodologique V0.3 : surveiller projection en cas de limitation physique ou sensorielle, familiarité avec le contexte professionnel au pilote.</t>
        </is>
      </c>
      <c r="Y20" s="6" t="inlineStr">
        <is>
          <t>FAIBLE</t>
        </is>
      </c>
      <c r="Z20" s="6" t="inlineStr">
        <is>
          <t>FAIBLE</t>
        </is>
      </c>
      <c r="AA20" s="6" t="inlineStr">
        <is>
          <t>FAIBLE</t>
        </is>
      </c>
      <c r="AB20" s="6" t="inlineStr">
        <is>
          <t>FAIBLE</t>
        </is>
      </c>
      <c r="AC20" s="6" t="inlineStr">
        <is>
          <t>FAIBLE</t>
        </is>
      </c>
      <c r="AD20" s="6" t="inlineStr">
        <is>
          <t>MOYEN</t>
        </is>
      </c>
      <c r="AE20" s="6" t="inlineStr">
        <is>
          <t>FAIBLE</t>
        </is>
      </c>
      <c r="AF20" s="6" t="inlineStr">
        <is>
          <t>FAIBLE</t>
        </is>
      </c>
      <c r="AG20" s="6" t="inlineStr">
        <is>
          <t>MOYEN</t>
        </is>
      </c>
      <c r="AH20" s="6" t="inlineStr">
        <is>
          <t>FAIBLE</t>
        </is>
      </c>
      <c r="AI20" s="6" t="inlineStr">
        <is>
          <t>FAIBLE</t>
        </is>
      </c>
      <c r="AJ20" s="4" t="n">
        <v>0</v>
      </c>
      <c r="AK20" s="4" t="n"/>
      <c r="AL20" s="6" t="inlineStr">
        <is>
          <t>RETIRE_BANQUE72_HISTORIQUE_CONSERVE</t>
        </is>
      </c>
      <c r="AM20" s="6" t="inlineStr">
        <is>
          <t>Réduction méthodologique 120→72 : doublon de facette / priorité aux activités professionnelles observables et aux items à plus faible risque.</t>
        </is>
      </c>
      <c r="AN20" s="4" t="inlineStr">
        <is>
          <t>PIP-BANK-0.3</t>
        </is>
      </c>
      <c r="AO20" s="6" t="inlineStr">
        <is>
          <t>PIP-BANK-0.3</t>
        </is>
      </c>
      <c r="AP20" s="8">
        <f>IF(OR(C20="PILOTE",C20="ACTIF"),IF(AND(A20&lt;&gt;"",H20&lt;&gt;"",I20&lt;&gt;"",K20&lt;&gt;"",V20&lt;&gt;"",W20&lt;&gt;""),"OK","A_COMPLETER"),"OK_STRUCTURE")</f>
        <v/>
      </c>
    </row>
    <row r="21" ht="72" customHeight="1" s="34">
      <c r="A21" s="4" t="inlineStr">
        <is>
          <t>PIP-ACT-R-R5-017</t>
        </is>
      </c>
      <c r="B21" s="4" t="inlineStr">
        <is>
          <t>0.2</t>
        </is>
      </c>
      <c r="C21" s="4" t="inlineStr">
        <is>
          <t>PILOTE</t>
        </is>
      </c>
      <c r="D21" s="4" t="inlineStr">
        <is>
          <t>08/09/2026</t>
        </is>
      </c>
      <c r="E21" s="4" t="inlineStr">
        <is>
          <t>08/09/2026</t>
        </is>
      </c>
      <c r="F21" s="4" t="inlineStr">
        <is>
          <t>ACT</t>
        </is>
      </c>
      <c r="G21" s="4" t="inlineStr">
        <is>
          <t>Verbe d’action + objet/contexte</t>
        </is>
      </c>
      <c r="H21" s="4" t="inlineStr">
        <is>
          <t>R</t>
        </is>
      </c>
      <c r="I21" s="4" t="inlineStr">
        <is>
          <t>R5</t>
        </is>
      </c>
      <c r="J21" s="6" t="inlineStr">
        <is>
          <t>S,I</t>
        </is>
      </c>
      <c r="K21" s="6" t="inlineStr">
        <is>
          <t>S’occuper concrètement de plantes ou d’animaux dans le cadre du travail.</t>
        </is>
      </c>
      <c r="L21" s="4" t="inlineStr">
        <is>
          <t>Cela ne m’attire pas du tout</t>
        </is>
      </c>
      <c r="M21" s="4" t="inlineStr">
        <is>
          <t>Cela m’attire peu</t>
        </is>
      </c>
      <c r="N21" s="4" t="inlineStr">
        <is>
          <t>Je suis partagé(e) / sans préférence marquée</t>
        </is>
      </c>
      <c r="O21" s="4" t="inlineStr">
        <is>
          <t>Cela m’attire</t>
        </is>
      </c>
      <c r="P21" s="4" t="inlineStr">
        <is>
          <t>Cela m’attire beaucoup</t>
        </is>
      </c>
      <c r="Q21" s="4" t="n">
        <v>1</v>
      </c>
      <c r="R21" s="4" t="n">
        <v>2</v>
      </c>
      <c r="S21" s="4" t="n">
        <v>3</v>
      </c>
      <c r="T21" s="4" t="n">
        <v>4</v>
      </c>
      <c r="U21" s="4" t="n">
        <v>5</v>
      </c>
      <c r="V21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21" s="6" t="inlineStr">
        <is>
          <t>L’item relève de R5 — Vivant / matière / action physique : Activités pratiques impliquant plantes, animaux, matière, effort corporel ou intervention physique finalisée.</t>
        </is>
      </c>
      <c r="X21" s="6" t="inlineStr">
        <is>
          <t>Revue méthodologique V0.3 : surveiller projection en cas de limitation physique ou sensorielle, familiarité avec le contexte professionnel, frontière avec S au pilote.</t>
        </is>
      </c>
      <c r="Y21" s="6" t="inlineStr">
        <is>
          <t>FAIBLE</t>
        </is>
      </c>
      <c r="Z21" s="6" t="inlineStr">
        <is>
          <t>FAIBLE</t>
        </is>
      </c>
      <c r="AA21" s="6" t="inlineStr">
        <is>
          <t>FAIBLE</t>
        </is>
      </c>
      <c r="AB21" s="6" t="inlineStr">
        <is>
          <t>FAIBLE</t>
        </is>
      </c>
      <c r="AC21" s="6" t="inlineStr">
        <is>
          <t>FAIBLE</t>
        </is>
      </c>
      <c r="AD21" s="6" t="inlineStr">
        <is>
          <t>MOYEN</t>
        </is>
      </c>
      <c r="AE21" s="6" t="inlineStr">
        <is>
          <t>FAIBLE</t>
        </is>
      </c>
      <c r="AF21" s="6" t="inlineStr">
        <is>
          <t>FAIBLE</t>
        </is>
      </c>
      <c r="AG21" s="6" t="inlineStr">
        <is>
          <t>MOYEN</t>
        </is>
      </c>
      <c r="AH21" s="6" t="inlineStr">
        <is>
          <t>FAIBLE</t>
        </is>
      </c>
      <c r="AI21" s="6" t="inlineStr">
        <is>
          <t>MOYEN</t>
        </is>
      </c>
      <c r="AJ21" s="4" t="n">
        <v>0</v>
      </c>
      <c r="AK21" s="4" t="n"/>
      <c r="AL21" s="6" t="inlineStr">
        <is>
          <t>RETENU_V0.5_REECRIT_CONCRET</t>
        </is>
      </c>
      <c r="AM21" s="6" t="n"/>
      <c r="AN21" s="4" t="inlineStr">
        <is>
          <t>PIP-BANK-0.3</t>
        </is>
      </c>
      <c r="AO21" s="6" t="inlineStr">
        <is>
          <t>PIP-BANK-0.4</t>
        </is>
      </c>
      <c r="AP21" s="8">
        <f>IF(OR(C21="PILOTE",C21="ACTIF"),IF(AND(A21&lt;&gt;"",H21&lt;&gt;"",I21&lt;&gt;"",K21&lt;&gt;"",V21&lt;&gt;"",W21&lt;&gt;""),"OK","A_COMPLETER"),"OK_STRUCTURE")</f>
        <v/>
      </c>
    </row>
    <row r="22" ht="72" customHeight="1" s="34">
      <c r="A22" s="4" t="inlineStr">
        <is>
          <t>PIP-ACT-R-R5-018</t>
        </is>
      </c>
      <c r="B22" s="4" t="inlineStr">
        <is>
          <t>0.2</t>
        </is>
      </c>
      <c r="C22" s="4" t="inlineStr">
        <is>
          <t>PILOTE</t>
        </is>
      </c>
      <c r="D22" s="4" t="inlineStr">
        <is>
          <t>08/09/2026</t>
        </is>
      </c>
      <c r="E22" s="4" t="inlineStr">
        <is>
          <t>08/09/2026</t>
        </is>
      </c>
      <c r="F22" s="4" t="inlineStr">
        <is>
          <t>ACT</t>
        </is>
      </c>
      <c r="G22" s="4" t="inlineStr">
        <is>
          <t>Verbe d’action + objet/contexte</t>
        </is>
      </c>
      <c r="H22" s="4" t="inlineStr">
        <is>
          <t>R</t>
        </is>
      </c>
      <c r="I22" s="4" t="inlineStr">
        <is>
          <t>R5</t>
        </is>
      </c>
      <c r="J22" s="6" t="inlineStr">
        <is>
          <t>S,I</t>
        </is>
      </c>
      <c r="K22" s="6" t="inlineStr">
        <is>
          <t>Manipuler des matériaux ou des produits pour réaliser une tâche physique utile.</t>
        </is>
      </c>
      <c r="L22" s="4" t="inlineStr">
        <is>
          <t>Cela ne m’attire pas du tout</t>
        </is>
      </c>
      <c r="M22" s="4" t="inlineStr">
        <is>
          <t>Cela m’attire peu</t>
        </is>
      </c>
      <c r="N22" s="4" t="inlineStr">
        <is>
          <t>Je suis partagé(e) / sans préférence marquée</t>
        </is>
      </c>
      <c r="O22" s="4" t="inlineStr">
        <is>
          <t>Cela m’attire</t>
        </is>
      </c>
      <c r="P22" s="4" t="inlineStr">
        <is>
          <t>Cela m’attire beaucoup</t>
        </is>
      </c>
      <c r="Q22" s="4" t="n">
        <v>1</v>
      </c>
      <c r="R22" s="4" t="n">
        <v>2</v>
      </c>
      <c r="S22" s="4" t="n">
        <v>3</v>
      </c>
      <c r="T22" s="4" t="n">
        <v>4</v>
      </c>
      <c r="U22" s="4" t="n">
        <v>5</v>
      </c>
      <c r="V22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22" s="6" t="inlineStr">
        <is>
          <t>L’item relève de R5 — Vivant / matière / action physique : Activités pratiques impliquant plantes, animaux, matière, effort corporel ou intervention physique finalisée.</t>
        </is>
      </c>
      <c r="X22" s="6" t="inlineStr">
        <is>
          <t>Revue méthodologique V0.3 : surveiller projection en cas de limitation physique ou sensorielle, familiarité avec le contexte professionnel au pilote.</t>
        </is>
      </c>
      <c r="Y22" s="6" t="inlineStr">
        <is>
          <t>FAIBLE</t>
        </is>
      </c>
      <c r="Z22" s="6" t="inlineStr">
        <is>
          <t>FAIBLE</t>
        </is>
      </c>
      <c r="AA22" s="6" t="inlineStr">
        <is>
          <t>FAIBLE</t>
        </is>
      </c>
      <c r="AB22" s="6" t="inlineStr">
        <is>
          <t>FAIBLE</t>
        </is>
      </c>
      <c r="AC22" s="6" t="inlineStr">
        <is>
          <t>FAIBLE</t>
        </is>
      </c>
      <c r="AD22" s="6" t="inlineStr">
        <is>
          <t>MOYEN</t>
        </is>
      </c>
      <c r="AE22" s="6" t="inlineStr">
        <is>
          <t>FAIBLE</t>
        </is>
      </c>
      <c r="AF22" s="6" t="inlineStr">
        <is>
          <t>FAIBLE</t>
        </is>
      </c>
      <c r="AG22" s="6" t="inlineStr">
        <is>
          <t>MOYEN</t>
        </is>
      </c>
      <c r="AH22" s="6" t="inlineStr">
        <is>
          <t>FAIBLE</t>
        </is>
      </c>
      <c r="AI22" s="6" t="inlineStr">
        <is>
          <t>FAIBLE</t>
        </is>
      </c>
      <c r="AJ22" s="4" t="n">
        <v>0</v>
      </c>
      <c r="AK22" s="4" t="n"/>
      <c r="AL22" s="6" t="inlineStr">
        <is>
          <t>RETENU_V0.5_REECRIT_CONCRET</t>
        </is>
      </c>
      <c r="AM22" s="6" t="n"/>
      <c r="AN22" s="4" t="inlineStr">
        <is>
          <t>PIP-BANK-0.3</t>
        </is>
      </c>
      <c r="AO22" s="6" t="inlineStr">
        <is>
          <t>PIP-BANK-0.4</t>
        </is>
      </c>
      <c r="AP22" s="8">
        <f>IF(OR(C22="PILOTE",C22="ACTIF"),IF(AND(A22&lt;&gt;"",H22&lt;&gt;"",I22&lt;&gt;"",K22&lt;&gt;"",V22&lt;&gt;"",W22&lt;&gt;""),"OK","A_COMPLETER"),"OK_STRUCTURE")</f>
        <v/>
      </c>
    </row>
    <row r="23" ht="72" customHeight="1" s="34">
      <c r="A23" s="4" t="inlineStr">
        <is>
          <t>PIP-SIT-R-R5-019</t>
        </is>
      </c>
      <c r="B23" s="4" t="inlineStr">
        <is>
          <t>0.2</t>
        </is>
      </c>
      <c r="C23" s="4" t="inlineStr">
        <is>
          <t>PILOTE</t>
        </is>
      </c>
      <c r="D23" s="4" t="inlineStr">
        <is>
          <t>08/09/2026</t>
        </is>
      </c>
      <c r="E23" s="4" t="inlineStr">
        <is>
          <t>08/09/2026</t>
        </is>
      </c>
      <c r="F23" s="4" t="inlineStr">
        <is>
          <t>SIT</t>
        </is>
      </c>
      <c r="G23" s="4" t="inlineStr">
        <is>
          <t>Situation courte avec enjeu central</t>
        </is>
      </c>
      <c r="H23" s="4" t="inlineStr">
        <is>
          <t>R</t>
        </is>
      </c>
      <c r="I23" s="4" t="inlineStr">
        <is>
          <t>R5</t>
        </is>
      </c>
      <c r="J23" s="6" t="inlineStr">
        <is>
          <t>S,I</t>
        </is>
      </c>
      <c r="K23" s="6" t="inlineStr">
        <is>
          <t>Prendre en charge une activité où il faut agir directement sur du vivant, de la matière ou un environnement physique.</t>
        </is>
      </c>
      <c r="L23" s="4" t="inlineStr">
        <is>
          <t>Cela ne m’attire pas du tout</t>
        </is>
      </c>
      <c r="M23" s="4" t="inlineStr">
        <is>
          <t>Cela m’attire peu</t>
        </is>
      </c>
      <c r="N23" s="4" t="inlineStr">
        <is>
          <t>Je suis partagé(e) / sans préférence marquée</t>
        </is>
      </c>
      <c r="O23" s="4" t="inlineStr">
        <is>
          <t>Cela m’attire</t>
        </is>
      </c>
      <c r="P23" s="4" t="inlineStr">
        <is>
          <t>Cela m’attire beaucoup</t>
        </is>
      </c>
      <c r="Q23" s="4" t="n">
        <v>1</v>
      </c>
      <c r="R23" s="4" t="n">
        <v>2</v>
      </c>
      <c r="S23" s="4" t="n">
        <v>3</v>
      </c>
      <c r="T23" s="4" t="n">
        <v>4</v>
      </c>
      <c r="U23" s="4" t="n">
        <v>5</v>
      </c>
      <c r="V23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23" s="6" t="inlineStr">
        <is>
          <t>L’item relève de R5 — Vivant / matière / action physique : Activités pratiques impliquant plantes, animaux, matière, effort corporel ou intervention physique finalisée.</t>
        </is>
      </c>
      <c r="X23" s="6" t="inlineStr">
        <is>
          <t>Revue méthodologique V0.3 : surveiller projection en cas de limitation physique ou sensorielle, familiarité avec le contexte professionnel au pilote.</t>
        </is>
      </c>
      <c r="Y23" s="6" t="inlineStr">
        <is>
          <t>FAIBLE</t>
        </is>
      </c>
      <c r="Z23" s="6" t="inlineStr">
        <is>
          <t>FAIBLE</t>
        </is>
      </c>
      <c r="AA23" s="6" t="inlineStr">
        <is>
          <t>FAIBLE</t>
        </is>
      </c>
      <c r="AB23" s="6" t="inlineStr">
        <is>
          <t>FAIBLE</t>
        </is>
      </c>
      <c r="AC23" s="6" t="inlineStr">
        <is>
          <t>FAIBLE</t>
        </is>
      </c>
      <c r="AD23" s="6" t="inlineStr">
        <is>
          <t>MOYEN</t>
        </is>
      </c>
      <c r="AE23" s="6" t="inlineStr">
        <is>
          <t>FAIBLE</t>
        </is>
      </c>
      <c r="AF23" s="6" t="inlineStr">
        <is>
          <t>FAIBLE</t>
        </is>
      </c>
      <c r="AG23" s="6" t="inlineStr">
        <is>
          <t>MOYEN</t>
        </is>
      </c>
      <c r="AH23" s="6" t="inlineStr">
        <is>
          <t>FAIBLE</t>
        </is>
      </c>
      <c r="AI23" s="6" t="inlineStr">
        <is>
          <t>FAIBLE</t>
        </is>
      </c>
      <c r="AJ23" s="4" t="n">
        <v>0</v>
      </c>
      <c r="AK23" s="4" t="n"/>
      <c r="AL23" s="6" t="inlineStr">
        <is>
          <t>RETIRE_BANQUE72_HISTORIQUE_CONSERVE</t>
        </is>
      </c>
      <c r="AM23" s="6" t="inlineStr">
        <is>
          <t>Réduction méthodologique 120→72 : doublon de facette / priorité aux activités professionnelles observables et aux items à plus faible risque.</t>
        </is>
      </c>
      <c r="AN23" s="4" t="inlineStr">
        <is>
          <t>PIP-BANK-0.3</t>
        </is>
      </c>
      <c r="AO23" s="6" t="inlineStr">
        <is>
          <t>PIP-BANK-0.3</t>
        </is>
      </c>
      <c r="AP23" s="8">
        <f>IF(OR(C23="PILOTE",C23="ACTIF"),IF(AND(A23&lt;&gt;"",H23&lt;&gt;"",I23&lt;&gt;"",K23&lt;&gt;"",V23&lt;&gt;"",W23&lt;&gt;""),"OK","A_COMPLETER"),"OK_STRUCTURE")</f>
        <v/>
      </c>
    </row>
    <row r="24" ht="72" customHeight="1" s="34">
      <c r="A24" s="4" t="inlineStr">
        <is>
          <t>PIP-ENV-R-R5-020</t>
        </is>
      </c>
      <c r="B24" s="4" t="inlineStr">
        <is>
          <t>0.2</t>
        </is>
      </c>
      <c r="C24" s="4" t="inlineStr">
        <is>
          <t>PILOTE</t>
        </is>
      </c>
      <c r="D24" s="4" t="inlineStr">
        <is>
          <t>08/09/2026</t>
        </is>
      </c>
      <c r="E24" s="4" t="inlineStr">
        <is>
          <t>08/09/2026</t>
        </is>
      </c>
      <c r="F24" s="4" t="inlineStr">
        <is>
          <t>ENV</t>
        </is>
      </c>
      <c r="G24" s="4" t="inlineStr">
        <is>
          <t>Contexte décrit par ce qu’il permet de faire</t>
        </is>
      </c>
      <c r="H24" s="4" t="inlineStr">
        <is>
          <t>R</t>
        </is>
      </c>
      <c r="I24" s="4" t="inlineStr">
        <is>
          <t>R5</t>
        </is>
      </c>
      <c r="J24" s="6" t="inlineStr">
        <is>
          <t>S,I</t>
        </is>
      </c>
      <c r="K24" s="6" t="inlineStr">
        <is>
          <t>Évoluer dans un environnement où le travail implique régulièrement une action physique concrète sur des matières, des plantes, des animaux ou des objets.</t>
        </is>
      </c>
      <c r="L24" s="4" t="inlineStr">
        <is>
          <t>Cela ne m’attire pas du tout</t>
        </is>
      </c>
      <c r="M24" s="4" t="inlineStr">
        <is>
          <t>Cela m’attire peu</t>
        </is>
      </c>
      <c r="N24" s="4" t="inlineStr">
        <is>
          <t>Je suis partagé(e) / sans préférence marquée</t>
        </is>
      </c>
      <c r="O24" s="4" t="inlineStr">
        <is>
          <t>Cela m’attire</t>
        </is>
      </c>
      <c r="P24" s="4" t="inlineStr">
        <is>
          <t>Cela m’attire beaucoup</t>
        </is>
      </c>
      <c r="Q24" s="4" t="n">
        <v>1</v>
      </c>
      <c r="R24" s="4" t="n">
        <v>2</v>
      </c>
      <c r="S24" s="4" t="n">
        <v>3</v>
      </c>
      <c r="T24" s="4" t="n">
        <v>4</v>
      </c>
      <c r="U24" s="4" t="n">
        <v>5</v>
      </c>
      <c r="V24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24" s="6" t="inlineStr">
        <is>
          <t>L’item relève de R5 — Vivant / matière / action physique : Activités pratiques impliquant plantes, animaux, matière, effort corporel ou intervention physique finalisée.</t>
        </is>
      </c>
      <c r="X24" s="6" t="inlineStr">
        <is>
          <t>Revue méthodologique V0.3 : surveiller projection en cas de limitation physique ou sensorielle, familiarité avec le contexte professionnel au pilote.</t>
        </is>
      </c>
      <c r="Y24" s="6" t="inlineStr">
        <is>
          <t>FAIBLE</t>
        </is>
      </c>
      <c r="Z24" s="6" t="inlineStr">
        <is>
          <t>FAIBLE</t>
        </is>
      </c>
      <c r="AA24" s="6" t="inlineStr">
        <is>
          <t>FAIBLE</t>
        </is>
      </c>
      <c r="AB24" s="6" t="inlineStr">
        <is>
          <t>FAIBLE</t>
        </is>
      </c>
      <c r="AC24" s="6" t="inlineStr">
        <is>
          <t>FAIBLE</t>
        </is>
      </c>
      <c r="AD24" s="6" t="inlineStr">
        <is>
          <t>MOYEN</t>
        </is>
      </c>
      <c r="AE24" s="6" t="inlineStr">
        <is>
          <t>FAIBLE</t>
        </is>
      </c>
      <c r="AF24" s="6" t="inlineStr">
        <is>
          <t>FAIBLE</t>
        </is>
      </c>
      <c r="AG24" s="6" t="inlineStr">
        <is>
          <t>MOYEN</t>
        </is>
      </c>
      <c r="AH24" s="6" t="inlineStr">
        <is>
          <t>FAIBLE</t>
        </is>
      </c>
      <c r="AI24" s="6" t="inlineStr">
        <is>
          <t>FAIBLE</t>
        </is>
      </c>
      <c r="AJ24" s="4" t="n">
        <v>0</v>
      </c>
      <c r="AK24" s="4" t="n"/>
      <c r="AL24" s="6" t="inlineStr">
        <is>
          <t>RETIRE_BANQUE72_HISTORIQUE_CONSERVE</t>
        </is>
      </c>
      <c r="AM24" s="6" t="inlineStr">
        <is>
          <t>Réduction méthodologique 120→72 : doublon de facette / priorité aux activités professionnelles observables et aux items à plus faible risque.</t>
        </is>
      </c>
      <c r="AN24" s="4" t="inlineStr">
        <is>
          <t>PIP-BANK-0.3</t>
        </is>
      </c>
      <c r="AO24" s="6" t="inlineStr">
        <is>
          <t>PIP-BANK-0.3</t>
        </is>
      </c>
      <c r="AP24" s="8">
        <f>IF(OR(C24="PILOTE",C24="ACTIF"),IF(AND(A24&lt;&gt;"",H24&lt;&gt;"",I24&lt;&gt;"",K24&lt;&gt;"",V24&lt;&gt;"",W24&lt;&gt;""),"OK","A_COMPLETER"),"OK_STRUCTURE")</f>
        <v/>
      </c>
    </row>
    <row r="25" ht="72" customHeight="1" s="34">
      <c r="A25" s="4" t="inlineStr">
        <is>
          <t>PIP-ACT-I-I1-001</t>
        </is>
      </c>
      <c r="B25" s="4" t="inlineStr">
        <is>
          <t>0.2</t>
        </is>
      </c>
      <c r="C25" s="4" t="inlineStr">
        <is>
          <t>PILOTE</t>
        </is>
      </c>
      <c r="D25" s="4" t="inlineStr">
        <is>
          <t>08/09/2026</t>
        </is>
      </c>
      <c r="E25" s="4" t="inlineStr">
        <is>
          <t>08/09/2026</t>
        </is>
      </c>
      <c r="F25" s="4" t="inlineStr">
        <is>
          <t>ACT</t>
        </is>
      </c>
      <c r="G25" s="4" t="inlineStr">
        <is>
          <t>Verbe d’action + objet/contexte</t>
        </is>
      </c>
      <c r="H25" s="4" t="inlineStr">
        <is>
          <t>I</t>
        </is>
      </c>
      <c r="I25" s="4" t="inlineStr">
        <is>
          <t>I1</t>
        </is>
      </c>
      <c r="J25" s="6" t="inlineStr">
        <is>
          <t>C</t>
        </is>
      </c>
      <c r="K25" s="6" t="inlineStr">
        <is>
          <t>Observer attentivement une situation pour en repérer les caractéristiques importantes.</t>
        </is>
      </c>
      <c r="L25" s="4" t="inlineStr">
        <is>
          <t>Cela ne m’attire pas du tout</t>
        </is>
      </c>
      <c r="M25" s="4" t="inlineStr">
        <is>
          <t>Cela m’attire peu</t>
        </is>
      </c>
      <c r="N25" s="4" t="inlineStr">
        <is>
          <t>Je suis partagé(e) / sans préférence marquée</t>
        </is>
      </c>
      <c r="O25" s="4" t="inlineStr">
        <is>
          <t>Cela m’attire</t>
        </is>
      </c>
      <c r="P25" s="4" t="inlineStr">
        <is>
          <t>Cela m’attire beaucoup</t>
        </is>
      </c>
      <c r="Q25" s="4" t="n">
        <v>1</v>
      </c>
      <c r="R25" s="4" t="n">
        <v>2</v>
      </c>
      <c r="S25" s="4" t="n">
        <v>3</v>
      </c>
      <c r="T25" s="4" t="n">
        <v>4</v>
      </c>
      <c r="U25" s="4" t="n">
        <v>5</v>
      </c>
      <c r="V25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25" s="6" t="inlineStr">
        <is>
          <t>L’item relève de I1 — Observer / examiner : Examen attentif de faits, phénomènes, informations ou situations.</t>
        </is>
      </c>
      <c r="X25" s="6" t="inlineStr">
        <is>
          <t>Revue méthodologique V0.3 : surveiller compréhension du vocabulaire au pilote.</t>
        </is>
      </c>
      <c r="Y25" s="6" t="inlineStr">
        <is>
          <t>FAIBLE</t>
        </is>
      </c>
      <c r="Z25" s="6" t="inlineStr">
        <is>
          <t>FAIBLE</t>
        </is>
      </c>
      <c r="AA25" s="6" t="inlineStr">
        <is>
          <t>FAIBLE</t>
        </is>
      </c>
      <c r="AB25" s="6" t="inlineStr">
        <is>
          <t>MOYEN</t>
        </is>
      </c>
      <c r="AC25" s="6" t="inlineStr">
        <is>
          <t>MOYEN</t>
        </is>
      </c>
      <c r="AD25" s="6" t="inlineStr">
        <is>
          <t>FAIBLE</t>
        </is>
      </c>
      <c r="AE25" s="6" t="inlineStr">
        <is>
          <t>FAIBLE</t>
        </is>
      </c>
      <c r="AF25" s="6" t="inlineStr">
        <is>
          <t>FAIBLE</t>
        </is>
      </c>
      <c r="AG25" s="6" t="inlineStr">
        <is>
          <t>FAIBLE</t>
        </is>
      </c>
      <c r="AH25" s="6" t="inlineStr">
        <is>
          <t>FAIBLE</t>
        </is>
      </c>
      <c r="AI25" s="6" t="inlineStr">
        <is>
          <t>FAIBLE</t>
        </is>
      </c>
      <c r="AJ25" s="4" t="n">
        <v>0</v>
      </c>
      <c r="AK25" s="4" t="n"/>
      <c r="AL25" s="6" t="inlineStr">
        <is>
          <t>RETENU_V0.5_REECRIT_CONCRET</t>
        </is>
      </c>
      <c r="AM25" s="6" t="n"/>
      <c r="AN25" s="4" t="inlineStr">
        <is>
          <t>PIP-BANK-0.3</t>
        </is>
      </c>
      <c r="AO25" s="6" t="inlineStr">
        <is>
          <t>PIP-BANK-0.4</t>
        </is>
      </c>
      <c r="AP25" s="8">
        <f>IF(OR(C25="PILOTE",C25="ACTIF"),IF(AND(A25&lt;&gt;"",H25&lt;&gt;"",I25&lt;&gt;"",K25&lt;&gt;"",V25&lt;&gt;"",W25&lt;&gt;""),"OK","A_COMPLETER"),"OK_STRUCTURE")</f>
        <v/>
      </c>
    </row>
    <row r="26" ht="72" customHeight="1" s="34">
      <c r="A26" s="4" t="inlineStr">
        <is>
          <t>PIP-ACT-I-I1-002</t>
        </is>
      </c>
      <c r="B26" s="4" t="inlineStr">
        <is>
          <t>0.2</t>
        </is>
      </c>
      <c r="C26" s="4" t="inlineStr">
        <is>
          <t>PILOTE</t>
        </is>
      </c>
      <c r="D26" s="4" t="inlineStr">
        <is>
          <t>08/09/2026</t>
        </is>
      </c>
      <c r="E26" s="4" t="inlineStr">
        <is>
          <t>08/09/2026</t>
        </is>
      </c>
      <c r="F26" s="4" t="inlineStr">
        <is>
          <t>ACT</t>
        </is>
      </c>
      <c r="G26" s="4" t="inlineStr">
        <is>
          <t>Verbe d’action + objet/contexte</t>
        </is>
      </c>
      <c r="H26" s="4" t="inlineStr">
        <is>
          <t>I</t>
        </is>
      </c>
      <c r="I26" s="4" t="inlineStr">
        <is>
          <t>I1</t>
        </is>
      </c>
      <c r="J26" s="6" t="inlineStr">
        <is>
          <t>C</t>
        </is>
      </c>
      <c r="K26" s="6" t="inlineStr">
        <is>
          <t>Comparer plusieurs informations ou observations pour identifier ce qui les distingue.</t>
        </is>
      </c>
      <c r="L26" s="4" t="inlineStr">
        <is>
          <t>Cela ne m’attire pas du tout</t>
        </is>
      </c>
      <c r="M26" s="4" t="inlineStr">
        <is>
          <t>Cela m’attire peu</t>
        </is>
      </c>
      <c r="N26" s="4" t="inlineStr">
        <is>
          <t>Je suis partagé(e) / sans préférence marquée</t>
        </is>
      </c>
      <c r="O26" s="4" t="inlineStr">
        <is>
          <t>Cela m’attire</t>
        </is>
      </c>
      <c r="P26" s="4" t="inlineStr">
        <is>
          <t>Cela m’attire beaucoup</t>
        </is>
      </c>
      <c r="Q26" s="4" t="n">
        <v>1</v>
      </c>
      <c r="R26" s="4" t="n">
        <v>2</v>
      </c>
      <c r="S26" s="4" t="n">
        <v>3</v>
      </c>
      <c r="T26" s="4" t="n">
        <v>4</v>
      </c>
      <c r="U26" s="4" t="n">
        <v>5</v>
      </c>
      <c r="V26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26" s="6" t="inlineStr">
        <is>
          <t>L’item relève de I1 — Observer / examiner : Examen attentif de faits, phénomènes, informations ou situations.</t>
        </is>
      </c>
      <c r="X26" s="6" t="inlineStr">
        <is>
          <t>Revue méthodologique V0.3 : surveiller compréhension du vocabulaire au pilote.</t>
        </is>
      </c>
      <c r="Y26" s="6" t="inlineStr">
        <is>
          <t>FAIBLE</t>
        </is>
      </c>
      <c r="Z26" s="6" t="inlineStr">
        <is>
          <t>FAIBLE</t>
        </is>
      </c>
      <c r="AA26" s="6" t="inlineStr">
        <is>
          <t>FAIBLE</t>
        </is>
      </c>
      <c r="AB26" s="6" t="inlineStr">
        <is>
          <t>MOYEN</t>
        </is>
      </c>
      <c r="AC26" s="6" t="inlineStr">
        <is>
          <t>MOYEN</t>
        </is>
      </c>
      <c r="AD26" s="6" t="inlineStr">
        <is>
          <t>FAIBLE</t>
        </is>
      </c>
      <c r="AE26" s="6" t="inlineStr">
        <is>
          <t>FAIBLE</t>
        </is>
      </c>
      <c r="AF26" s="6" t="inlineStr">
        <is>
          <t>FAIBLE</t>
        </is>
      </c>
      <c r="AG26" s="6" t="inlineStr">
        <is>
          <t>FAIBLE</t>
        </is>
      </c>
      <c r="AH26" s="6" t="inlineStr">
        <is>
          <t>FAIBLE</t>
        </is>
      </c>
      <c r="AI26" s="6" t="inlineStr">
        <is>
          <t>FAIBLE</t>
        </is>
      </c>
      <c r="AJ26" s="4" t="n">
        <v>0</v>
      </c>
      <c r="AK26" s="4" t="n"/>
      <c r="AL26" s="6" t="inlineStr">
        <is>
          <t>RETENU_V0.5_REECRIT_CONCRET</t>
        </is>
      </c>
      <c r="AM26" s="6" t="n"/>
      <c r="AN26" s="4" t="inlineStr">
        <is>
          <t>PIP-BANK-0.3</t>
        </is>
      </c>
      <c r="AO26" s="6" t="inlineStr">
        <is>
          <t>PIP-BANK-0.4</t>
        </is>
      </c>
      <c r="AP26" s="8">
        <f>IF(OR(C26="PILOTE",C26="ACTIF"),IF(AND(A26&lt;&gt;"",H26&lt;&gt;"",I26&lt;&gt;"",K26&lt;&gt;"",V26&lt;&gt;"",W26&lt;&gt;""),"OK","A_COMPLETER"),"OK_STRUCTURE")</f>
        <v/>
      </c>
    </row>
    <row r="27" ht="72" customHeight="1" s="34">
      <c r="A27" s="4" t="inlineStr">
        <is>
          <t>PIP-SIT-I-I1-003</t>
        </is>
      </c>
      <c r="B27" s="4" t="inlineStr">
        <is>
          <t>0.2</t>
        </is>
      </c>
      <c r="C27" s="4" t="inlineStr">
        <is>
          <t>PILOTE</t>
        </is>
      </c>
      <c r="D27" s="4" t="inlineStr">
        <is>
          <t>08/09/2026</t>
        </is>
      </c>
      <c r="E27" s="4" t="inlineStr">
        <is>
          <t>08/09/2026</t>
        </is>
      </c>
      <c r="F27" s="4" t="inlineStr">
        <is>
          <t>SIT</t>
        </is>
      </c>
      <c r="G27" s="4" t="inlineStr">
        <is>
          <t>Situation courte avec enjeu central</t>
        </is>
      </c>
      <c r="H27" s="4" t="inlineStr">
        <is>
          <t>I</t>
        </is>
      </c>
      <c r="I27" s="4" t="inlineStr">
        <is>
          <t>I1</t>
        </is>
      </c>
      <c r="J27" s="6" t="inlineStr">
        <is>
          <t>C</t>
        </is>
      </c>
      <c r="K27" s="6" t="inlineStr">
        <is>
          <t>Examiner une situation nouvelle afin de comprendre précisément ce qui s’y passe.</t>
        </is>
      </c>
      <c r="L27" s="4" t="inlineStr">
        <is>
          <t>Cela ne m’attire pas du tout</t>
        </is>
      </c>
      <c r="M27" s="4" t="inlineStr">
        <is>
          <t>Cela m’attire peu</t>
        </is>
      </c>
      <c r="N27" s="4" t="inlineStr">
        <is>
          <t>Je suis partagé(e) / sans préférence marquée</t>
        </is>
      </c>
      <c r="O27" s="4" t="inlineStr">
        <is>
          <t>Cela m’attire</t>
        </is>
      </c>
      <c r="P27" s="4" t="inlineStr">
        <is>
          <t>Cela m’attire beaucoup</t>
        </is>
      </c>
      <c r="Q27" s="4" t="n">
        <v>1</v>
      </c>
      <c r="R27" s="4" t="n">
        <v>2</v>
      </c>
      <c r="S27" s="4" t="n">
        <v>3</v>
      </c>
      <c r="T27" s="4" t="n">
        <v>4</v>
      </c>
      <c r="U27" s="4" t="n">
        <v>5</v>
      </c>
      <c r="V27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27" s="6" t="inlineStr">
        <is>
          <t>L’item relève de I1 — Observer / examiner : Examen attentif de faits, phénomènes, informations ou situations.</t>
        </is>
      </c>
      <c r="X27" s="6" t="inlineStr">
        <is>
          <t>Revue méthodologique V0.3 : surveiller compréhension du vocabulaire au pilote.</t>
        </is>
      </c>
      <c r="Y27" s="6" t="inlineStr">
        <is>
          <t>FAIBLE</t>
        </is>
      </c>
      <c r="Z27" s="6" t="inlineStr">
        <is>
          <t>FAIBLE</t>
        </is>
      </c>
      <c r="AA27" s="6" t="inlineStr">
        <is>
          <t>FAIBLE</t>
        </is>
      </c>
      <c r="AB27" s="6" t="inlineStr">
        <is>
          <t>MOYEN</t>
        </is>
      </c>
      <c r="AC27" s="6" t="inlineStr">
        <is>
          <t>MOYEN</t>
        </is>
      </c>
      <c r="AD27" s="6" t="inlineStr">
        <is>
          <t>FAIBLE</t>
        </is>
      </c>
      <c r="AE27" s="6" t="inlineStr">
        <is>
          <t>FAIBLE</t>
        </is>
      </c>
      <c r="AF27" s="6" t="inlineStr">
        <is>
          <t>FAIBLE</t>
        </is>
      </c>
      <c r="AG27" s="6" t="inlineStr">
        <is>
          <t>FAIBLE</t>
        </is>
      </c>
      <c r="AH27" s="6" t="inlineStr">
        <is>
          <t>FAIBLE</t>
        </is>
      </c>
      <c r="AI27" s="6" t="inlineStr">
        <is>
          <t>FAIBLE</t>
        </is>
      </c>
      <c r="AJ27" s="4" t="n">
        <v>0</v>
      </c>
      <c r="AK27" s="4" t="n"/>
      <c r="AL27" s="6" t="inlineStr">
        <is>
          <t>RETENU_V0.5_REECRIT_CONCRET</t>
        </is>
      </c>
      <c r="AM27" s="6" t="n"/>
      <c r="AN27" s="4" t="inlineStr">
        <is>
          <t>PIP-BANK-0.3</t>
        </is>
      </c>
      <c r="AO27" s="6" t="inlineStr">
        <is>
          <t>PIP-BANK-0.4</t>
        </is>
      </c>
      <c r="AP27" s="8">
        <f>IF(OR(C27="PILOTE",C27="ACTIF"),IF(AND(A27&lt;&gt;"",H27&lt;&gt;"",I27&lt;&gt;"",K27&lt;&gt;"",V27&lt;&gt;"",W27&lt;&gt;""),"OK","A_COMPLETER"),"OK_STRUCTURE")</f>
        <v/>
      </c>
    </row>
    <row r="28" ht="72" customHeight="1" s="34">
      <c r="A28" s="4" t="inlineStr">
        <is>
          <t>PIP-ENV-I-I1-004</t>
        </is>
      </c>
      <c r="B28" s="4" t="inlineStr">
        <is>
          <t>0.2</t>
        </is>
      </c>
      <c r="C28" s="4" t="inlineStr">
        <is>
          <t>PILOTE</t>
        </is>
      </c>
      <c r="D28" s="4" t="inlineStr">
        <is>
          <t>08/09/2026</t>
        </is>
      </c>
      <c r="E28" s="4" t="inlineStr">
        <is>
          <t>08/09/2026</t>
        </is>
      </c>
      <c r="F28" s="4" t="inlineStr">
        <is>
          <t>ENV</t>
        </is>
      </c>
      <c r="G28" s="4" t="inlineStr">
        <is>
          <t>Contexte décrit par ce qu’il permet de faire</t>
        </is>
      </c>
      <c r="H28" s="4" t="inlineStr">
        <is>
          <t>I</t>
        </is>
      </c>
      <c r="I28" s="4" t="inlineStr">
        <is>
          <t>I1</t>
        </is>
      </c>
      <c r="J28" s="6" t="inlineStr">
        <is>
          <t>C</t>
        </is>
      </c>
      <c r="K28" s="6" t="inlineStr">
        <is>
          <t>Travailler dans un contexte où l’on dispose de temps pour observer et examiner les faits avant de tirer des conclusions.</t>
        </is>
      </c>
      <c r="L28" s="4" t="inlineStr">
        <is>
          <t>Cela ne m’attire pas du tout</t>
        </is>
      </c>
      <c r="M28" s="4" t="inlineStr">
        <is>
          <t>Cela m’attire peu</t>
        </is>
      </c>
      <c r="N28" s="4" t="inlineStr">
        <is>
          <t>Je suis partagé(e) / sans préférence marquée</t>
        </is>
      </c>
      <c r="O28" s="4" t="inlineStr">
        <is>
          <t>Cela m’attire</t>
        </is>
      </c>
      <c r="P28" s="4" t="inlineStr">
        <is>
          <t>Cela m’attire beaucoup</t>
        </is>
      </c>
      <c r="Q28" s="4" t="n">
        <v>1</v>
      </c>
      <c r="R28" s="4" t="n">
        <v>2</v>
      </c>
      <c r="S28" s="4" t="n">
        <v>3</v>
      </c>
      <c r="T28" s="4" t="n">
        <v>4</v>
      </c>
      <c r="U28" s="4" t="n">
        <v>5</v>
      </c>
      <c r="V28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28" s="6" t="inlineStr">
        <is>
          <t>L’item relève de I1 — Observer / examiner : Examen attentif de faits, phénomènes, informations ou situations.</t>
        </is>
      </c>
      <c r="X28" s="6" t="inlineStr">
        <is>
          <t>Revue méthodologique V0.3 : surveiller compréhension du vocabulaire au pilote.</t>
        </is>
      </c>
      <c r="Y28" s="6" t="inlineStr">
        <is>
          <t>FAIBLE</t>
        </is>
      </c>
      <c r="Z28" s="6" t="inlineStr">
        <is>
          <t>FAIBLE</t>
        </is>
      </c>
      <c r="AA28" s="6" t="inlineStr">
        <is>
          <t>FAIBLE</t>
        </is>
      </c>
      <c r="AB28" s="6" t="inlineStr">
        <is>
          <t>MOYEN</t>
        </is>
      </c>
      <c r="AC28" s="6" t="inlineStr">
        <is>
          <t>MOYEN</t>
        </is>
      </c>
      <c r="AD28" s="6" t="inlineStr">
        <is>
          <t>FAIBLE</t>
        </is>
      </c>
      <c r="AE28" s="6" t="inlineStr">
        <is>
          <t>FAIBLE</t>
        </is>
      </c>
      <c r="AF28" s="6" t="inlineStr">
        <is>
          <t>FAIBLE</t>
        </is>
      </c>
      <c r="AG28" s="6" t="inlineStr">
        <is>
          <t>FAIBLE</t>
        </is>
      </c>
      <c r="AH28" s="6" t="inlineStr">
        <is>
          <t>FAIBLE</t>
        </is>
      </c>
      <c r="AI28" s="6" t="inlineStr">
        <is>
          <t>FAIBLE</t>
        </is>
      </c>
      <c r="AJ28" s="4" t="n">
        <v>0</v>
      </c>
      <c r="AK28" s="4" t="n"/>
      <c r="AL28" s="6" t="inlineStr">
        <is>
          <t>RETIRE_BANQUE72_HISTORIQUE_CONSERVE</t>
        </is>
      </c>
      <c r="AM28" s="6" t="inlineStr">
        <is>
          <t>Réduction méthodologique 120→72 : doublon de facette / priorité aux activités professionnelles observables et aux items à plus faible risque.</t>
        </is>
      </c>
      <c r="AN28" s="4" t="inlineStr">
        <is>
          <t>PIP-BANK-0.3</t>
        </is>
      </c>
      <c r="AO28" s="6" t="inlineStr">
        <is>
          <t>PIP-BANK-0.3</t>
        </is>
      </c>
      <c r="AP28" s="8">
        <f>IF(OR(C28="PILOTE",C28="ACTIF"),IF(AND(A28&lt;&gt;"",H28&lt;&gt;"",I28&lt;&gt;"",K28&lt;&gt;"",V28&lt;&gt;"",W28&lt;&gt;""),"OK","A_COMPLETER"),"OK_STRUCTURE")</f>
        <v/>
      </c>
    </row>
    <row r="29" ht="72" customHeight="1" s="34">
      <c r="A29" s="4" t="inlineStr">
        <is>
          <t>PIP-ACT-I-I2-005</t>
        </is>
      </c>
      <c r="B29" s="4" t="inlineStr">
        <is>
          <t>0.2</t>
        </is>
      </c>
      <c r="C29" s="4" t="inlineStr">
        <is>
          <t>PILOTE</t>
        </is>
      </c>
      <c r="D29" s="4" t="inlineStr">
        <is>
          <t>08/09/2026</t>
        </is>
      </c>
      <c r="E29" s="4" t="inlineStr">
        <is>
          <t>08/09/2026</t>
        </is>
      </c>
      <c r="F29" s="4" t="inlineStr">
        <is>
          <t>ACT</t>
        </is>
      </c>
      <c r="G29" s="4" t="inlineStr">
        <is>
          <t>Verbe d’action + objet/contexte</t>
        </is>
      </c>
      <c r="H29" s="4" t="inlineStr">
        <is>
          <t>I</t>
        </is>
      </c>
      <c r="I29" s="4" t="inlineStr">
        <is>
          <t>I2</t>
        </is>
      </c>
      <c r="J29" s="6" t="inlineStr">
        <is>
          <t>C</t>
        </is>
      </c>
      <c r="K29" s="6" t="inlineStr">
        <is>
          <t>Analyser plusieurs informations pour comprendre les liens entre elles.</t>
        </is>
      </c>
      <c r="L29" s="4" t="inlineStr">
        <is>
          <t>Cela ne m’attire pas du tout</t>
        </is>
      </c>
      <c r="M29" s="4" t="inlineStr">
        <is>
          <t>Cela m’attire peu</t>
        </is>
      </c>
      <c r="N29" s="4" t="inlineStr">
        <is>
          <t>Je suis partagé(e) / sans préférence marquée</t>
        </is>
      </c>
      <c r="O29" s="4" t="inlineStr">
        <is>
          <t>Cela m’attire</t>
        </is>
      </c>
      <c r="P29" s="4" t="inlineStr">
        <is>
          <t>Cela m’attire beaucoup</t>
        </is>
      </c>
      <c r="Q29" s="4" t="n">
        <v>1</v>
      </c>
      <c r="R29" s="4" t="n">
        <v>2</v>
      </c>
      <c r="S29" s="4" t="n">
        <v>3</v>
      </c>
      <c r="T29" s="4" t="n">
        <v>4</v>
      </c>
      <c r="U29" s="4" t="n">
        <v>5</v>
      </c>
      <c r="V29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29" s="6" t="inlineStr">
        <is>
          <t>L’item relève de I2 — Analyser / raisonner : Décomposition d’un problème et mise en relation d’informations.</t>
        </is>
      </c>
      <c r="X29" s="6" t="inlineStr">
        <is>
          <t>Revue méthodologique V0.3 : surveiller compréhension du vocabulaire au pilote.</t>
        </is>
      </c>
      <c r="Y29" s="6" t="inlineStr">
        <is>
          <t>FAIBLE</t>
        </is>
      </c>
      <c r="Z29" s="6" t="inlineStr">
        <is>
          <t>FAIBLE</t>
        </is>
      </c>
      <c r="AA29" s="6" t="inlineStr">
        <is>
          <t>FAIBLE</t>
        </is>
      </c>
      <c r="AB29" s="6" t="inlineStr">
        <is>
          <t>MOYEN</t>
        </is>
      </c>
      <c r="AC29" s="6" t="inlineStr">
        <is>
          <t>MOYEN</t>
        </is>
      </c>
      <c r="AD29" s="6" t="inlineStr">
        <is>
          <t>FAIBLE</t>
        </is>
      </c>
      <c r="AE29" s="6" t="inlineStr">
        <is>
          <t>FAIBLE</t>
        </is>
      </c>
      <c r="AF29" s="6" t="inlineStr">
        <is>
          <t>FAIBLE</t>
        </is>
      </c>
      <c r="AG29" s="6" t="inlineStr">
        <is>
          <t>FAIBLE</t>
        </is>
      </c>
      <c r="AH29" s="6" t="inlineStr">
        <is>
          <t>FAIBLE</t>
        </is>
      </c>
      <c r="AI29" s="6" t="inlineStr">
        <is>
          <t>FAIBLE</t>
        </is>
      </c>
      <c r="AJ29" s="4" t="n">
        <v>0</v>
      </c>
      <c r="AK29" s="4" t="n"/>
      <c r="AL29" s="6" t="inlineStr">
        <is>
          <t>RETENU_V0.5_REECRIT_CONCRET</t>
        </is>
      </c>
      <c r="AM29" s="6" t="n"/>
      <c r="AN29" s="4" t="inlineStr">
        <is>
          <t>PIP-BANK-0.3</t>
        </is>
      </c>
      <c r="AO29" s="6" t="inlineStr">
        <is>
          <t>PIP-BANK-0.4</t>
        </is>
      </c>
      <c r="AP29" s="8">
        <f>IF(OR(C29="PILOTE",C29="ACTIF"),IF(AND(A29&lt;&gt;"",H29&lt;&gt;"",I29&lt;&gt;"",K29&lt;&gt;"",V29&lt;&gt;"",W29&lt;&gt;""),"OK","A_COMPLETER"),"OK_STRUCTURE")</f>
        <v/>
      </c>
    </row>
    <row r="30" ht="72" customHeight="1" s="34">
      <c r="A30" s="4" t="inlineStr">
        <is>
          <t>PIP-ACT-I-I2-006</t>
        </is>
      </c>
      <c r="B30" s="4" t="inlineStr">
        <is>
          <t>0.2</t>
        </is>
      </c>
      <c r="C30" s="4" t="inlineStr">
        <is>
          <t>PILOTE</t>
        </is>
      </c>
      <c r="D30" s="4" t="inlineStr">
        <is>
          <t>08/09/2026</t>
        </is>
      </c>
      <c r="E30" s="4" t="inlineStr">
        <is>
          <t>08/09/2026</t>
        </is>
      </c>
      <c r="F30" s="4" t="inlineStr">
        <is>
          <t>ACT</t>
        </is>
      </c>
      <c r="G30" s="4" t="inlineStr">
        <is>
          <t>Verbe d’action + objet/contexte</t>
        </is>
      </c>
      <c r="H30" s="4" t="inlineStr">
        <is>
          <t>I</t>
        </is>
      </c>
      <c r="I30" s="4" t="inlineStr">
        <is>
          <t>I2</t>
        </is>
      </c>
      <c r="J30" s="6" t="inlineStr">
        <is>
          <t>C</t>
        </is>
      </c>
      <c r="K30" s="6" t="inlineStr">
        <is>
          <t>Décomposer un problème complexe en plusieurs éléments pour mieux le comprendre.</t>
        </is>
      </c>
      <c r="L30" s="4" t="inlineStr">
        <is>
          <t>Cela ne m’attire pas du tout</t>
        </is>
      </c>
      <c r="M30" s="4" t="inlineStr">
        <is>
          <t>Cela m’attire peu</t>
        </is>
      </c>
      <c r="N30" s="4" t="inlineStr">
        <is>
          <t>Je suis partagé(e) / sans préférence marquée</t>
        </is>
      </c>
      <c r="O30" s="4" t="inlineStr">
        <is>
          <t>Cela m’attire</t>
        </is>
      </c>
      <c r="P30" s="4" t="inlineStr">
        <is>
          <t>Cela m’attire beaucoup</t>
        </is>
      </c>
      <c r="Q30" s="4" t="n">
        <v>1</v>
      </c>
      <c r="R30" s="4" t="n">
        <v>2</v>
      </c>
      <c r="S30" s="4" t="n">
        <v>3</v>
      </c>
      <c r="T30" s="4" t="n">
        <v>4</v>
      </c>
      <c r="U30" s="4" t="n">
        <v>5</v>
      </c>
      <c r="V30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0" s="6" t="inlineStr">
        <is>
          <t>L’item relève de I2 — Analyser / raisonner : Décomposition d’un problème et mise en relation d’informations.</t>
        </is>
      </c>
      <c r="X30" s="6" t="inlineStr">
        <is>
          <t>Revue méthodologique V0.3 : surveiller compréhension du vocabulaire au pilote.</t>
        </is>
      </c>
      <c r="Y30" s="6" t="inlineStr">
        <is>
          <t>FAIBLE</t>
        </is>
      </c>
      <c r="Z30" s="6" t="inlineStr">
        <is>
          <t>FAIBLE</t>
        </is>
      </c>
      <c r="AA30" s="6" t="inlineStr">
        <is>
          <t>FAIBLE</t>
        </is>
      </c>
      <c r="AB30" s="6" t="inlineStr">
        <is>
          <t>MOYEN</t>
        </is>
      </c>
      <c r="AC30" s="6" t="inlineStr">
        <is>
          <t>MOYEN</t>
        </is>
      </c>
      <c r="AD30" s="6" t="inlineStr">
        <is>
          <t>FAIBLE</t>
        </is>
      </c>
      <c r="AE30" s="6" t="inlineStr">
        <is>
          <t>FAIBLE</t>
        </is>
      </c>
      <c r="AF30" s="6" t="inlineStr">
        <is>
          <t>FAIBLE</t>
        </is>
      </c>
      <c r="AG30" s="6" t="inlineStr">
        <is>
          <t>FAIBLE</t>
        </is>
      </c>
      <c r="AH30" s="6" t="inlineStr">
        <is>
          <t>FAIBLE</t>
        </is>
      </c>
      <c r="AI30" s="6" t="inlineStr">
        <is>
          <t>FAIBLE</t>
        </is>
      </c>
      <c r="AJ30" s="4" t="n">
        <v>0</v>
      </c>
      <c r="AK30" s="4" t="n"/>
      <c r="AL30" s="6" t="inlineStr">
        <is>
          <t>RETENU_V0.5_REECRIT_CONCRET</t>
        </is>
      </c>
      <c r="AM30" s="6" t="n"/>
      <c r="AN30" s="4" t="inlineStr">
        <is>
          <t>PIP-BANK-0.3</t>
        </is>
      </c>
      <c r="AO30" s="6" t="inlineStr">
        <is>
          <t>PIP-BANK-0.4</t>
        </is>
      </c>
      <c r="AP30" s="8">
        <f>IF(OR(C30="PILOTE",C30="ACTIF"),IF(AND(A30&lt;&gt;"",H30&lt;&gt;"",I30&lt;&gt;"",K30&lt;&gt;"",V30&lt;&gt;"",W30&lt;&gt;""),"OK","A_COMPLETER"),"OK_STRUCTURE")</f>
        <v/>
      </c>
    </row>
    <row r="31" ht="72" customHeight="1" s="34">
      <c r="A31" s="4" t="inlineStr">
        <is>
          <t>PIP-SIT-I-I2-007</t>
        </is>
      </c>
      <c r="B31" s="4" t="inlineStr">
        <is>
          <t>0.2</t>
        </is>
      </c>
      <c r="C31" s="4" t="inlineStr">
        <is>
          <t>PILOTE</t>
        </is>
      </c>
      <c r="D31" s="4" t="inlineStr">
        <is>
          <t>08/09/2026</t>
        </is>
      </c>
      <c r="E31" s="4" t="inlineStr">
        <is>
          <t>08/09/2026</t>
        </is>
      </c>
      <c r="F31" s="4" t="inlineStr">
        <is>
          <t>SIT</t>
        </is>
      </c>
      <c r="G31" s="4" t="inlineStr">
        <is>
          <t>Situation courte avec enjeu central</t>
        </is>
      </c>
      <c r="H31" s="4" t="inlineStr">
        <is>
          <t>I</t>
        </is>
      </c>
      <c r="I31" s="4" t="inlineStr">
        <is>
          <t>I2</t>
        </is>
      </c>
      <c r="J31" s="6" t="inlineStr">
        <is>
          <t>C</t>
        </is>
      </c>
      <c r="K31" s="6" t="inlineStr">
        <is>
          <t>Faire face à un problème où il faut raisonner étape par étape avant de trouver une explication.</t>
        </is>
      </c>
      <c r="L31" s="4" t="inlineStr">
        <is>
          <t>Cela ne m’attire pas du tout</t>
        </is>
      </c>
      <c r="M31" s="4" t="inlineStr">
        <is>
          <t>Cela m’attire peu</t>
        </is>
      </c>
      <c r="N31" s="4" t="inlineStr">
        <is>
          <t>Je suis partagé(e) / sans préférence marquée</t>
        </is>
      </c>
      <c r="O31" s="4" t="inlineStr">
        <is>
          <t>Cela m’attire</t>
        </is>
      </c>
      <c r="P31" s="4" t="inlineStr">
        <is>
          <t>Cela m’attire beaucoup</t>
        </is>
      </c>
      <c r="Q31" s="4" t="n">
        <v>1</v>
      </c>
      <c r="R31" s="4" t="n">
        <v>2</v>
      </c>
      <c r="S31" s="4" t="n">
        <v>3</v>
      </c>
      <c r="T31" s="4" t="n">
        <v>4</v>
      </c>
      <c r="U31" s="4" t="n">
        <v>5</v>
      </c>
      <c r="V31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1" s="6" t="inlineStr">
        <is>
          <t>L’item relève de I2 — Analyser / raisonner : Décomposition d’un problème et mise en relation d’informations.</t>
        </is>
      </c>
      <c r="X31" s="6" t="inlineStr">
        <is>
          <t>Revue méthodologique V0.3 : surveiller compréhension du vocabulaire au pilote.</t>
        </is>
      </c>
      <c r="Y31" s="6" t="inlineStr">
        <is>
          <t>FAIBLE</t>
        </is>
      </c>
      <c r="Z31" s="6" t="inlineStr">
        <is>
          <t>FAIBLE</t>
        </is>
      </c>
      <c r="AA31" s="6" t="inlineStr">
        <is>
          <t>FAIBLE</t>
        </is>
      </c>
      <c r="AB31" s="6" t="inlineStr">
        <is>
          <t>MOYEN</t>
        </is>
      </c>
      <c r="AC31" s="6" t="inlineStr">
        <is>
          <t>MOYEN</t>
        </is>
      </c>
      <c r="AD31" s="6" t="inlineStr">
        <is>
          <t>FAIBLE</t>
        </is>
      </c>
      <c r="AE31" s="6" t="inlineStr">
        <is>
          <t>FAIBLE</t>
        </is>
      </c>
      <c r="AF31" s="6" t="inlineStr">
        <is>
          <t>FAIBLE</t>
        </is>
      </c>
      <c r="AG31" s="6" t="inlineStr">
        <is>
          <t>FAIBLE</t>
        </is>
      </c>
      <c r="AH31" s="6" t="inlineStr">
        <is>
          <t>FAIBLE</t>
        </is>
      </c>
      <c r="AI31" s="6" t="inlineStr">
        <is>
          <t>FAIBLE</t>
        </is>
      </c>
      <c r="AJ31" s="4" t="n">
        <v>0</v>
      </c>
      <c r="AK31" s="4" t="n"/>
      <c r="AL31" s="6" t="inlineStr">
        <is>
          <t>RETENU_V0.5_REECRIT_CONCRET</t>
        </is>
      </c>
      <c r="AM31" s="6" t="n"/>
      <c r="AN31" s="4" t="inlineStr">
        <is>
          <t>PIP-BANK-0.3</t>
        </is>
      </c>
      <c r="AO31" s="6" t="inlineStr">
        <is>
          <t>PIP-BANK-0.4</t>
        </is>
      </c>
      <c r="AP31" s="8">
        <f>IF(OR(C31="PILOTE",C31="ACTIF"),IF(AND(A31&lt;&gt;"",H31&lt;&gt;"",I31&lt;&gt;"",K31&lt;&gt;"",V31&lt;&gt;"",W31&lt;&gt;""),"OK","A_COMPLETER"),"OK_STRUCTURE")</f>
        <v/>
      </c>
    </row>
    <row r="32" ht="72" customHeight="1" s="34">
      <c r="A32" s="4" t="inlineStr">
        <is>
          <t>PIP-ENV-I-I2-008</t>
        </is>
      </c>
      <c r="B32" s="4" t="inlineStr">
        <is>
          <t>0.2</t>
        </is>
      </c>
      <c r="C32" s="4" t="inlineStr">
        <is>
          <t>PILOTE</t>
        </is>
      </c>
      <c r="D32" s="4" t="inlineStr">
        <is>
          <t>08/09/2026</t>
        </is>
      </c>
      <c r="E32" s="4" t="inlineStr">
        <is>
          <t>08/09/2026</t>
        </is>
      </c>
      <c r="F32" s="4" t="inlineStr">
        <is>
          <t>ENV</t>
        </is>
      </c>
      <c r="G32" s="4" t="inlineStr">
        <is>
          <t>Contexte décrit par ce qu’il permet de faire</t>
        </is>
      </c>
      <c r="H32" s="4" t="inlineStr">
        <is>
          <t>I</t>
        </is>
      </c>
      <c r="I32" s="4" t="inlineStr">
        <is>
          <t>I2</t>
        </is>
      </c>
      <c r="J32" s="6" t="inlineStr">
        <is>
          <t>C</t>
        </is>
      </c>
      <c r="K32" s="6" t="inlineStr">
        <is>
          <t>Évoluer dans un contexte où l’on doit régulièrement interpréter des informations et construire un raisonnement.</t>
        </is>
      </c>
      <c r="L32" s="4" t="inlineStr">
        <is>
          <t>Cela ne m’attire pas du tout</t>
        </is>
      </c>
      <c r="M32" s="4" t="inlineStr">
        <is>
          <t>Cela m’attire peu</t>
        </is>
      </c>
      <c r="N32" s="4" t="inlineStr">
        <is>
          <t>Je suis partagé(e) / sans préférence marquée</t>
        </is>
      </c>
      <c r="O32" s="4" t="inlineStr">
        <is>
          <t>Cela m’attire</t>
        </is>
      </c>
      <c r="P32" s="4" t="inlineStr">
        <is>
          <t>Cela m’attire beaucoup</t>
        </is>
      </c>
      <c r="Q32" s="4" t="n">
        <v>1</v>
      </c>
      <c r="R32" s="4" t="n">
        <v>2</v>
      </c>
      <c r="S32" s="4" t="n">
        <v>3</v>
      </c>
      <c r="T32" s="4" t="n">
        <v>4</v>
      </c>
      <c r="U32" s="4" t="n">
        <v>5</v>
      </c>
      <c r="V32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2" s="6" t="inlineStr">
        <is>
          <t>L’item relève de I2 — Analyser / raisonner : Décomposition d’un problème et mise en relation d’informations.</t>
        </is>
      </c>
      <c r="X32" s="6" t="inlineStr">
        <is>
          <t>Revue méthodologique V0.3 : surveiller compréhension du vocabulaire au pilote.</t>
        </is>
      </c>
      <c r="Y32" s="6" t="inlineStr">
        <is>
          <t>FAIBLE</t>
        </is>
      </c>
      <c r="Z32" s="6" t="inlineStr">
        <is>
          <t>FAIBLE</t>
        </is>
      </c>
      <c r="AA32" s="6" t="inlineStr">
        <is>
          <t>FAIBLE</t>
        </is>
      </c>
      <c r="AB32" s="6" t="inlineStr">
        <is>
          <t>MOYEN</t>
        </is>
      </c>
      <c r="AC32" s="6" t="inlineStr">
        <is>
          <t>MOYEN</t>
        </is>
      </c>
      <c r="AD32" s="6" t="inlineStr">
        <is>
          <t>FAIBLE</t>
        </is>
      </c>
      <c r="AE32" s="6" t="inlineStr">
        <is>
          <t>FAIBLE</t>
        </is>
      </c>
      <c r="AF32" s="6" t="inlineStr">
        <is>
          <t>FAIBLE</t>
        </is>
      </c>
      <c r="AG32" s="6" t="inlineStr">
        <is>
          <t>FAIBLE</t>
        </is>
      </c>
      <c r="AH32" s="6" t="inlineStr">
        <is>
          <t>FAIBLE</t>
        </is>
      </c>
      <c r="AI32" s="6" t="inlineStr">
        <is>
          <t>FAIBLE</t>
        </is>
      </c>
      <c r="AJ32" s="4" t="n">
        <v>0</v>
      </c>
      <c r="AK32" s="4" t="n"/>
      <c r="AL32" s="6" t="inlineStr">
        <is>
          <t>RETIRE_BANQUE72_HISTORIQUE_CONSERVE</t>
        </is>
      </c>
      <c r="AM32" s="6" t="inlineStr">
        <is>
          <t>Réduction méthodologique 120→72 : doublon de facette / priorité aux activités professionnelles observables et aux items à plus faible risque.</t>
        </is>
      </c>
      <c r="AN32" s="4" t="inlineStr">
        <is>
          <t>PIP-BANK-0.3</t>
        </is>
      </c>
      <c r="AO32" s="6" t="inlineStr">
        <is>
          <t>PIP-BANK-0.3</t>
        </is>
      </c>
      <c r="AP32" s="8">
        <f>IF(OR(C32="PILOTE",C32="ACTIF"),IF(AND(A32&lt;&gt;"",H32&lt;&gt;"",I32&lt;&gt;"",K32&lt;&gt;"",V32&lt;&gt;"",W32&lt;&gt;""),"OK","A_COMPLETER"),"OK_STRUCTURE")</f>
        <v/>
      </c>
    </row>
    <row r="33" ht="72" customHeight="1" s="34">
      <c r="A33" s="4" t="inlineStr">
        <is>
          <t>PIP-ACT-I-I3-009</t>
        </is>
      </c>
      <c r="B33" s="4" t="inlineStr">
        <is>
          <t>0.2</t>
        </is>
      </c>
      <c r="C33" s="4" t="inlineStr">
        <is>
          <t>PILOTE</t>
        </is>
      </c>
      <c r="D33" s="4" t="inlineStr">
        <is>
          <t>08/09/2026</t>
        </is>
      </c>
      <c r="E33" s="4" t="inlineStr">
        <is>
          <t>08/09/2026</t>
        </is>
      </c>
      <c r="F33" s="4" t="inlineStr">
        <is>
          <t>ACT</t>
        </is>
      </c>
      <c r="G33" s="4" t="inlineStr">
        <is>
          <t>Verbe d’action + objet/contexte</t>
        </is>
      </c>
      <c r="H33" s="4" t="inlineStr">
        <is>
          <t>I</t>
        </is>
      </c>
      <c r="I33" s="4" t="inlineStr">
        <is>
          <t>I3</t>
        </is>
      </c>
      <c r="J33" s="6" t="inlineStr">
        <is>
          <t>C</t>
        </is>
      </c>
      <c r="K33" s="6" t="inlineStr">
        <is>
          <t>Rechercher des informations provenant de plusieurs sources pour répondre à une question.</t>
        </is>
      </c>
      <c r="L33" s="4" t="inlineStr">
        <is>
          <t>Cela ne m’attire pas du tout</t>
        </is>
      </c>
      <c r="M33" s="4" t="inlineStr">
        <is>
          <t>Cela m’attire peu</t>
        </is>
      </c>
      <c r="N33" s="4" t="inlineStr">
        <is>
          <t>Je suis partagé(e) / sans préférence marquée</t>
        </is>
      </c>
      <c r="O33" s="4" t="inlineStr">
        <is>
          <t>Cela m’attire</t>
        </is>
      </c>
      <c r="P33" s="4" t="inlineStr">
        <is>
          <t>Cela m’attire beaucoup</t>
        </is>
      </c>
      <c r="Q33" s="4" t="n">
        <v>1</v>
      </c>
      <c r="R33" s="4" t="n">
        <v>2</v>
      </c>
      <c r="S33" s="4" t="n">
        <v>3</v>
      </c>
      <c r="T33" s="4" t="n">
        <v>4</v>
      </c>
      <c r="U33" s="4" t="n">
        <v>5</v>
      </c>
      <c r="V33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3" s="6" t="inlineStr">
        <is>
          <t>L’item relève de I3 — Rechercher / enquêter : Recherche d’informations, preuves ou explications lorsqu’une question reste ouverte.</t>
        </is>
      </c>
      <c r="X33" s="6" t="inlineStr">
        <is>
          <t>Revue méthodologique V0.3 : surveiller compréhension du vocabulaire au pilote.</t>
        </is>
      </c>
      <c r="Y33" s="6" t="inlineStr">
        <is>
          <t>FAIBLE</t>
        </is>
      </c>
      <c r="Z33" s="6" t="inlineStr">
        <is>
          <t>FAIBLE</t>
        </is>
      </c>
      <c r="AA33" s="6" t="inlineStr">
        <is>
          <t>FAIBLE</t>
        </is>
      </c>
      <c r="AB33" s="6" t="inlineStr">
        <is>
          <t>MOYEN</t>
        </is>
      </c>
      <c r="AC33" s="6" t="inlineStr">
        <is>
          <t>MOYEN</t>
        </is>
      </c>
      <c r="AD33" s="6" t="inlineStr">
        <is>
          <t>FAIBLE</t>
        </is>
      </c>
      <c r="AE33" s="6" t="inlineStr">
        <is>
          <t>FAIBLE</t>
        </is>
      </c>
      <c r="AF33" s="6" t="inlineStr">
        <is>
          <t>FAIBLE</t>
        </is>
      </c>
      <c r="AG33" s="6" t="inlineStr">
        <is>
          <t>FAIBLE</t>
        </is>
      </c>
      <c r="AH33" s="6" t="inlineStr">
        <is>
          <t>FAIBLE</t>
        </is>
      </c>
      <c r="AI33" s="6" t="inlineStr">
        <is>
          <t>FAIBLE</t>
        </is>
      </c>
      <c r="AJ33" s="4" t="n">
        <v>0</v>
      </c>
      <c r="AK33" s="4" t="n"/>
      <c r="AL33" s="6" t="inlineStr">
        <is>
          <t>RETENU_V0.5_REECRIT_CONCRET</t>
        </is>
      </c>
      <c r="AM33" s="6" t="n"/>
      <c r="AN33" s="4" t="inlineStr">
        <is>
          <t>PIP-BANK-0.3</t>
        </is>
      </c>
      <c r="AO33" s="6" t="inlineStr">
        <is>
          <t>PIP-BANK-0.4</t>
        </is>
      </c>
      <c r="AP33" s="8">
        <f>IF(OR(C33="PILOTE",C33="ACTIF"),IF(AND(A33&lt;&gt;"",H33&lt;&gt;"",I33&lt;&gt;"",K33&lt;&gt;"",V33&lt;&gt;"",W33&lt;&gt;""),"OK","A_COMPLETER"),"OK_STRUCTURE")</f>
        <v/>
      </c>
    </row>
    <row r="34" ht="72" customHeight="1" s="34">
      <c r="A34" s="4" t="inlineStr">
        <is>
          <t>PIP-ACT-I-I3-010</t>
        </is>
      </c>
      <c r="B34" s="4" t="inlineStr">
        <is>
          <t>0.2</t>
        </is>
      </c>
      <c r="C34" s="4" t="inlineStr">
        <is>
          <t>PILOTE</t>
        </is>
      </c>
      <c r="D34" s="4" t="inlineStr">
        <is>
          <t>08/09/2026</t>
        </is>
      </c>
      <c r="E34" s="4" t="inlineStr">
        <is>
          <t>08/09/2026</t>
        </is>
      </c>
      <c r="F34" s="4" t="inlineStr">
        <is>
          <t>ACT</t>
        </is>
      </c>
      <c r="G34" s="4" t="inlineStr">
        <is>
          <t>Verbe d’action + objet/contexte</t>
        </is>
      </c>
      <c r="H34" s="4" t="inlineStr">
        <is>
          <t>I</t>
        </is>
      </c>
      <c r="I34" s="4" t="inlineStr">
        <is>
          <t>I3</t>
        </is>
      </c>
      <c r="J34" s="6" t="inlineStr">
        <is>
          <t>C</t>
        </is>
      </c>
      <c r="K34" s="6" t="inlineStr">
        <is>
          <t>Enquêter pour vérifier ce qui est exact lorsqu’une situation reste incertaine.</t>
        </is>
      </c>
      <c r="L34" s="4" t="inlineStr">
        <is>
          <t>Cela ne m’attire pas du tout</t>
        </is>
      </c>
      <c r="M34" s="4" t="inlineStr">
        <is>
          <t>Cela m’attire peu</t>
        </is>
      </c>
      <c r="N34" s="4" t="inlineStr">
        <is>
          <t>Je suis partagé(e) / sans préférence marquée</t>
        </is>
      </c>
      <c r="O34" s="4" t="inlineStr">
        <is>
          <t>Cela m’attire</t>
        </is>
      </c>
      <c r="P34" s="4" t="inlineStr">
        <is>
          <t>Cela m’attire beaucoup</t>
        </is>
      </c>
      <c r="Q34" s="4" t="n">
        <v>1</v>
      </c>
      <c r="R34" s="4" t="n">
        <v>2</v>
      </c>
      <c r="S34" s="4" t="n">
        <v>3</v>
      </c>
      <c r="T34" s="4" t="n">
        <v>4</v>
      </c>
      <c r="U34" s="4" t="n">
        <v>5</v>
      </c>
      <c r="V34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4" s="6" t="inlineStr">
        <is>
          <t>L’item relève de I3 — Rechercher / enquêter : Recherche d’informations, preuves ou explications lorsqu’une question reste ouverte.</t>
        </is>
      </c>
      <c r="X34" s="6" t="inlineStr">
        <is>
          <t>Revue méthodologique V0.3 : surveiller compréhension du vocabulaire au pilote.</t>
        </is>
      </c>
      <c r="Y34" s="6" t="inlineStr">
        <is>
          <t>FAIBLE</t>
        </is>
      </c>
      <c r="Z34" s="6" t="inlineStr">
        <is>
          <t>FAIBLE</t>
        </is>
      </c>
      <c r="AA34" s="6" t="inlineStr">
        <is>
          <t>FAIBLE</t>
        </is>
      </c>
      <c r="AB34" s="6" t="inlineStr">
        <is>
          <t>MOYEN</t>
        </is>
      </c>
      <c r="AC34" s="6" t="inlineStr">
        <is>
          <t>MOYEN</t>
        </is>
      </c>
      <c r="AD34" s="6" t="inlineStr">
        <is>
          <t>FAIBLE</t>
        </is>
      </c>
      <c r="AE34" s="6" t="inlineStr">
        <is>
          <t>FAIBLE</t>
        </is>
      </c>
      <c r="AF34" s="6" t="inlineStr">
        <is>
          <t>FAIBLE</t>
        </is>
      </c>
      <c r="AG34" s="6" t="inlineStr">
        <is>
          <t>FAIBLE</t>
        </is>
      </c>
      <c r="AH34" s="6" t="inlineStr">
        <is>
          <t>FAIBLE</t>
        </is>
      </c>
      <c r="AI34" s="6" t="inlineStr">
        <is>
          <t>FAIBLE</t>
        </is>
      </c>
      <c r="AJ34" s="4" t="n">
        <v>0</v>
      </c>
      <c r="AK34" s="4" t="n"/>
      <c r="AL34" s="6" t="inlineStr">
        <is>
          <t>RETENU_V0.5_REECRIT_CONCRET</t>
        </is>
      </c>
      <c r="AM34" s="6" t="n"/>
      <c r="AN34" s="4" t="inlineStr">
        <is>
          <t>PIP-BANK-0.3</t>
        </is>
      </c>
      <c r="AO34" s="6" t="inlineStr">
        <is>
          <t>PIP-BANK-0.4</t>
        </is>
      </c>
      <c r="AP34" s="8">
        <f>IF(OR(C34="PILOTE",C34="ACTIF"),IF(AND(A34&lt;&gt;"",H34&lt;&gt;"",I34&lt;&gt;"",K34&lt;&gt;"",V34&lt;&gt;"",W34&lt;&gt;""),"OK","A_COMPLETER"),"OK_STRUCTURE")</f>
        <v/>
      </c>
    </row>
    <row r="35" ht="72" customHeight="1" s="34">
      <c r="A35" s="4" t="inlineStr">
        <is>
          <t>PIP-SIT-I-I3-011</t>
        </is>
      </c>
      <c r="B35" s="4" t="inlineStr">
        <is>
          <t>0.2</t>
        </is>
      </c>
      <c r="C35" s="4" t="inlineStr">
        <is>
          <t>PILOTE</t>
        </is>
      </c>
      <c r="D35" s="4" t="inlineStr">
        <is>
          <t>08/09/2026</t>
        </is>
      </c>
      <c r="E35" s="4" t="inlineStr">
        <is>
          <t>08/09/2026</t>
        </is>
      </c>
      <c r="F35" s="4" t="inlineStr">
        <is>
          <t>SIT</t>
        </is>
      </c>
      <c r="G35" s="4" t="inlineStr">
        <is>
          <t>Situation courte avec enjeu central</t>
        </is>
      </c>
      <c r="H35" s="4" t="inlineStr">
        <is>
          <t>I</t>
        </is>
      </c>
      <c r="I35" s="4" t="inlineStr">
        <is>
          <t>I3</t>
        </is>
      </c>
      <c r="J35" s="6" t="inlineStr">
        <is>
          <t>C</t>
        </is>
      </c>
      <c r="K35" s="6" t="inlineStr">
        <is>
          <t>Être confronté à une question sans réponse immédiate et devoir approfondir les recherches pour la comprendre.</t>
        </is>
      </c>
      <c r="L35" s="4" t="inlineStr">
        <is>
          <t>Cela ne m’attire pas du tout</t>
        </is>
      </c>
      <c r="M35" s="4" t="inlineStr">
        <is>
          <t>Cela m’attire peu</t>
        </is>
      </c>
      <c r="N35" s="4" t="inlineStr">
        <is>
          <t>Je suis partagé(e) / sans préférence marquée</t>
        </is>
      </c>
      <c r="O35" s="4" t="inlineStr">
        <is>
          <t>Cela m’attire</t>
        </is>
      </c>
      <c r="P35" s="4" t="inlineStr">
        <is>
          <t>Cela m’attire beaucoup</t>
        </is>
      </c>
      <c r="Q35" s="4" t="n">
        <v>1</v>
      </c>
      <c r="R35" s="4" t="n">
        <v>2</v>
      </c>
      <c r="S35" s="4" t="n">
        <v>3</v>
      </c>
      <c r="T35" s="4" t="n">
        <v>4</v>
      </c>
      <c r="U35" s="4" t="n">
        <v>5</v>
      </c>
      <c r="V35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5" s="6" t="inlineStr">
        <is>
          <t>L’item relève de I3 — Rechercher / enquêter : Recherche d’informations, preuves ou explications lorsqu’une question reste ouverte.</t>
        </is>
      </c>
      <c r="X35" s="6" t="inlineStr">
        <is>
          <t>Revue méthodologique V0.3 : surveiller compréhension du vocabulaire au pilote.</t>
        </is>
      </c>
      <c r="Y35" s="6" t="inlineStr">
        <is>
          <t>FAIBLE</t>
        </is>
      </c>
      <c r="Z35" s="6" t="inlineStr">
        <is>
          <t>FAIBLE</t>
        </is>
      </c>
      <c r="AA35" s="6" t="inlineStr">
        <is>
          <t>FAIBLE</t>
        </is>
      </c>
      <c r="AB35" s="6" t="inlineStr">
        <is>
          <t>MOYEN</t>
        </is>
      </c>
      <c r="AC35" s="6" t="inlineStr">
        <is>
          <t>MOYEN</t>
        </is>
      </c>
      <c r="AD35" s="6" t="inlineStr">
        <is>
          <t>FAIBLE</t>
        </is>
      </c>
      <c r="AE35" s="6" t="inlineStr">
        <is>
          <t>FAIBLE</t>
        </is>
      </c>
      <c r="AF35" s="6" t="inlineStr">
        <is>
          <t>FAIBLE</t>
        </is>
      </c>
      <c r="AG35" s="6" t="inlineStr">
        <is>
          <t>FAIBLE</t>
        </is>
      </c>
      <c r="AH35" s="6" t="inlineStr">
        <is>
          <t>FAIBLE</t>
        </is>
      </c>
      <c r="AI35" s="6" t="inlineStr">
        <is>
          <t>FAIBLE</t>
        </is>
      </c>
      <c r="AJ35" s="4" t="n">
        <v>0</v>
      </c>
      <c r="AK35" s="4" t="n"/>
      <c r="AL35" s="6" t="inlineStr">
        <is>
          <t>RETIRE_BANQUE72_HISTORIQUE_CONSERVE</t>
        </is>
      </c>
      <c r="AM35" s="6" t="inlineStr">
        <is>
          <t>Réduction méthodologique 120→72 : doublon de facette / priorité aux activités professionnelles observables et aux items à plus faible risque.</t>
        </is>
      </c>
      <c r="AN35" s="4" t="inlineStr">
        <is>
          <t>PIP-BANK-0.3</t>
        </is>
      </c>
      <c r="AO35" s="6" t="inlineStr">
        <is>
          <t>PIP-BANK-0.3</t>
        </is>
      </c>
      <c r="AP35" s="8">
        <f>IF(OR(C35="PILOTE",C35="ACTIF"),IF(AND(A35&lt;&gt;"",H35&lt;&gt;"",I35&lt;&gt;"",K35&lt;&gt;"",V35&lt;&gt;"",W35&lt;&gt;""),"OK","A_COMPLETER"),"OK_STRUCTURE")</f>
        <v/>
      </c>
    </row>
    <row r="36" ht="72" customHeight="1" s="34">
      <c r="A36" s="4" t="inlineStr">
        <is>
          <t>PIP-ENV-I-I3-012</t>
        </is>
      </c>
      <c r="B36" s="4" t="inlineStr">
        <is>
          <t>0.2</t>
        </is>
      </c>
      <c r="C36" s="4" t="inlineStr">
        <is>
          <t>PILOTE</t>
        </is>
      </c>
      <c r="D36" s="4" t="inlineStr">
        <is>
          <t>08/09/2026</t>
        </is>
      </c>
      <c r="E36" s="4" t="inlineStr">
        <is>
          <t>08/09/2026</t>
        </is>
      </c>
      <c r="F36" s="4" t="inlineStr">
        <is>
          <t>ENV</t>
        </is>
      </c>
      <c r="G36" s="4" t="inlineStr">
        <is>
          <t>Contexte décrit par ce qu’il permet de faire</t>
        </is>
      </c>
      <c r="H36" s="4" t="inlineStr">
        <is>
          <t>I</t>
        </is>
      </c>
      <c r="I36" s="4" t="inlineStr">
        <is>
          <t>I3</t>
        </is>
      </c>
      <c r="J36" s="6" t="inlineStr">
        <is>
          <t>C</t>
        </is>
      </c>
      <c r="K36" s="6" t="inlineStr">
        <is>
          <t>Travailler dans un contexte où l’on peut explorer des sujets, consulter des sources et approfondir des questions.</t>
        </is>
      </c>
      <c r="L36" s="4" t="inlineStr">
        <is>
          <t>Cela ne m’attire pas du tout</t>
        </is>
      </c>
      <c r="M36" s="4" t="inlineStr">
        <is>
          <t>Cela m’attire peu</t>
        </is>
      </c>
      <c r="N36" s="4" t="inlineStr">
        <is>
          <t>Je suis partagé(e) / sans préférence marquée</t>
        </is>
      </c>
      <c r="O36" s="4" t="inlineStr">
        <is>
          <t>Cela m’attire</t>
        </is>
      </c>
      <c r="P36" s="4" t="inlineStr">
        <is>
          <t>Cela m’attire beaucoup</t>
        </is>
      </c>
      <c r="Q36" s="4" t="n">
        <v>1</v>
      </c>
      <c r="R36" s="4" t="n">
        <v>2</v>
      </c>
      <c r="S36" s="4" t="n">
        <v>3</v>
      </c>
      <c r="T36" s="4" t="n">
        <v>4</v>
      </c>
      <c r="U36" s="4" t="n">
        <v>5</v>
      </c>
      <c r="V36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6" s="6" t="inlineStr">
        <is>
          <t>L’item relève de I3 — Rechercher / enquêter : Recherche d’informations, preuves ou explications lorsqu’une question reste ouverte.</t>
        </is>
      </c>
      <c r="X36" s="6" t="inlineStr">
        <is>
          <t>Revue méthodologique V0.3 : surveiller compréhension du vocabulaire au pilote.</t>
        </is>
      </c>
      <c r="Y36" s="6" t="inlineStr">
        <is>
          <t>FAIBLE</t>
        </is>
      </c>
      <c r="Z36" s="6" t="inlineStr">
        <is>
          <t>FAIBLE</t>
        </is>
      </c>
      <c r="AA36" s="6" t="inlineStr">
        <is>
          <t>FAIBLE</t>
        </is>
      </c>
      <c r="AB36" s="6" t="inlineStr">
        <is>
          <t>MOYEN</t>
        </is>
      </c>
      <c r="AC36" s="6" t="inlineStr">
        <is>
          <t>MOYEN</t>
        </is>
      </c>
      <c r="AD36" s="6" t="inlineStr">
        <is>
          <t>FAIBLE</t>
        </is>
      </c>
      <c r="AE36" s="6" t="inlineStr">
        <is>
          <t>FAIBLE</t>
        </is>
      </c>
      <c r="AF36" s="6" t="inlineStr">
        <is>
          <t>FAIBLE</t>
        </is>
      </c>
      <c r="AG36" s="6" t="inlineStr">
        <is>
          <t>FAIBLE</t>
        </is>
      </c>
      <c r="AH36" s="6" t="inlineStr">
        <is>
          <t>FAIBLE</t>
        </is>
      </c>
      <c r="AI36" s="6" t="inlineStr">
        <is>
          <t>FAIBLE</t>
        </is>
      </c>
      <c r="AJ36" s="4" t="n">
        <v>0</v>
      </c>
      <c r="AK36" s="4" t="n"/>
      <c r="AL36" s="6" t="inlineStr">
        <is>
          <t>RETIRE_BANQUE72_HISTORIQUE_CONSERVE</t>
        </is>
      </c>
      <c r="AM36" s="6" t="inlineStr">
        <is>
          <t>Réduction méthodologique 120→72 : doublon de facette / priorité aux activités professionnelles observables et aux items à plus faible risque.</t>
        </is>
      </c>
      <c r="AN36" s="4" t="inlineStr">
        <is>
          <t>PIP-BANK-0.3</t>
        </is>
      </c>
      <c r="AO36" s="6" t="inlineStr">
        <is>
          <t>PIP-BANK-0.3</t>
        </is>
      </c>
      <c r="AP36" s="8">
        <f>IF(OR(C36="PILOTE",C36="ACTIF"),IF(AND(A36&lt;&gt;"",H36&lt;&gt;"",I36&lt;&gt;"",K36&lt;&gt;"",V36&lt;&gt;"",W36&lt;&gt;""),"OK","A_COMPLETER"),"OK_STRUCTURE")</f>
        <v/>
      </c>
    </row>
    <row r="37" ht="72" customHeight="1" s="34">
      <c r="A37" s="4" t="inlineStr">
        <is>
          <t>PIP-ACT-I-I4-013</t>
        </is>
      </c>
      <c r="B37" s="4" t="inlineStr">
        <is>
          <t>0.2</t>
        </is>
      </c>
      <c r="C37" s="4" t="inlineStr">
        <is>
          <t>PILOTE</t>
        </is>
      </c>
      <c r="D37" s="4" t="inlineStr">
        <is>
          <t>08/09/2026</t>
        </is>
      </c>
      <c r="E37" s="4" t="inlineStr">
        <is>
          <t>08/09/2026</t>
        </is>
      </c>
      <c r="F37" s="4" t="inlineStr">
        <is>
          <t>ACT</t>
        </is>
      </c>
      <c r="G37" s="4" t="inlineStr">
        <is>
          <t>Verbe d’action + objet/contexte</t>
        </is>
      </c>
      <c r="H37" s="4" t="inlineStr">
        <is>
          <t>I</t>
        </is>
      </c>
      <c r="I37" s="4" t="inlineStr">
        <is>
          <t>I4</t>
        </is>
      </c>
      <c r="J37" s="6" t="inlineStr">
        <is>
          <t>R</t>
        </is>
      </c>
      <c r="K37" s="6" t="inlineStr">
        <is>
          <t>Tester une hypothèse pour voir si elle se vérifie.</t>
        </is>
      </c>
      <c r="L37" s="4" t="inlineStr">
        <is>
          <t>Cela ne m’attire pas du tout</t>
        </is>
      </c>
      <c r="M37" s="4" t="inlineStr">
        <is>
          <t>Cela m’attire peu</t>
        </is>
      </c>
      <c r="N37" s="4" t="inlineStr">
        <is>
          <t>Je suis partagé(e) / sans préférence marquée</t>
        </is>
      </c>
      <c r="O37" s="4" t="inlineStr">
        <is>
          <t>Cela m’attire</t>
        </is>
      </c>
      <c r="P37" s="4" t="inlineStr">
        <is>
          <t>Cela m’attire beaucoup</t>
        </is>
      </c>
      <c r="Q37" s="4" t="n">
        <v>1</v>
      </c>
      <c r="R37" s="4" t="n">
        <v>2</v>
      </c>
      <c r="S37" s="4" t="n">
        <v>3</v>
      </c>
      <c r="T37" s="4" t="n">
        <v>4</v>
      </c>
      <c r="U37" s="4" t="n">
        <v>5</v>
      </c>
      <c r="V37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7" s="6" t="inlineStr">
        <is>
          <t>L’item relève de I4 — Expérimenter / tester : Mise à l’épreuve d’hypothèses ou solutions afin d’apprendre du résultat.</t>
        </is>
      </c>
      <c r="X37" s="6" t="inlineStr">
        <is>
          <t>Revue méthodologique V0.3 : surveiller compréhension du vocabulaire au pilote.</t>
        </is>
      </c>
      <c r="Y37" s="6" t="inlineStr">
        <is>
          <t>FAIBLE</t>
        </is>
      </c>
      <c r="Z37" s="6" t="inlineStr">
        <is>
          <t>FAIBLE</t>
        </is>
      </c>
      <c r="AA37" s="6" t="inlineStr">
        <is>
          <t>FAIBLE</t>
        </is>
      </c>
      <c r="AB37" s="6" t="inlineStr">
        <is>
          <t>MOYEN</t>
        </is>
      </c>
      <c r="AC37" s="6" t="inlineStr">
        <is>
          <t>MOYEN</t>
        </is>
      </c>
      <c r="AD37" s="6" t="inlineStr">
        <is>
          <t>FAIBLE</t>
        </is>
      </c>
      <c r="AE37" s="6" t="inlineStr">
        <is>
          <t>FAIBLE</t>
        </is>
      </c>
      <c r="AF37" s="6" t="inlineStr">
        <is>
          <t>FAIBLE</t>
        </is>
      </c>
      <c r="AG37" s="6" t="inlineStr">
        <is>
          <t>FAIBLE</t>
        </is>
      </c>
      <c r="AH37" s="6" t="inlineStr">
        <is>
          <t>FAIBLE</t>
        </is>
      </c>
      <c r="AI37" s="6" t="inlineStr">
        <is>
          <t>FAIBLE</t>
        </is>
      </c>
      <c r="AJ37" s="4" t="n">
        <v>0</v>
      </c>
      <c r="AK37" s="4" t="n"/>
      <c r="AL37" s="6" t="inlineStr">
        <is>
          <t>RETENU_V0.5_REECRIT_CONCRET</t>
        </is>
      </c>
      <c r="AM37" s="6" t="n"/>
      <c r="AN37" s="4" t="inlineStr">
        <is>
          <t>PIP-BANK-0.3</t>
        </is>
      </c>
      <c r="AO37" s="6" t="inlineStr">
        <is>
          <t>PIP-BANK-0.4</t>
        </is>
      </c>
      <c r="AP37" s="8">
        <f>IF(OR(C37="PILOTE",C37="ACTIF"),IF(AND(A37&lt;&gt;"",H37&lt;&gt;"",I37&lt;&gt;"",K37&lt;&gt;"",V37&lt;&gt;"",W37&lt;&gt;""),"OK","A_COMPLETER"),"OK_STRUCTURE")</f>
        <v/>
      </c>
    </row>
    <row r="38" ht="72" customHeight="1" s="34">
      <c r="A38" s="4" t="inlineStr">
        <is>
          <t>PIP-ACT-I-I4-014</t>
        </is>
      </c>
      <c r="B38" s="4" t="inlineStr">
        <is>
          <t>0.2</t>
        </is>
      </c>
      <c r="C38" s="4" t="inlineStr">
        <is>
          <t>PILOTE</t>
        </is>
      </c>
      <c r="D38" s="4" t="inlineStr">
        <is>
          <t>08/09/2026</t>
        </is>
      </c>
      <c r="E38" s="4" t="inlineStr">
        <is>
          <t>08/09/2026</t>
        </is>
      </c>
      <c r="F38" s="4" t="inlineStr">
        <is>
          <t>ACT</t>
        </is>
      </c>
      <c r="G38" s="4" t="inlineStr">
        <is>
          <t>Verbe d’action + objet/contexte</t>
        </is>
      </c>
      <c r="H38" s="4" t="inlineStr">
        <is>
          <t>I</t>
        </is>
      </c>
      <c r="I38" s="4" t="inlineStr">
        <is>
          <t>I4</t>
        </is>
      </c>
      <c r="J38" s="6" t="inlineStr">
        <is>
          <t>R</t>
        </is>
      </c>
      <c r="K38" s="6" t="inlineStr">
        <is>
          <t>Comparer plusieurs essais pour comprendre ce qui produit un résultat différent.</t>
        </is>
      </c>
      <c r="L38" s="4" t="inlineStr">
        <is>
          <t>Cela ne m’attire pas du tout</t>
        </is>
      </c>
      <c r="M38" s="4" t="inlineStr">
        <is>
          <t>Cela m’attire peu</t>
        </is>
      </c>
      <c r="N38" s="4" t="inlineStr">
        <is>
          <t>Je suis partagé(e) / sans préférence marquée</t>
        </is>
      </c>
      <c r="O38" s="4" t="inlineStr">
        <is>
          <t>Cela m’attire</t>
        </is>
      </c>
      <c r="P38" s="4" t="inlineStr">
        <is>
          <t>Cela m’attire beaucoup</t>
        </is>
      </c>
      <c r="Q38" s="4" t="n">
        <v>1</v>
      </c>
      <c r="R38" s="4" t="n">
        <v>2</v>
      </c>
      <c r="S38" s="4" t="n">
        <v>3</v>
      </c>
      <c r="T38" s="4" t="n">
        <v>4</v>
      </c>
      <c r="U38" s="4" t="n">
        <v>5</v>
      </c>
      <c r="V38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8" s="6" t="inlineStr">
        <is>
          <t>L’item relève de I4 — Expérimenter / tester : Mise à l’épreuve d’hypothèses ou solutions afin d’apprendre du résultat.</t>
        </is>
      </c>
      <c r="X38" s="6" t="inlineStr">
        <is>
          <t>Revue méthodologique V0.3 : surveiller compréhension du vocabulaire au pilote.</t>
        </is>
      </c>
      <c r="Y38" s="6" t="inlineStr">
        <is>
          <t>FAIBLE</t>
        </is>
      </c>
      <c r="Z38" s="6" t="inlineStr">
        <is>
          <t>FAIBLE</t>
        </is>
      </c>
      <c r="AA38" s="6" t="inlineStr">
        <is>
          <t>FAIBLE</t>
        </is>
      </c>
      <c r="AB38" s="6" t="inlineStr">
        <is>
          <t>MOYEN</t>
        </is>
      </c>
      <c r="AC38" s="6" t="inlineStr">
        <is>
          <t>MOYEN</t>
        </is>
      </c>
      <c r="AD38" s="6" t="inlineStr">
        <is>
          <t>FAIBLE</t>
        </is>
      </c>
      <c r="AE38" s="6" t="inlineStr">
        <is>
          <t>FAIBLE</t>
        </is>
      </c>
      <c r="AF38" s="6" t="inlineStr">
        <is>
          <t>FAIBLE</t>
        </is>
      </c>
      <c r="AG38" s="6" t="inlineStr">
        <is>
          <t>FAIBLE</t>
        </is>
      </c>
      <c r="AH38" s="6" t="inlineStr">
        <is>
          <t>FAIBLE</t>
        </is>
      </c>
      <c r="AI38" s="6" t="inlineStr">
        <is>
          <t>FAIBLE</t>
        </is>
      </c>
      <c r="AJ38" s="4" t="n">
        <v>0</v>
      </c>
      <c r="AK38" s="4" t="n"/>
      <c r="AL38" s="6" t="inlineStr">
        <is>
          <t>RETENU_V0.5_REECRIT_CONCRET</t>
        </is>
      </c>
      <c r="AM38" s="6" t="n"/>
      <c r="AN38" s="4" t="inlineStr">
        <is>
          <t>PIP-BANK-0.3</t>
        </is>
      </c>
      <c r="AO38" s="6" t="inlineStr">
        <is>
          <t>PIP-BANK-0.4</t>
        </is>
      </c>
      <c r="AP38" s="8">
        <f>IF(OR(C38="PILOTE",C38="ACTIF"),IF(AND(A38&lt;&gt;"",H38&lt;&gt;"",I38&lt;&gt;"",K38&lt;&gt;"",V38&lt;&gt;"",W38&lt;&gt;""),"OK","A_COMPLETER"),"OK_STRUCTURE")</f>
        <v/>
      </c>
    </row>
    <row r="39" ht="72" customHeight="1" s="34">
      <c r="A39" s="4" t="inlineStr">
        <is>
          <t>PIP-SIT-I-I4-015</t>
        </is>
      </c>
      <c r="B39" s="4" t="inlineStr">
        <is>
          <t>0.2</t>
        </is>
      </c>
      <c r="C39" s="4" t="inlineStr">
        <is>
          <t>PILOTE</t>
        </is>
      </c>
      <c r="D39" s="4" t="inlineStr">
        <is>
          <t>08/09/2026</t>
        </is>
      </c>
      <c r="E39" s="4" t="inlineStr">
        <is>
          <t>08/09/2026</t>
        </is>
      </c>
      <c r="F39" s="4" t="inlineStr">
        <is>
          <t>SIT</t>
        </is>
      </c>
      <c r="G39" s="4" t="inlineStr">
        <is>
          <t>Situation courte avec enjeu central</t>
        </is>
      </c>
      <c r="H39" s="4" t="inlineStr">
        <is>
          <t>I</t>
        </is>
      </c>
      <c r="I39" s="4" t="inlineStr">
        <is>
          <t>I4</t>
        </is>
      </c>
      <c r="J39" s="6" t="inlineStr">
        <is>
          <t>R</t>
        </is>
      </c>
      <c r="K39" s="6" t="inlineStr">
        <is>
          <t>Chercher la meilleure explication d’un phénomène en réalisant des essais ou des mesures.</t>
        </is>
      </c>
      <c r="L39" s="4" t="inlineStr">
        <is>
          <t>Cela ne m’attire pas du tout</t>
        </is>
      </c>
      <c r="M39" s="4" t="inlineStr">
        <is>
          <t>Cela m’attire peu</t>
        </is>
      </c>
      <c r="N39" s="4" t="inlineStr">
        <is>
          <t>Je suis partagé(e) / sans préférence marquée</t>
        </is>
      </c>
      <c r="O39" s="4" t="inlineStr">
        <is>
          <t>Cela m’attire</t>
        </is>
      </c>
      <c r="P39" s="4" t="inlineStr">
        <is>
          <t>Cela m’attire beaucoup</t>
        </is>
      </c>
      <c r="Q39" s="4" t="n">
        <v>1</v>
      </c>
      <c r="R39" s="4" t="n">
        <v>2</v>
      </c>
      <c r="S39" s="4" t="n">
        <v>3</v>
      </c>
      <c r="T39" s="4" t="n">
        <v>4</v>
      </c>
      <c r="U39" s="4" t="n">
        <v>5</v>
      </c>
      <c r="V39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9" s="6" t="inlineStr">
        <is>
          <t>L’item relève de I4 — Expérimenter / tester : Mise à l’épreuve d’hypothèses ou solutions afin d’apprendre du résultat.</t>
        </is>
      </c>
      <c r="X39" s="6" t="inlineStr">
        <is>
          <t>Revue méthodologique V0.3 : surveiller compréhension du vocabulaire au pilote.</t>
        </is>
      </c>
      <c r="Y39" s="6" t="inlineStr">
        <is>
          <t>FAIBLE</t>
        </is>
      </c>
      <c r="Z39" s="6" t="inlineStr">
        <is>
          <t>FAIBLE</t>
        </is>
      </c>
      <c r="AA39" s="6" t="inlineStr">
        <is>
          <t>FAIBLE</t>
        </is>
      </c>
      <c r="AB39" s="6" t="inlineStr">
        <is>
          <t>MOYEN</t>
        </is>
      </c>
      <c r="AC39" s="6" t="inlineStr">
        <is>
          <t>MOYEN</t>
        </is>
      </c>
      <c r="AD39" s="6" t="inlineStr">
        <is>
          <t>FAIBLE</t>
        </is>
      </c>
      <c r="AE39" s="6" t="inlineStr">
        <is>
          <t>FAIBLE</t>
        </is>
      </c>
      <c r="AF39" s="6" t="inlineStr">
        <is>
          <t>FAIBLE</t>
        </is>
      </c>
      <c r="AG39" s="6" t="inlineStr">
        <is>
          <t>FAIBLE</t>
        </is>
      </c>
      <c r="AH39" s="6" t="inlineStr">
        <is>
          <t>FAIBLE</t>
        </is>
      </c>
      <c r="AI39" s="6" t="inlineStr">
        <is>
          <t>FAIBLE</t>
        </is>
      </c>
      <c r="AJ39" s="4" t="n">
        <v>0</v>
      </c>
      <c r="AK39" s="4" t="n"/>
      <c r="AL39" s="6" t="inlineStr">
        <is>
          <t>RETIRE_BANQUE72_HISTORIQUE_CONSERVE</t>
        </is>
      </c>
      <c r="AM39" s="6" t="inlineStr">
        <is>
          <t>Réduction méthodologique 120→72 : doublon de facette / priorité aux activités professionnelles observables et aux items à plus faible risque.</t>
        </is>
      </c>
      <c r="AN39" s="4" t="inlineStr">
        <is>
          <t>PIP-BANK-0.3</t>
        </is>
      </c>
      <c r="AO39" s="6" t="inlineStr">
        <is>
          <t>PIP-BANK-0.3</t>
        </is>
      </c>
      <c r="AP39" s="8">
        <f>IF(OR(C39="PILOTE",C39="ACTIF"),IF(AND(A39&lt;&gt;"",H39&lt;&gt;"",I39&lt;&gt;"",K39&lt;&gt;"",V39&lt;&gt;"",W39&lt;&gt;""),"OK","A_COMPLETER"),"OK_STRUCTURE")</f>
        <v/>
      </c>
    </row>
    <row r="40" ht="72" customHeight="1" s="34">
      <c r="A40" s="4" t="inlineStr">
        <is>
          <t>PIP-ENV-I-I4-016</t>
        </is>
      </c>
      <c r="B40" s="4" t="inlineStr">
        <is>
          <t>0.2</t>
        </is>
      </c>
      <c r="C40" s="4" t="inlineStr">
        <is>
          <t>PILOTE</t>
        </is>
      </c>
      <c r="D40" s="4" t="inlineStr">
        <is>
          <t>08/09/2026</t>
        </is>
      </c>
      <c r="E40" s="4" t="inlineStr">
        <is>
          <t>08/09/2026</t>
        </is>
      </c>
      <c r="F40" s="4" t="inlineStr">
        <is>
          <t>ENV</t>
        </is>
      </c>
      <c r="G40" s="4" t="inlineStr">
        <is>
          <t>Contexte décrit par ce qu’il permet de faire</t>
        </is>
      </c>
      <c r="H40" s="4" t="inlineStr">
        <is>
          <t>I</t>
        </is>
      </c>
      <c r="I40" s="4" t="inlineStr">
        <is>
          <t>I4</t>
        </is>
      </c>
      <c r="J40" s="6" t="inlineStr">
        <is>
          <t>R</t>
        </is>
      </c>
      <c r="K40" s="6" t="inlineStr">
        <is>
          <t>Évoluer dans un contexte où l’on peut expérimenter, mesurer et tirer des enseignements des résultats.</t>
        </is>
      </c>
      <c r="L40" s="4" t="inlineStr">
        <is>
          <t>Cela ne m’attire pas du tout</t>
        </is>
      </c>
      <c r="M40" s="4" t="inlineStr">
        <is>
          <t>Cela m’attire peu</t>
        </is>
      </c>
      <c r="N40" s="4" t="inlineStr">
        <is>
          <t>Je suis partagé(e) / sans préférence marquée</t>
        </is>
      </c>
      <c r="O40" s="4" t="inlineStr">
        <is>
          <t>Cela m’attire</t>
        </is>
      </c>
      <c r="P40" s="4" t="inlineStr">
        <is>
          <t>Cela m’attire beaucoup</t>
        </is>
      </c>
      <c r="Q40" s="4" t="n">
        <v>1</v>
      </c>
      <c r="R40" s="4" t="n">
        <v>2</v>
      </c>
      <c r="S40" s="4" t="n">
        <v>3</v>
      </c>
      <c r="T40" s="4" t="n">
        <v>4</v>
      </c>
      <c r="U40" s="4" t="n">
        <v>5</v>
      </c>
      <c r="V40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40" s="6" t="inlineStr">
        <is>
          <t>L’item relève de I4 — Expérimenter / tester : Mise à l’épreuve d’hypothèses ou solutions afin d’apprendre du résultat.</t>
        </is>
      </c>
      <c r="X40" s="6" t="inlineStr">
        <is>
          <t>Revue méthodologique V0.3 : surveiller compréhension du vocabulaire au pilote.</t>
        </is>
      </c>
      <c r="Y40" s="6" t="inlineStr">
        <is>
          <t>FAIBLE</t>
        </is>
      </c>
      <c r="Z40" s="6" t="inlineStr">
        <is>
          <t>FAIBLE</t>
        </is>
      </c>
      <c r="AA40" s="6" t="inlineStr">
        <is>
          <t>FAIBLE</t>
        </is>
      </c>
      <c r="AB40" s="6" t="inlineStr">
        <is>
          <t>MOYEN</t>
        </is>
      </c>
      <c r="AC40" s="6" t="inlineStr">
        <is>
          <t>MOYEN</t>
        </is>
      </c>
      <c r="AD40" s="6" t="inlineStr">
        <is>
          <t>FAIBLE</t>
        </is>
      </c>
      <c r="AE40" s="6" t="inlineStr">
        <is>
          <t>FAIBLE</t>
        </is>
      </c>
      <c r="AF40" s="6" t="inlineStr">
        <is>
          <t>FAIBLE</t>
        </is>
      </c>
      <c r="AG40" s="6" t="inlineStr">
        <is>
          <t>FAIBLE</t>
        </is>
      </c>
      <c r="AH40" s="6" t="inlineStr">
        <is>
          <t>FAIBLE</t>
        </is>
      </c>
      <c r="AI40" s="6" t="inlineStr">
        <is>
          <t>FAIBLE</t>
        </is>
      </c>
      <c r="AJ40" s="4" t="n">
        <v>0</v>
      </c>
      <c r="AK40" s="4" t="n"/>
      <c r="AL40" s="6" t="inlineStr">
        <is>
          <t>RETIRE_BANQUE72_HISTORIQUE_CONSERVE</t>
        </is>
      </c>
      <c r="AM40" s="6" t="inlineStr">
        <is>
          <t>Réduction méthodologique 120→72 : doublon de facette / priorité aux activités professionnelles observables et aux items à plus faible risque.</t>
        </is>
      </c>
      <c r="AN40" s="4" t="inlineStr">
        <is>
          <t>PIP-BANK-0.3</t>
        </is>
      </c>
      <c r="AO40" s="6" t="inlineStr">
        <is>
          <t>PIP-BANK-0.3</t>
        </is>
      </c>
      <c r="AP40" s="8">
        <f>IF(OR(C40="PILOTE",C40="ACTIF"),IF(AND(A40&lt;&gt;"",H40&lt;&gt;"",I40&lt;&gt;"",K40&lt;&gt;"",V40&lt;&gt;"",W40&lt;&gt;""),"OK","A_COMPLETER"),"OK_STRUCTURE")</f>
        <v/>
      </c>
    </row>
    <row r="41" ht="72" customHeight="1" s="34">
      <c r="A41" s="4" t="inlineStr">
        <is>
          <t>PIP-ACT-I-I5-017</t>
        </is>
      </c>
      <c r="B41" s="4" t="inlineStr">
        <is>
          <t>0.2</t>
        </is>
      </c>
      <c r="C41" s="4" t="inlineStr">
        <is>
          <t>PILOTE</t>
        </is>
      </c>
      <c r="D41" s="4" t="inlineStr">
        <is>
          <t>08/09/2026</t>
        </is>
      </c>
      <c r="E41" s="4" t="inlineStr">
        <is>
          <t>08/09/2026</t>
        </is>
      </c>
      <c r="F41" s="4" t="inlineStr">
        <is>
          <t>ACT</t>
        </is>
      </c>
      <c r="G41" s="4" t="inlineStr">
        <is>
          <t>Verbe d’action + objet/contexte</t>
        </is>
      </c>
      <c r="H41" s="4" t="inlineStr">
        <is>
          <t>I</t>
        </is>
      </c>
      <c r="I41" s="4" t="inlineStr">
        <is>
          <t>I5</t>
        </is>
      </c>
      <c r="J41" s="6" t="inlineStr">
        <is>
          <t>R</t>
        </is>
      </c>
      <c r="K41" s="6" t="inlineStr">
        <is>
          <t>Chercher la cause d’un problème pour pouvoir l’expliquer.</t>
        </is>
      </c>
      <c r="L41" s="4" t="inlineStr">
        <is>
          <t>Cela ne m’attire pas du tout</t>
        </is>
      </c>
      <c r="M41" s="4" t="inlineStr">
        <is>
          <t>Cela m’attire peu</t>
        </is>
      </c>
      <c r="N41" s="4" t="inlineStr">
        <is>
          <t>Je suis partagé(e) / sans préférence marquée</t>
        </is>
      </c>
      <c r="O41" s="4" t="inlineStr">
        <is>
          <t>Cela m’attire</t>
        </is>
      </c>
      <c r="P41" s="4" t="inlineStr">
        <is>
          <t>Cela m’attire beaucoup</t>
        </is>
      </c>
      <c r="Q41" s="4" t="n">
        <v>1</v>
      </c>
      <c r="R41" s="4" t="n">
        <v>2</v>
      </c>
      <c r="S41" s="4" t="n">
        <v>3</v>
      </c>
      <c r="T41" s="4" t="n">
        <v>4</v>
      </c>
      <c r="U41" s="4" t="n">
        <v>5</v>
      </c>
      <c r="V41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41" s="6" t="inlineStr">
        <is>
          <t>L’item relève de I5 — Résoudre / expliquer : Problèmes intellectuels dont l’enjeu est de comprendre, expliquer ou trouver une solution fondée.</t>
        </is>
      </c>
      <c r="X41" s="6" t="inlineStr">
        <is>
          <t>Revue méthodologique V0.3 : surveiller compréhension du vocabulaire au pilote.</t>
        </is>
      </c>
      <c r="Y41" s="6" t="inlineStr">
        <is>
          <t>FAIBLE</t>
        </is>
      </c>
      <c r="Z41" s="6" t="inlineStr">
        <is>
          <t>FAIBLE</t>
        </is>
      </c>
      <c r="AA41" s="6" t="inlineStr">
        <is>
          <t>FAIBLE</t>
        </is>
      </c>
      <c r="AB41" s="6" t="inlineStr">
        <is>
          <t>MOYEN</t>
        </is>
      </c>
      <c r="AC41" s="6" t="inlineStr">
        <is>
          <t>MOYEN</t>
        </is>
      </c>
      <c r="AD41" s="6" t="inlineStr">
        <is>
          <t>FAIBLE</t>
        </is>
      </c>
      <c r="AE41" s="6" t="inlineStr">
        <is>
          <t>FAIBLE</t>
        </is>
      </c>
      <c r="AF41" s="6" t="inlineStr">
        <is>
          <t>FAIBLE</t>
        </is>
      </c>
      <c r="AG41" s="6" t="inlineStr">
        <is>
          <t>FAIBLE</t>
        </is>
      </c>
      <c r="AH41" s="6" t="inlineStr">
        <is>
          <t>FAIBLE</t>
        </is>
      </c>
      <c r="AI41" s="6" t="inlineStr">
        <is>
          <t>FAIBLE</t>
        </is>
      </c>
      <c r="AJ41" s="4" t="n">
        <v>0</v>
      </c>
      <c r="AK41" s="4" t="n"/>
      <c r="AL41" s="6" t="inlineStr">
        <is>
          <t>RETENU_V0.5_REECRIT_CONCRET</t>
        </is>
      </c>
      <c r="AM41" s="6" t="n"/>
      <c r="AN41" s="4" t="inlineStr">
        <is>
          <t>PIP-BANK-0.3</t>
        </is>
      </c>
      <c r="AO41" s="6" t="inlineStr">
        <is>
          <t>PIP-BANK-0.4</t>
        </is>
      </c>
      <c r="AP41" s="8">
        <f>IF(OR(C41="PILOTE",C41="ACTIF"),IF(AND(A41&lt;&gt;"",H41&lt;&gt;"",I41&lt;&gt;"",K41&lt;&gt;"",V41&lt;&gt;"",W41&lt;&gt;""),"OK","A_COMPLETER"),"OK_STRUCTURE")</f>
        <v/>
      </c>
    </row>
    <row r="42" ht="72" customHeight="1" s="34">
      <c r="A42" s="4" t="inlineStr">
        <is>
          <t>PIP-ACT-I-I5-018</t>
        </is>
      </c>
      <c r="B42" s="4" t="inlineStr">
        <is>
          <t>0.2</t>
        </is>
      </c>
      <c r="C42" s="4" t="inlineStr">
        <is>
          <t>PILOTE</t>
        </is>
      </c>
      <c r="D42" s="4" t="inlineStr">
        <is>
          <t>08/09/2026</t>
        </is>
      </c>
      <c r="E42" s="4" t="inlineStr">
        <is>
          <t>08/09/2026</t>
        </is>
      </c>
      <c r="F42" s="4" t="inlineStr">
        <is>
          <t>ACT</t>
        </is>
      </c>
      <c r="G42" s="4" t="inlineStr">
        <is>
          <t>Verbe d’action + objet/contexte</t>
        </is>
      </c>
      <c r="H42" s="4" t="inlineStr">
        <is>
          <t>I</t>
        </is>
      </c>
      <c r="I42" s="4" t="inlineStr">
        <is>
          <t>I5</t>
        </is>
      </c>
      <c r="J42" s="6" t="inlineStr">
        <is>
          <t>R</t>
        </is>
      </c>
      <c r="K42" s="6" t="inlineStr">
        <is>
          <t>Résoudre un problème nouveau en construisant une solution fondée sur les informations disponibles.</t>
        </is>
      </c>
      <c r="L42" s="4" t="inlineStr">
        <is>
          <t>Cela ne m’attire pas du tout</t>
        </is>
      </c>
      <c r="M42" s="4" t="inlineStr">
        <is>
          <t>Cela m’attire peu</t>
        </is>
      </c>
      <c r="N42" s="4" t="inlineStr">
        <is>
          <t>Je suis partagé(e) / sans préférence marquée</t>
        </is>
      </c>
      <c r="O42" s="4" t="inlineStr">
        <is>
          <t>Cela m’attire</t>
        </is>
      </c>
      <c r="P42" s="4" t="inlineStr">
        <is>
          <t>Cela m’attire beaucoup</t>
        </is>
      </c>
      <c r="Q42" s="4" t="n">
        <v>1</v>
      </c>
      <c r="R42" s="4" t="n">
        <v>2</v>
      </c>
      <c r="S42" s="4" t="n">
        <v>3</v>
      </c>
      <c r="T42" s="4" t="n">
        <v>4</v>
      </c>
      <c r="U42" s="4" t="n">
        <v>5</v>
      </c>
      <c r="V42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42" s="6" t="inlineStr">
        <is>
          <t>L’item relève de I5 — Résoudre / expliquer : Problèmes intellectuels dont l’enjeu est de comprendre, expliquer ou trouver une solution fondée.</t>
        </is>
      </c>
      <c r="X42" s="6" t="inlineStr">
        <is>
          <t>Revue méthodologique V0.3 : surveiller compréhension du vocabulaire au pilote.</t>
        </is>
      </c>
      <c r="Y42" s="6" t="inlineStr">
        <is>
          <t>FAIBLE</t>
        </is>
      </c>
      <c r="Z42" s="6" t="inlineStr">
        <is>
          <t>FAIBLE</t>
        </is>
      </c>
      <c r="AA42" s="6" t="inlineStr">
        <is>
          <t>FAIBLE</t>
        </is>
      </c>
      <c r="AB42" s="6" t="inlineStr">
        <is>
          <t>MOYEN</t>
        </is>
      </c>
      <c r="AC42" s="6" t="inlineStr">
        <is>
          <t>MOYEN</t>
        </is>
      </c>
      <c r="AD42" s="6" t="inlineStr">
        <is>
          <t>FAIBLE</t>
        </is>
      </c>
      <c r="AE42" s="6" t="inlineStr">
        <is>
          <t>FAIBLE</t>
        </is>
      </c>
      <c r="AF42" s="6" t="inlineStr">
        <is>
          <t>FAIBLE</t>
        </is>
      </c>
      <c r="AG42" s="6" t="inlineStr">
        <is>
          <t>FAIBLE</t>
        </is>
      </c>
      <c r="AH42" s="6" t="inlineStr">
        <is>
          <t>FAIBLE</t>
        </is>
      </c>
      <c r="AI42" s="6" t="inlineStr">
        <is>
          <t>FAIBLE</t>
        </is>
      </c>
      <c r="AJ42" s="4" t="n">
        <v>0</v>
      </c>
      <c r="AK42" s="4" t="n"/>
      <c r="AL42" s="6" t="inlineStr">
        <is>
          <t>RETENU_V0.5_REECRIT_CONCRET</t>
        </is>
      </c>
      <c r="AM42" s="6" t="n"/>
      <c r="AN42" s="4" t="inlineStr">
        <is>
          <t>PIP-BANK-0.3</t>
        </is>
      </c>
      <c r="AO42" s="6" t="inlineStr">
        <is>
          <t>PIP-BANK-0.4</t>
        </is>
      </c>
      <c r="AP42" s="8">
        <f>IF(OR(C42="PILOTE",C42="ACTIF"),IF(AND(A42&lt;&gt;"",H42&lt;&gt;"",I42&lt;&gt;"",K42&lt;&gt;"",V42&lt;&gt;"",W42&lt;&gt;""),"OK","A_COMPLETER"),"OK_STRUCTURE")</f>
        <v/>
      </c>
    </row>
    <row r="43" ht="72" customHeight="1" s="34">
      <c r="A43" s="4" t="inlineStr">
        <is>
          <t>PIP-SIT-I-I5-019</t>
        </is>
      </c>
      <c r="B43" s="4" t="inlineStr">
        <is>
          <t>0.2</t>
        </is>
      </c>
      <c r="C43" s="4" t="inlineStr">
        <is>
          <t>PILOTE</t>
        </is>
      </c>
      <c r="D43" s="4" t="inlineStr">
        <is>
          <t>08/09/2026</t>
        </is>
      </c>
      <c r="E43" s="4" t="inlineStr">
        <is>
          <t>08/09/2026</t>
        </is>
      </c>
      <c r="F43" s="4" t="inlineStr">
        <is>
          <t>SIT</t>
        </is>
      </c>
      <c r="G43" s="4" t="inlineStr">
        <is>
          <t>Situation courte avec enjeu central</t>
        </is>
      </c>
      <c r="H43" s="4" t="inlineStr">
        <is>
          <t>I</t>
        </is>
      </c>
      <c r="I43" s="4" t="inlineStr">
        <is>
          <t>I5</t>
        </is>
      </c>
      <c r="J43" s="6" t="inlineStr">
        <is>
          <t>R</t>
        </is>
      </c>
      <c r="K43" s="6" t="inlineStr">
        <is>
          <t>Prendre en charge une situation complexe dont la solution n’est pas connue à l’avance et qui demande d’abord de comprendre le problème.</t>
        </is>
      </c>
      <c r="L43" s="4" t="inlineStr">
        <is>
          <t>Cela ne m’attire pas du tout</t>
        </is>
      </c>
      <c r="M43" s="4" t="inlineStr">
        <is>
          <t>Cela m’attire peu</t>
        </is>
      </c>
      <c r="N43" s="4" t="inlineStr">
        <is>
          <t>Je suis partagé(e) / sans préférence marquée</t>
        </is>
      </c>
      <c r="O43" s="4" t="inlineStr">
        <is>
          <t>Cela m’attire</t>
        </is>
      </c>
      <c r="P43" s="4" t="inlineStr">
        <is>
          <t>Cela m’attire beaucoup</t>
        </is>
      </c>
      <c r="Q43" s="4" t="n">
        <v>1</v>
      </c>
      <c r="R43" s="4" t="n">
        <v>2</v>
      </c>
      <c r="S43" s="4" t="n">
        <v>3</v>
      </c>
      <c r="T43" s="4" t="n">
        <v>4</v>
      </c>
      <c r="U43" s="4" t="n">
        <v>5</v>
      </c>
      <c r="V43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43" s="6" t="inlineStr">
        <is>
          <t>L’item relève de I5 — Résoudre / expliquer : Problèmes intellectuels dont l’enjeu est de comprendre, expliquer ou trouver une solution fondée.</t>
        </is>
      </c>
      <c r="X43" s="6" t="inlineStr">
        <is>
          <t>Revue méthodologique V0.3 : surveiller compréhension du vocabulaire, frontière avec R au pilote.</t>
        </is>
      </c>
      <c r="Y43" s="6" t="inlineStr">
        <is>
          <t>FAIBLE</t>
        </is>
      </c>
      <c r="Z43" s="6" t="inlineStr">
        <is>
          <t>FAIBLE</t>
        </is>
      </c>
      <c r="AA43" s="6" t="inlineStr">
        <is>
          <t>FAIBLE</t>
        </is>
      </c>
      <c r="AB43" s="6" t="inlineStr">
        <is>
          <t>MOYEN</t>
        </is>
      </c>
      <c r="AC43" s="6" t="inlineStr">
        <is>
          <t>MOYEN</t>
        </is>
      </c>
      <c r="AD43" s="6" t="inlineStr">
        <is>
          <t>FAIBLE</t>
        </is>
      </c>
      <c r="AE43" s="6" t="inlineStr">
        <is>
          <t>FAIBLE</t>
        </is>
      </c>
      <c r="AF43" s="6" t="inlineStr">
        <is>
          <t>FAIBLE</t>
        </is>
      </c>
      <c r="AG43" s="6" t="inlineStr">
        <is>
          <t>FAIBLE</t>
        </is>
      </c>
      <c r="AH43" s="6" t="inlineStr">
        <is>
          <t>FAIBLE</t>
        </is>
      </c>
      <c r="AI43" s="6" t="inlineStr">
        <is>
          <t>MOYEN</t>
        </is>
      </c>
      <c r="AJ43" s="4" t="n">
        <v>0</v>
      </c>
      <c r="AK43" s="4" t="n"/>
      <c r="AL43" s="6" t="inlineStr">
        <is>
          <t>RETIRE_BANQUE72_HISTORIQUE_CONSERVE</t>
        </is>
      </c>
      <c r="AM43" s="6" t="inlineStr">
        <is>
          <t>Réduction méthodologique 120→72 : doublon de facette / priorité aux activités professionnelles observables et aux items à plus faible risque.</t>
        </is>
      </c>
      <c r="AN43" s="4" t="inlineStr">
        <is>
          <t>PIP-BANK-0.3</t>
        </is>
      </c>
      <c r="AO43" s="6" t="inlineStr">
        <is>
          <t>PIP-BANK-0.3</t>
        </is>
      </c>
      <c r="AP43" s="8">
        <f>IF(OR(C43="PILOTE",C43="ACTIF"),IF(AND(A43&lt;&gt;"",H43&lt;&gt;"",I43&lt;&gt;"",K43&lt;&gt;"",V43&lt;&gt;"",W43&lt;&gt;""),"OK","A_COMPLETER"),"OK_STRUCTURE")</f>
        <v/>
      </c>
    </row>
    <row r="44" ht="72" customHeight="1" s="34">
      <c r="A44" s="4" t="inlineStr">
        <is>
          <t>PIP-ENV-I-I5-020</t>
        </is>
      </c>
      <c r="B44" s="4" t="inlineStr">
        <is>
          <t>0.2</t>
        </is>
      </c>
      <c r="C44" s="4" t="inlineStr">
        <is>
          <t>PILOTE</t>
        </is>
      </c>
      <c r="D44" s="4" t="inlineStr">
        <is>
          <t>08/09/2026</t>
        </is>
      </c>
      <c r="E44" s="4" t="inlineStr">
        <is>
          <t>08/09/2026</t>
        </is>
      </c>
      <c r="F44" s="4" t="inlineStr">
        <is>
          <t>ENV</t>
        </is>
      </c>
      <c r="G44" s="4" t="inlineStr">
        <is>
          <t>Contexte décrit par ce qu’il permet de faire</t>
        </is>
      </c>
      <c r="H44" s="4" t="inlineStr">
        <is>
          <t>I</t>
        </is>
      </c>
      <c r="I44" s="4" t="inlineStr">
        <is>
          <t>I5</t>
        </is>
      </c>
      <c r="J44" s="6" t="inlineStr">
        <is>
          <t>R</t>
        </is>
      </c>
      <c r="K44" s="6" t="inlineStr">
        <is>
          <t>Travailler dans un contexte où l’on est régulièrement amené à expliquer des phénomènes ou à résoudre des problèmes qui demandent réflexion et compréhension.</t>
        </is>
      </c>
      <c r="L44" s="4" t="inlineStr">
        <is>
          <t>Cela ne m’attire pas du tout</t>
        </is>
      </c>
      <c r="M44" s="4" t="inlineStr">
        <is>
          <t>Cela m’attire peu</t>
        </is>
      </c>
      <c r="N44" s="4" t="inlineStr">
        <is>
          <t>Je suis partagé(e) / sans préférence marquée</t>
        </is>
      </c>
      <c r="O44" s="4" t="inlineStr">
        <is>
          <t>Cela m’attire</t>
        </is>
      </c>
      <c r="P44" s="4" t="inlineStr">
        <is>
          <t>Cela m’attire beaucoup</t>
        </is>
      </c>
      <c r="Q44" s="4" t="n">
        <v>1</v>
      </c>
      <c r="R44" s="4" t="n">
        <v>2</v>
      </c>
      <c r="S44" s="4" t="n">
        <v>3</v>
      </c>
      <c r="T44" s="4" t="n">
        <v>4</v>
      </c>
      <c r="U44" s="4" t="n">
        <v>5</v>
      </c>
      <c r="V44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44" s="6" t="inlineStr">
        <is>
          <t>L’item relève de I5 — Résoudre / expliquer : Problèmes intellectuels dont l’enjeu est de comprendre, expliquer ou trouver une solution fondée.</t>
        </is>
      </c>
      <c r="X44" s="6" t="inlineStr">
        <is>
          <t>Revue méthodologique V0.3 : surveiller compréhension du vocabulaire au pilote.</t>
        </is>
      </c>
      <c r="Y44" s="6" t="inlineStr">
        <is>
          <t>FAIBLE</t>
        </is>
      </c>
      <c r="Z44" s="6" t="inlineStr">
        <is>
          <t>FAIBLE</t>
        </is>
      </c>
      <c r="AA44" s="6" t="inlineStr">
        <is>
          <t>FAIBLE</t>
        </is>
      </c>
      <c r="AB44" s="6" t="inlineStr">
        <is>
          <t>MOYEN</t>
        </is>
      </c>
      <c r="AC44" s="6" t="inlineStr">
        <is>
          <t>MOYEN</t>
        </is>
      </c>
      <c r="AD44" s="6" t="inlineStr">
        <is>
          <t>FAIBLE</t>
        </is>
      </c>
      <c r="AE44" s="6" t="inlineStr">
        <is>
          <t>FAIBLE</t>
        </is>
      </c>
      <c r="AF44" s="6" t="inlineStr">
        <is>
          <t>FAIBLE</t>
        </is>
      </c>
      <c r="AG44" s="6" t="inlineStr">
        <is>
          <t>FAIBLE</t>
        </is>
      </c>
      <c r="AH44" s="6" t="inlineStr">
        <is>
          <t>FAIBLE</t>
        </is>
      </c>
      <c r="AI44" s="6" t="inlineStr">
        <is>
          <t>FAIBLE</t>
        </is>
      </c>
      <c r="AJ44" s="4" t="n">
        <v>0</v>
      </c>
      <c r="AK44" s="4" t="n"/>
      <c r="AL44" s="6" t="inlineStr">
        <is>
          <t>RETIRE_BANQUE72_HISTORIQUE_CONSERVE</t>
        </is>
      </c>
      <c r="AM44" s="6" t="inlineStr">
        <is>
          <t>Réduction méthodologique 120→72 : doublon de facette / priorité aux activités professionnelles observables et aux items à plus faible risque.</t>
        </is>
      </c>
      <c r="AN44" s="4" t="inlineStr">
        <is>
          <t>PIP-BANK-0.3</t>
        </is>
      </c>
      <c r="AO44" s="6" t="inlineStr">
        <is>
          <t>PIP-BANK-0.3</t>
        </is>
      </c>
      <c r="AP44" s="8">
        <f>IF(OR(C44="PILOTE",C44="ACTIF"),IF(AND(A44&lt;&gt;"",H44&lt;&gt;"",I44&lt;&gt;"",K44&lt;&gt;"",V44&lt;&gt;"",W44&lt;&gt;""),"OK","A_COMPLETER"),"OK_STRUCTURE")</f>
        <v/>
      </c>
    </row>
    <row r="45" ht="72" customHeight="1" s="34">
      <c r="A45" s="4" t="inlineStr">
        <is>
          <t>PIP-ACT-A-A1-001</t>
        </is>
      </c>
      <c r="B45" s="4" t="inlineStr">
        <is>
          <t>0.2</t>
        </is>
      </c>
      <c r="C45" s="4" t="inlineStr">
        <is>
          <t>PILOTE</t>
        </is>
      </c>
      <c r="D45" s="4" t="inlineStr">
        <is>
          <t>08/09/2026</t>
        </is>
      </c>
      <c r="E45" s="4" t="inlineStr">
        <is>
          <t>08/09/2026</t>
        </is>
      </c>
      <c r="F45" s="4" t="inlineStr">
        <is>
          <t>ACT</t>
        </is>
      </c>
      <c r="G45" s="4" t="inlineStr">
        <is>
          <t>Verbe d’action + objet/contexte</t>
        </is>
      </c>
      <c r="H45" s="4" t="inlineStr">
        <is>
          <t>A</t>
        </is>
      </c>
      <c r="I45" s="4" t="inlineStr">
        <is>
          <t>A1</t>
        </is>
      </c>
      <c r="J45" s="6" t="inlineStr">
        <is>
          <t>I,E</t>
        </is>
      </c>
      <c r="K45" s="6" t="inlineStr">
        <is>
          <t>Imaginer plusieurs idées nouvelles à partir d’un même sujet.</t>
        </is>
      </c>
      <c r="L45" s="4" t="inlineStr">
        <is>
          <t>Cela ne m’attire pas du tout</t>
        </is>
      </c>
      <c r="M45" s="4" t="inlineStr">
        <is>
          <t>Cela m’attire peu</t>
        </is>
      </c>
      <c r="N45" s="4" t="inlineStr">
        <is>
          <t>Je suis partagé(e) / sans préférence marquée</t>
        </is>
      </c>
      <c r="O45" s="4" t="inlineStr">
        <is>
          <t>Cela m’attire</t>
        </is>
      </c>
      <c r="P45" s="4" t="inlineStr">
        <is>
          <t>Cela m’attire beaucoup</t>
        </is>
      </c>
      <c r="Q45" s="4" t="n">
        <v>1</v>
      </c>
      <c r="R45" s="4" t="n">
        <v>2</v>
      </c>
      <c r="S45" s="4" t="n">
        <v>3</v>
      </c>
      <c r="T45" s="4" t="n">
        <v>4</v>
      </c>
      <c r="U45" s="4" t="n">
        <v>5</v>
      </c>
      <c r="V45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45" s="6" t="inlineStr">
        <is>
          <t>L’item relève de A1 — Imaginer / inventer : Génération d’idées, concepts, scénarios ou formes nouvelles.</t>
        </is>
      </c>
      <c r="X45" s="6" t="inlineStr">
        <is>
          <t>Revue méthodologique V0.3 : surveiller compréhension du vocabulaire au pilote.</t>
        </is>
      </c>
      <c r="Y45" s="6" t="inlineStr">
        <is>
          <t>FAIBLE</t>
        </is>
      </c>
      <c r="Z45" s="6" t="inlineStr">
        <is>
          <t>FAIBLE</t>
        </is>
      </c>
      <c r="AA45" s="6" t="inlineStr">
        <is>
          <t>FAIBLE</t>
        </is>
      </c>
      <c r="AB45" s="6" t="inlineStr">
        <is>
          <t>FAIBLE</t>
        </is>
      </c>
      <c r="AC45" s="6" t="inlineStr">
        <is>
          <t>MOYEN</t>
        </is>
      </c>
      <c r="AD45" s="6" t="inlineStr">
        <is>
          <t>FAIBLE</t>
        </is>
      </c>
      <c r="AE45" s="6" t="inlineStr">
        <is>
          <t>FAIBLE</t>
        </is>
      </c>
      <c r="AF45" s="6" t="inlineStr">
        <is>
          <t>FAIBLE</t>
        </is>
      </c>
      <c r="AG45" s="6" t="inlineStr">
        <is>
          <t>FAIBLE</t>
        </is>
      </c>
      <c r="AH45" s="6" t="inlineStr">
        <is>
          <t>FAIBLE</t>
        </is>
      </c>
      <c r="AI45" s="6" t="inlineStr">
        <is>
          <t>FAIBLE</t>
        </is>
      </c>
      <c r="AJ45" s="4" t="n">
        <v>0</v>
      </c>
      <c r="AK45" s="4" t="n"/>
      <c r="AL45" s="6" t="inlineStr">
        <is>
          <t>RETENU_V0.5_REECRIT_CONCRET</t>
        </is>
      </c>
      <c r="AM45" s="6" t="n"/>
      <c r="AN45" s="4" t="inlineStr">
        <is>
          <t>PIP-BANK-0.3</t>
        </is>
      </c>
      <c r="AO45" s="6" t="inlineStr">
        <is>
          <t>PIP-BANK-0.4</t>
        </is>
      </c>
      <c r="AP45" s="8">
        <f>IF(OR(C45="PILOTE",C45="ACTIF"),IF(AND(A45&lt;&gt;"",H45&lt;&gt;"",I45&lt;&gt;"",K45&lt;&gt;"",V45&lt;&gt;"",W45&lt;&gt;""),"OK","A_COMPLETER"),"OK_STRUCTURE")</f>
        <v/>
      </c>
    </row>
    <row r="46" ht="72" customHeight="1" s="34">
      <c r="A46" s="4" t="inlineStr">
        <is>
          <t>PIP-ACT-A-A1-002</t>
        </is>
      </c>
      <c r="B46" s="4" t="inlineStr">
        <is>
          <t>0.2</t>
        </is>
      </c>
      <c r="C46" s="4" t="inlineStr">
        <is>
          <t>PILOTE</t>
        </is>
      </c>
      <c r="D46" s="4" t="inlineStr">
        <is>
          <t>08/09/2026</t>
        </is>
      </c>
      <c r="E46" s="4" t="inlineStr">
        <is>
          <t>08/09/2026</t>
        </is>
      </c>
      <c r="F46" s="4" t="inlineStr">
        <is>
          <t>ACT</t>
        </is>
      </c>
      <c r="G46" s="4" t="inlineStr">
        <is>
          <t>Verbe d’action + objet/contexte</t>
        </is>
      </c>
      <c r="H46" s="4" t="inlineStr">
        <is>
          <t>A</t>
        </is>
      </c>
      <c r="I46" s="4" t="inlineStr">
        <is>
          <t>A1</t>
        </is>
      </c>
      <c r="J46" s="6" t="inlineStr">
        <is>
          <t>I,E</t>
        </is>
      </c>
      <c r="K46" s="6" t="inlineStr">
        <is>
          <t>Inventer une manière originale de présenter ou de réaliser quelque chose.</t>
        </is>
      </c>
      <c r="L46" s="4" t="inlineStr">
        <is>
          <t>Cela ne m’attire pas du tout</t>
        </is>
      </c>
      <c r="M46" s="4" t="inlineStr">
        <is>
          <t>Cela m’attire peu</t>
        </is>
      </c>
      <c r="N46" s="4" t="inlineStr">
        <is>
          <t>Je suis partagé(e) / sans préférence marquée</t>
        </is>
      </c>
      <c r="O46" s="4" t="inlineStr">
        <is>
          <t>Cela m’attire</t>
        </is>
      </c>
      <c r="P46" s="4" t="inlineStr">
        <is>
          <t>Cela m’attire beaucoup</t>
        </is>
      </c>
      <c r="Q46" s="4" t="n">
        <v>1</v>
      </c>
      <c r="R46" s="4" t="n">
        <v>2</v>
      </c>
      <c r="S46" s="4" t="n">
        <v>3</v>
      </c>
      <c r="T46" s="4" t="n">
        <v>4</v>
      </c>
      <c r="U46" s="4" t="n">
        <v>5</v>
      </c>
      <c r="V46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46" s="6" t="inlineStr">
        <is>
          <t>L’item relève de A1 — Imaginer / inventer : Génération d’idées, concepts, scénarios ou formes nouvelles.</t>
        </is>
      </c>
      <c r="X46" s="6" t="inlineStr">
        <is>
          <t>Revue méthodologique V0.3 : surveiller compréhension du vocabulaire au pilote.</t>
        </is>
      </c>
      <c r="Y46" s="6" t="inlineStr">
        <is>
          <t>FAIBLE</t>
        </is>
      </c>
      <c r="Z46" s="6" t="inlineStr">
        <is>
          <t>FAIBLE</t>
        </is>
      </c>
      <c r="AA46" s="6" t="inlineStr">
        <is>
          <t>FAIBLE</t>
        </is>
      </c>
      <c r="AB46" s="6" t="inlineStr">
        <is>
          <t>FAIBLE</t>
        </is>
      </c>
      <c r="AC46" s="6" t="inlineStr">
        <is>
          <t>MOYEN</t>
        </is>
      </c>
      <c r="AD46" s="6" t="inlineStr">
        <is>
          <t>FAIBLE</t>
        </is>
      </c>
      <c r="AE46" s="6" t="inlineStr">
        <is>
          <t>FAIBLE</t>
        </is>
      </c>
      <c r="AF46" s="6" t="inlineStr">
        <is>
          <t>FAIBLE</t>
        </is>
      </c>
      <c r="AG46" s="6" t="inlineStr">
        <is>
          <t>FAIBLE</t>
        </is>
      </c>
      <c r="AH46" s="6" t="inlineStr">
        <is>
          <t>FAIBLE</t>
        </is>
      </c>
      <c r="AI46" s="6" t="inlineStr">
        <is>
          <t>FAIBLE</t>
        </is>
      </c>
      <c r="AJ46" s="4" t="n">
        <v>0</v>
      </c>
      <c r="AK46" s="4" t="n"/>
      <c r="AL46" s="6" t="inlineStr">
        <is>
          <t>RETENU_V0.5_REECRIT_CONCRET</t>
        </is>
      </c>
      <c r="AM46" s="6" t="n"/>
      <c r="AN46" s="4" t="inlineStr">
        <is>
          <t>PIP-BANK-0.3</t>
        </is>
      </c>
      <c r="AO46" s="6" t="inlineStr">
        <is>
          <t>PIP-BANK-0.4</t>
        </is>
      </c>
      <c r="AP46" s="8">
        <f>IF(OR(C46="PILOTE",C46="ACTIF"),IF(AND(A46&lt;&gt;"",H46&lt;&gt;"",I46&lt;&gt;"",K46&lt;&gt;"",V46&lt;&gt;"",W46&lt;&gt;""),"OK","A_COMPLETER"),"OK_STRUCTURE")</f>
        <v/>
      </c>
    </row>
    <row r="47" ht="72" customHeight="1" s="34">
      <c r="A47" s="4" t="inlineStr">
        <is>
          <t>PIP-SIT-A-A1-003</t>
        </is>
      </c>
      <c r="B47" s="4" t="inlineStr">
        <is>
          <t>0.2</t>
        </is>
      </c>
      <c r="C47" s="4" t="inlineStr">
        <is>
          <t>PILOTE</t>
        </is>
      </c>
      <c r="D47" s="4" t="inlineStr">
        <is>
          <t>08/09/2026</t>
        </is>
      </c>
      <c r="E47" s="4" t="inlineStr">
        <is>
          <t>08/09/2026</t>
        </is>
      </c>
      <c r="F47" s="4" t="inlineStr">
        <is>
          <t>SIT</t>
        </is>
      </c>
      <c r="G47" s="4" t="inlineStr">
        <is>
          <t>Situation courte avec enjeu central</t>
        </is>
      </c>
      <c r="H47" s="4" t="inlineStr">
        <is>
          <t>A</t>
        </is>
      </c>
      <c r="I47" s="4" t="inlineStr">
        <is>
          <t>A1</t>
        </is>
      </c>
      <c r="J47" s="6" t="inlineStr">
        <is>
          <t>I,E</t>
        </is>
      </c>
      <c r="K47" s="6" t="inlineStr">
        <is>
          <t>Faire face à une demande pour laquelle aucune solution n’est imposée et imaginer une proposition nouvelle.</t>
        </is>
      </c>
      <c r="L47" s="4" t="inlineStr">
        <is>
          <t>Cela ne m’attire pas du tout</t>
        </is>
      </c>
      <c r="M47" s="4" t="inlineStr">
        <is>
          <t>Cela m’attire peu</t>
        </is>
      </c>
      <c r="N47" s="4" t="inlineStr">
        <is>
          <t>Je suis partagé(e) / sans préférence marquée</t>
        </is>
      </c>
      <c r="O47" s="4" t="inlineStr">
        <is>
          <t>Cela m’attire</t>
        </is>
      </c>
      <c r="P47" s="4" t="inlineStr">
        <is>
          <t>Cela m’attire beaucoup</t>
        </is>
      </c>
      <c r="Q47" s="4" t="n">
        <v>1</v>
      </c>
      <c r="R47" s="4" t="n">
        <v>2</v>
      </c>
      <c r="S47" s="4" t="n">
        <v>3</v>
      </c>
      <c r="T47" s="4" t="n">
        <v>4</v>
      </c>
      <c r="U47" s="4" t="n">
        <v>5</v>
      </c>
      <c r="V47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47" s="6" t="inlineStr">
        <is>
          <t>L’item relève de A1 — Imaginer / inventer : Génération d’idées, concepts, scénarios ou formes nouvelles.</t>
        </is>
      </c>
      <c r="X47" s="6" t="inlineStr">
        <is>
          <t>Revue méthodologique V0.3 : surveiller compréhension du vocabulaire au pilote.</t>
        </is>
      </c>
      <c r="Y47" s="6" t="inlineStr">
        <is>
          <t>FAIBLE</t>
        </is>
      </c>
      <c r="Z47" s="6" t="inlineStr">
        <is>
          <t>FAIBLE</t>
        </is>
      </c>
      <c r="AA47" s="6" t="inlineStr">
        <is>
          <t>FAIBLE</t>
        </is>
      </c>
      <c r="AB47" s="6" t="inlineStr">
        <is>
          <t>FAIBLE</t>
        </is>
      </c>
      <c r="AC47" s="6" t="inlineStr">
        <is>
          <t>MOYEN</t>
        </is>
      </c>
      <c r="AD47" s="6" t="inlineStr">
        <is>
          <t>FAIBLE</t>
        </is>
      </c>
      <c r="AE47" s="6" t="inlineStr">
        <is>
          <t>FAIBLE</t>
        </is>
      </c>
      <c r="AF47" s="6" t="inlineStr">
        <is>
          <t>FAIBLE</t>
        </is>
      </c>
      <c r="AG47" s="6" t="inlineStr">
        <is>
          <t>FAIBLE</t>
        </is>
      </c>
      <c r="AH47" s="6" t="inlineStr">
        <is>
          <t>FAIBLE</t>
        </is>
      </c>
      <c r="AI47" s="6" t="inlineStr">
        <is>
          <t>FAIBLE</t>
        </is>
      </c>
      <c r="AJ47" s="4" t="n">
        <v>0</v>
      </c>
      <c r="AK47" s="4" t="n"/>
      <c r="AL47" s="6" t="inlineStr">
        <is>
          <t>RETENU_V0.5_REECRIT_CONCRET</t>
        </is>
      </c>
      <c r="AM47" s="6" t="n"/>
      <c r="AN47" s="4" t="inlineStr">
        <is>
          <t>PIP-BANK-0.3</t>
        </is>
      </c>
      <c r="AO47" s="6" t="inlineStr">
        <is>
          <t>PIP-BANK-0.4</t>
        </is>
      </c>
      <c r="AP47" s="8">
        <f>IF(OR(C47="PILOTE",C47="ACTIF"),IF(AND(A47&lt;&gt;"",H47&lt;&gt;"",I47&lt;&gt;"",K47&lt;&gt;"",V47&lt;&gt;"",W47&lt;&gt;""),"OK","A_COMPLETER"),"OK_STRUCTURE")</f>
        <v/>
      </c>
    </row>
    <row r="48" ht="72" customHeight="1" s="34">
      <c r="A48" s="4" t="inlineStr">
        <is>
          <t>PIP-ENV-A-A1-004</t>
        </is>
      </c>
      <c r="B48" s="4" t="inlineStr">
        <is>
          <t>0.2</t>
        </is>
      </c>
      <c r="C48" s="4" t="inlineStr">
        <is>
          <t>PILOTE</t>
        </is>
      </c>
      <c r="D48" s="4" t="inlineStr">
        <is>
          <t>08/09/2026</t>
        </is>
      </c>
      <c r="E48" s="4" t="inlineStr">
        <is>
          <t>08/09/2026</t>
        </is>
      </c>
      <c r="F48" s="4" t="inlineStr">
        <is>
          <t>ENV</t>
        </is>
      </c>
      <c r="G48" s="4" t="inlineStr">
        <is>
          <t>Contexte décrit par ce qu’il permet de faire</t>
        </is>
      </c>
      <c r="H48" s="4" t="inlineStr">
        <is>
          <t>A</t>
        </is>
      </c>
      <c r="I48" s="4" t="inlineStr">
        <is>
          <t>A1</t>
        </is>
      </c>
      <c r="J48" s="6" t="inlineStr">
        <is>
          <t>I,E</t>
        </is>
      </c>
      <c r="K48" s="6" t="inlineStr">
        <is>
          <t>Travailler dans un contexte où l’on attend régulièrement des idées nouvelles et où plusieurs pistes sont possibles.</t>
        </is>
      </c>
      <c r="L48" s="4" t="inlineStr">
        <is>
          <t>Cela ne m’attire pas du tout</t>
        </is>
      </c>
      <c r="M48" s="4" t="inlineStr">
        <is>
          <t>Cela m’attire peu</t>
        </is>
      </c>
      <c r="N48" s="4" t="inlineStr">
        <is>
          <t>Je suis partagé(e) / sans préférence marquée</t>
        </is>
      </c>
      <c r="O48" s="4" t="inlineStr">
        <is>
          <t>Cela m’attire</t>
        </is>
      </c>
      <c r="P48" s="4" t="inlineStr">
        <is>
          <t>Cela m’attire beaucoup</t>
        </is>
      </c>
      <c r="Q48" s="4" t="n">
        <v>1</v>
      </c>
      <c r="R48" s="4" t="n">
        <v>2</v>
      </c>
      <c r="S48" s="4" t="n">
        <v>3</v>
      </c>
      <c r="T48" s="4" t="n">
        <v>4</v>
      </c>
      <c r="U48" s="4" t="n">
        <v>5</v>
      </c>
      <c r="V48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48" s="6" t="inlineStr">
        <is>
          <t>L’item relève de A1 — Imaginer / inventer : Génération d’idées, concepts, scénarios ou formes nouvelles.</t>
        </is>
      </c>
      <c r="X48" s="6" t="inlineStr">
        <is>
          <t>Revue méthodologique V0.3 : surveiller compréhension du vocabulaire au pilote.</t>
        </is>
      </c>
      <c r="Y48" s="6" t="inlineStr">
        <is>
          <t>FAIBLE</t>
        </is>
      </c>
      <c r="Z48" s="6" t="inlineStr">
        <is>
          <t>FAIBLE</t>
        </is>
      </c>
      <c r="AA48" s="6" t="inlineStr">
        <is>
          <t>FAIBLE</t>
        </is>
      </c>
      <c r="AB48" s="6" t="inlineStr">
        <is>
          <t>FAIBLE</t>
        </is>
      </c>
      <c r="AC48" s="6" t="inlineStr">
        <is>
          <t>MOYEN</t>
        </is>
      </c>
      <c r="AD48" s="6" t="inlineStr">
        <is>
          <t>FAIBLE</t>
        </is>
      </c>
      <c r="AE48" s="6" t="inlineStr">
        <is>
          <t>FAIBLE</t>
        </is>
      </c>
      <c r="AF48" s="6" t="inlineStr">
        <is>
          <t>FAIBLE</t>
        </is>
      </c>
      <c r="AG48" s="6" t="inlineStr">
        <is>
          <t>FAIBLE</t>
        </is>
      </c>
      <c r="AH48" s="6" t="inlineStr">
        <is>
          <t>FAIBLE</t>
        </is>
      </c>
      <c r="AI48" s="6" t="inlineStr">
        <is>
          <t>FAIBLE</t>
        </is>
      </c>
      <c r="AJ48" s="4" t="n">
        <v>0</v>
      </c>
      <c r="AK48" s="4" t="n"/>
      <c r="AL48" s="6" t="inlineStr">
        <is>
          <t>RETIRE_BANQUE72_HISTORIQUE_CONSERVE</t>
        </is>
      </c>
      <c r="AM48" s="6" t="inlineStr">
        <is>
          <t>Réduction méthodologique 120→72 : doublon de facette / priorité aux activités professionnelles observables et aux items à plus faible risque.</t>
        </is>
      </c>
      <c r="AN48" s="4" t="inlineStr">
        <is>
          <t>PIP-BANK-0.3</t>
        </is>
      </c>
      <c r="AO48" s="6" t="inlineStr">
        <is>
          <t>PIP-BANK-0.3</t>
        </is>
      </c>
      <c r="AP48" s="8">
        <f>IF(OR(C48="PILOTE",C48="ACTIF"),IF(AND(A48&lt;&gt;"",H48&lt;&gt;"",I48&lt;&gt;"",K48&lt;&gt;"",V48&lt;&gt;"",W48&lt;&gt;""),"OK","A_COMPLETER"),"OK_STRUCTURE")</f>
        <v/>
      </c>
    </row>
    <row r="49" ht="72" customHeight="1" s="34">
      <c r="A49" s="4" t="inlineStr">
        <is>
          <t>PIP-ACT-A-A2-005</t>
        </is>
      </c>
      <c r="B49" s="4" t="inlineStr">
        <is>
          <t>0.2</t>
        </is>
      </c>
      <c r="C49" s="4" t="inlineStr">
        <is>
          <t>PILOTE</t>
        </is>
      </c>
      <c r="D49" s="4" t="inlineStr">
        <is>
          <t>08/09/2026</t>
        </is>
      </c>
      <c r="E49" s="4" t="inlineStr">
        <is>
          <t>08/09/2026</t>
        </is>
      </c>
      <c r="F49" s="4" t="inlineStr">
        <is>
          <t>ACT</t>
        </is>
      </c>
      <c r="G49" s="4" t="inlineStr">
        <is>
          <t>Verbe d’action + objet/contexte</t>
        </is>
      </c>
      <c r="H49" s="4" t="inlineStr">
        <is>
          <t>A</t>
        </is>
      </c>
      <c r="I49" s="4" t="inlineStr">
        <is>
          <t>A2</t>
        </is>
      </c>
      <c r="J49" s="6" t="inlineStr">
        <is>
          <t>R</t>
        </is>
      </c>
      <c r="K49" s="6" t="inlineStr">
        <is>
          <t>Concevoir l’organisation visuelle ou la forme d’un support pour qu’il exprime une intention.</t>
        </is>
      </c>
      <c r="L49" s="4" t="inlineStr">
        <is>
          <t>Cela ne m’attire pas du tout</t>
        </is>
      </c>
      <c r="M49" s="4" t="inlineStr">
        <is>
          <t>Cela m’attire peu</t>
        </is>
      </c>
      <c r="N49" s="4" t="inlineStr">
        <is>
          <t>Je suis partagé(e) / sans préférence marquée</t>
        </is>
      </c>
      <c r="O49" s="4" t="inlineStr">
        <is>
          <t>Cela m’attire</t>
        </is>
      </c>
      <c r="P49" s="4" t="inlineStr">
        <is>
          <t>Cela m’attire beaucoup</t>
        </is>
      </c>
      <c r="Q49" s="4" t="n">
        <v>1</v>
      </c>
      <c r="R49" s="4" t="n">
        <v>2</v>
      </c>
      <c r="S49" s="4" t="n">
        <v>3</v>
      </c>
      <c r="T49" s="4" t="n">
        <v>4</v>
      </c>
      <c r="U49" s="4" t="n">
        <v>5</v>
      </c>
      <c r="V49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49" s="6" t="inlineStr">
        <is>
          <t>L’item relève de A2 — Concevoir / composer : Organisation créative d’éléments afin de produire une forme cohérente et personnelle.</t>
        </is>
      </c>
      <c r="X49" s="6" t="inlineStr">
        <is>
          <t>Revue méthodologique V0.3 : surveiller compréhension du vocabulaire, frontière avec R au pilote.</t>
        </is>
      </c>
      <c r="Y49" s="6" t="inlineStr">
        <is>
          <t>FAIBLE</t>
        </is>
      </c>
      <c r="Z49" s="6" t="inlineStr">
        <is>
          <t>FAIBLE</t>
        </is>
      </c>
      <c r="AA49" s="6" t="inlineStr">
        <is>
          <t>FAIBLE</t>
        </is>
      </c>
      <c r="AB49" s="6" t="inlineStr">
        <is>
          <t>FAIBLE</t>
        </is>
      </c>
      <c r="AC49" s="6" t="inlineStr">
        <is>
          <t>MOYEN</t>
        </is>
      </c>
      <c r="AD49" s="6" t="inlineStr">
        <is>
          <t>FAIBLE</t>
        </is>
      </c>
      <c r="AE49" s="6" t="inlineStr">
        <is>
          <t>FAIBLE</t>
        </is>
      </c>
      <c r="AF49" s="6" t="inlineStr">
        <is>
          <t>FAIBLE</t>
        </is>
      </c>
      <c r="AG49" s="6" t="inlineStr">
        <is>
          <t>FAIBLE</t>
        </is>
      </c>
      <c r="AH49" s="6" t="inlineStr">
        <is>
          <t>FAIBLE</t>
        </is>
      </c>
      <c r="AI49" s="6" t="inlineStr">
        <is>
          <t>MOYEN</t>
        </is>
      </c>
      <c r="AJ49" s="4" t="n">
        <v>0</v>
      </c>
      <c r="AK49" s="4" t="n"/>
      <c r="AL49" s="6" t="inlineStr">
        <is>
          <t>RETENU_V0.5_REECRIT_CONCRET</t>
        </is>
      </c>
      <c r="AM49" s="6" t="n"/>
      <c r="AN49" s="4" t="inlineStr">
        <is>
          <t>PIP-BANK-0.3</t>
        </is>
      </c>
      <c r="AO49" s="6" t="inlineStr">
        <is>
          <t>PIP-BANK-0.4</t>
        </is>
      </c>
      <c r="AP49" s="8">
        <f>IF(OR(C49="PILOTE",C49="ACTIF"),IF(AND(A49&lt;&gt;"",H49&lt;&gt;"",I49&lt;&gt;"",K49&lt;&gt;"",V49&lt;&gt;"",W49&lt;&gt;""),"OK","A_COMPLETER"),"OK_STRUCTURE")</f>
        <v/>
      </c>
    </row>
    <row r="50" ht="72" customHeight="1" s="34">
      <c r="A50" s="4" t="inlineStr">
        <is>
          <t>PIP-ACT-A-A2-006</t>
        </is>
      </c>
      <c r="B50" s="4" t="inlineStr">
        <is>
          <t>0.2</t>
        </is>
      </c>
      <c r="C50" s="4" t="inlineStr">
        <is>
          <t>PILOTE</t>
        </is>
      </c>
      <c r="D50" s="4" t="inlineStr">
        <is>
          <t>08/09/2026</t>
        </is>
      </c>
      <c r="E50" s="4" t="inlineStr">
        <is>
          <t>08/09/2026</t>
        </is>
      </c>
      <c r="F50" s="4" t="inlineStr">
        <is>
          <t>ACT</t>
        </is>
      </c>
      <c r="G50" s="4" t="inlineStr">
        <is>
          <t>Verbe d’action + objet/contexte</t>
        </is>
      </c>
      <c r="H50" s="4" t="inlineStr">
        <is>
          <t>A</t>
        </is>
      </c>
      <c r="I50" s="4" t="inlineStr">
        <is>
          <t>A2</t>
        </is>
      </c>
      <c r="J50" s="6" t="inlineStr">
        <is>
          <t>R</t>
        </is>
      </c>
      <c r="K50" s="6" t="inlineStr">
        <is>
          <t>Composer différents éléments pour créer un ensemble cohérent et personnel.</t>
        </is>
      </c>
      <c r="L50" s="4" t="inlineStr">
        <is>
          <t>Cela ne m’attire pas du tout</t>
        </is>
      </c>
      <c r="M50" s="4" t="inlineStr">
        <is>
          <t>Cela m’attire peu</t>
        </is>
      </c>
      <c r="N50" s="4" t="inlineStr">
        <is>
          <t>Je suis partagé(e) / sans préférence marquée</t>
        </is>
      </c>
      <c r="O50" s="4" t="inlineStr">
        <is>
          <t>Cela m’attire</t>
        </is>
      </c>
      <c r="P50" s="4" t="inlineStr">
        <is>
          <t>Cela m’attire beaucoup</t>
        </is>
      </c>
      <c r="Q50" s="4" t="n">
        <v>1</v>
      </c>
      <c r="R50" s="4" t="n">
        <v>2</v>
      </c>
      <c r="S50" s="4" t="n">
        <v>3</v>
      </c>
      <c r="T50" s="4" t="n">
        <v>4</v>
      </c>
      <c r="U50" s="4" t="n">
        <v>5</v>
      </c>
      <c r="V50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0" s="6" t="inlineStr">
        <is>
          <t>L’item relève de A2 — Concevoir / composer : Organisation créative d’éléments afin de produire une forme cohérente et personnelle.</t>
        </is>
      </c>
      <c r="X50" s="6" t="inlineStr">
        <is>
          <t>Revue méthodologique V0.3 : surveiller compréhension du vocabulaire au pilote.</t>
        </is>
      </c>
      <c r="Y50" s="6" t="inlineStr">
        <is>
          <t>FAIBLE</t>
        </is>
      </c>
      <c r="Z50" s="6" t="inlineStr">
        <is>
          <t>FAIBLE</t>
        </is>
      </c>
      <c r="AA50" s="6" t="inlineStr">
        <is>
          <t>FAIBLE</t>
        </is>
      </c>
      <c r="AB50" s="6" t="inlineStr">
        <is>
          <t>FAIBLE</t>
        </is>
      </c>
      <c r="AC50" s="6" t="inlineStr">
        <is>
          <t>MOYEN</t>
        </is>
      </c>
      <c r="AD50" s="6" t="inlineStr">
        <is>
          <t>FAIBLE</t>
        </is>
      </c>
      <c r="AE50" s="6" t="inlineStr">
        <is>
          <t>FAIBLE</t>
        </is>
      </c>
      <c r="AF50" s="6" t="inlineStr">
        <is>
          <t>FAIBLE</t>
        </is>
      </c>
      <c r="AG50" s="6" t="inlineStr">
        <is>
          <t>FAIBLE</t>
        </is>
      </c>
      <c r="AH50" s="6" t="inlineStr">
        <is>
          <t>FAIBLE</t>
        </is>
      </c>
      <c r="AI50" s="6" t="inlineStr">
        <is>
          <t>FAIBLE</t>
        </is>
      </c>
      <c r="AJ50" s="4" t="n">
        <v>0</v>
      </c>
      <c r="AK50" s="4" t="n"/>
      <c r="AL50" s="6" t="inlineStr">
        <is>
          <t>RETENU_V0.5_REECRIT_CONCRET</t>
        </is>
      </c>
      <c r="AM50" s="6" t="n"/>
      <c r="AN50" s="4" t="inlineStr">
        <is>
          <t>PIP-BANK-0.3</t>
        </is>
      </c>
      <c r="AO50" s="6" t="inlineStr">
        <is>
          <t>PIP-BANK-0.4</t>
        </is>
      </c>
      <c r="AP50" s="8">
        <f>IF(OR(C50="PILOTE",C50="ACTIF"),IF(AND(A50&lt;&gt;"",H50&lt;&gt;"",I50&lt;&gt;"",K50&lt;&gt;"",V50&lt;&gt;"",W50&lt;&gt;""),"OK","A_COMPLETER"),"OK_STRUCTURE")</f>
        <v/>
      </c>
    </row>
    <row r="51" ht="72" customHeight="1" s="34">
      <c r="A51" s="4" t="inlineStr">
        <is>
          <t>PIP-SIT-A-A2-007</t>
        </is>
      </c>
      <c r="B51" s="4" t="inlineStr">
        <is>
          <t>0.2</t>
        </is>
      </c>
      <c r="C51" s="4" t="inlineStr">
        <is>
          <t>PILOTE</t>
        </is>
      </c>
      <c r="D51" s="4" t="inlineStr">
        <is>
          <t>08/09/2026</t>
        </is>
      </c>
      <c r="E51" s="4" t="inlineStr">
        <is>
          <t>08/09/2026</t>
        </is>
      </c>
      <c r="F51" s="4" t="inlineStr">
        <is>
          <t>SIT</t>
        </is>
      </c>
      <c r="G51" s="4" t="inlineStr">
        <is>
          <t>Situation courte avec enjeu central</t>
        </is>
      </c>
      <c r="H51" s="4" t="inlineStr">
        <is>
          <t>A</t>
        </is>
      </c>
      <c r="I51" s="4" t="inlineStr">
        <is>
          <t>A2</t>
        </is>
      </c>
      <c r="J51" s="6" t="inlineStr">
        <is>
          <t>R</t>
        </is>
      </c>
      <c r="K51" s="6" t="inlineStr">
        <is>
          <t>Créer une proposition en choisissant librement la manière d’agencer plusieurs éléments.</t>
        </is>
      </c>
      <c r="L51" s="4" t="inlineStr">
        <is>
          <t>Cela ne m’attire pas du tout</t>
        </is>
      </c>
      <c r="M51" s="4" t="inlineStr">
        <is>
          <t>Cela m’attire peu</t>
        </is>
      </c>
      <c r="N51" s="4" t="inlineStr">
        <is>
          <t>Je suis partagé(e) / sans préférence marquée</t>
        </is>
      </c>
      <c r="O51" s="4" t="inlineStr">
        <is>
          <t>Cela m’attire</t>
        </is>
      </c>
      <c r="P51" s="4" t="inlineStr">
        <is>
          <t>Cela m’attire beaucoup</t>
        </is>
      </c>
      <c r="Q51" s="4" t="n">
        <v>1</v>
      </c>
      <c r="R51" s="4" t="n">
        <v>2</v>
      </c>
      <c r="S51" s="4" t="n">
        <v>3</v>
      </c>
      <c r="T51" s="4" t="n">
        <v>4</v>
      </c>
      <c r="U51" s="4" t="n">
        <v>5</v>
      </c>
      <c r="V51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1" s="6" t="inlineStr">
        <is>
          <t>L’item relève de A2 — Concevoir / composer : Organisation créative d’éléments afin de produire une forme cohérente et personnelle.</t>
        </is>
      </c>
      <c r="X51" s="6" t="inlineStr">
        <is>
          <t>Revue méthodologique V0.3 : surveiller compréhension du vocabulaire au pilote.</t>
        </is>
      </c>
      <c r="Y51" s="6" t="inlineStr">
        <is>
          <t>FAIBLE</t>
        </is>
      </c>
      <c r="Z51" s="6" t="inlineStr">
        <is>
          <t>FAIBLE</t>
        </is>
      </c>
      <c r="AA51" s="6" t="inlineStr">
        <is>
          <t>FAIBLE</t>
        </is>
      </c>
      <c r="AB51" s="6" t="inlineStr">
        <is>
          <t>FAIBLE</t>
        </is>
      </c>
      <c r="AC51" s="6" t="inlineStr">
        <is>
          <t>MOYEN</t>
        </is>
      </c>
      <c r="AD51" s="6" t="inlineStr">
        <is>
          <t>FAIBLE</t>
        </is>
      </c>
      <c r="AE51" s="6" t="inlineStr">
        <is>
          <t>FAIBLE</t>
        </is>
      </c>
      <c r="AF51" s="6" t="inlineStr">
        <is>
          <t>FAIBLE</t>
        </is>
      </c>
      <c r="AG51" s="6" t="inlineStr">
        <is>
          <t>FAIBLE</t>
        </is>
      </c>
      <c r="AH51" s="6" t="inlineStr">
        <is>
          <t>FAIBLE</t>
        </is>
      </c>
      <c r="AI51" s="6" t="inlineStr">
        <is>
          <t>FAIBLE</t>
        </is>
      </c>
      <c r="AJ51" s="4" t="n">
        <v>0</v>
      </c>
      <c r="AK51" s="4" t="n"/>
      <c r="AL51" s="6" t="inlineStr">
        <is>
          <t>RETENU_V0.5_REECRIT_CONCRET</t>
        </is>
      </c>
      <c r="AM51" s="6" t="n"/>
      <c r="AN51" s="4" t="inlineStr">
        <is>
          <t>PIP-BANK-0.3</t>
        </is>
      </c>
      <c r="AO51" s="6" t="inlineStr">
        <is>
          <t>PIP-BANK-0.4</t>
        </is>
      </c>
      <c r="AP51" s="8">
        <f>IF(OR(C51="PILOTE",C51="ACTIF"),IF(AND(A51&lt;&gt;"",H51&lt;&gt;"",I51&lt;&gt;"",K51&lt;&gt;"",V51&lt;&gt;"",W51&lt;&gt;""),"OK","A_COMPLETER"),"OK_STRUCTURE")</f>
        <v/>
      </c>
    </row>
    <row r="52" ht="72" customHeight="1" s="34">
      <c r="A52" s="4" t="inlineStr">
        <is>
          <t>PIP-ENV-A-A2-008</t>
        </is>
      </c>
      <c r="B52" s="4" t="inlineStr">
        <is>
          <t>0.2</t>
        </is>
      </c>
      <c r="C52" s="4" t="inlineStr">
        <is>
          <t>PILOTE</t>
        </is>
      </c>
      <c r="D52" s="4" t="inlineStr">
        <is>
          <t>08/09/2026</t>
        </is>
      </c>
      <c r="E52" s="4" t="inlineStr">
        <is>
          <t>08/09/2026</t>
        </is>
      </c>
      <c r="F52" s="4" t="inlineStr">
        <is>
          <t>ENV</t>
        </is>
      </c>
      <c r="G52" s="4" t="inlineStr">
        <is>
          <t>Contexte décrit par ce qu’il permet de faire</t>
        </is>
      </c>
      <c r="H52" s="4" t="inlineStr">
        <is>
          <t>A</t>
        </is>
      </c>
      <c r="I52" s="4" t="inlineStr">
        <is>
          <t>A2</t>
        </is>
      </c>
      <c r="J52" s="6" t="inlineStr">
        <is>
          <t>R</t>
        </is>
      </c>
      <c r="K52" s="6" t="inlineStr">
        <is>
          <t>Évoluer dans un contexte où l’on peut concevoir des formes, des contenus ou des expériences avec une réelle liberté de choix.</t>
        </is>
      </c>
      <c r="L52" s="4" t="inlineStr">
        <is>
          <t>Cela ne m’attire pas du tout</t>
        </is>
      </c>
      <c r="M52" s="4" t="inlineStr">
        <is>
          <t>Cela m’attire peu</t>
        </is>
      </c>
      <c r="N52" s="4" t="inlineStr">
        <is>
          <t>Je suis partagé(e) / sans préférence marquée</t>
        </is>
      </c>
      <c r="O52" s="4" t="inlineStr">
        <is>
          <t>Cela m’attire</t>
        </is>
      </c>
      <c r="P52" s="4" t="inlineStr">
        <is>
          <t>Cela m’attire beaucoup</t>
        </is>
      </c>
      <c r="Q52" s="4" t="n">
        <v>1</v>
      </c>
      <c r="R52" s="4" t="n">
        <v>2</v>
      </c>
      <c r="S52" s="4" t="n">
        <v>3</v>
      </c>
      <c r="T52" s="4" t="n">
        <v>4</v>
      </c>
      <c r="U52" s="4" t="n">
        <v>5</v>
      </c>
      <c r="V52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2" s="6" t="inlineStr">
        <is>
          <t>L’item relève de A2 — Concevoir / composer : Organisation créative d’éléments afin de produire une forme cohérente et personnelle.</t>
        </is>
      </c>
      <c r="X52" s="6" t="inlineStr">
        <is>
          <t>Revue méthodologique V0.3 : surveiller compréhension du vocabulaire au pilote.</t>
        </is>
      </c>
      <c r="Y52" s="6" t="inlineStr">
        <is>
          <t>FAIBLE</t>
        </is>
      </c>
      <c r="Z52" s="6" t="inlineStr">
        <is>
          <t>FAIBLE</t>
        </is>
      </c>
      <c r="AA52" s="6" t="inlineStr">
        <is>
          <t>FAIBLE</t>
        </is>
      </c>
      <c r="AB52" s="6" t="inlineStr">
        <is>
          <t>FAIBLE</t>
        </is>
      </c>
      <c r="AC52" s="6" t="inlineStr">
        <is>
          <t>MOYEN</t>
        </is>
      </c>
      <c r="AD52" s="6" t="inlineStr">
        <is>
          <t>FAIBLE</t>
        </is>
      </c>
      <c r="AE52" s="6" t="inlineStr">
        <is>
          <t>FAIBLE</t>
        </is>
      </c>
      <c r="AF52" s="6" t="inlineStr">
        <is>
          <t>FAIBLE</t>
        </is>
      </c>
      <c r="AG52" s="6" t="inlineStr">
        <is>
          <t>FAIBLE</t>
        </is>
      </c>
      <c r="AH52" s="6" t="inlineStr">
        <is>
          <t>FAIBLE</t>
        </is>
      </c>
      <c r="AI52" s="6" t="inlineStr">
        <is>
          <t>FAIBLE</t>
        </is>
      </c>
      <c r="AJ52" s="4" t="n">
        <v>0</v>
      </c>
      <c r="AK52" s="4" t="n"/>
      <c r="AL52" s="6" t="inlineStr">
        <is>
          <t>RETIRE_BANQUE72_HISTORIQUE_CONSERVE</t>
        </is>
      </c>
      <c r="AM52" s="6" t="inlineStr">
        <is>
          <t>Réduction méthodologique 120→72 : doublon de facette / priorité aux activités professionnelles observables et aux items à plus faible risque.</t>
        </is>
      </c>
      <c r="AN52" s="4" t="inlineStr">
        <is>
          <t>PIP-BANK-0.3</t>
        </is>
      </c>
      <c r="AO52" s="6" t="inlineStr">
        <is>
          <t>PIP-BANK-0.3</t>
        </is>
      </c>
      <c r="AP52" s="8">
        <f>IF(OR(C52="PILOTE",C52="ACTIF"),IF(AND(A52&lt;&gt;"",H52&lt;&gt;"",I52&lt;&gt;"",K52&lt;&gt;"",V52&lt;&gt;"",W52&lt;&gt;""),"OK","A_COMPLETER"),"OK_STRUCTURE")</f>
        <v/>
      </c>
    </row>
    <row r="53" ht="72" customHeight="1" s="34">
      <c r="A53" s="4" t="inlineStr">
        <is>
          <t>PIP-ACT-A-A3-009</t>
        </is>
      </c>
      <c r="B53" s="4" t="inlineStr">
        <is>
          <t>0.2</t>
        </is>
      </c>
      <c r="C53" s="4" t="inlineStr">
        <is>
          <t>PILOTE</t>
        </is>
      </c>
      <c r="D53" s="4" t="inlineStr">
        <is>
          <t>08/09/2026</t>
        </is>
      </c>
      <c r="E53" s="4" t="inlineStr">
        <is>
          <t>08/09/2026</t>
        </is>
      </c>
      <c r="F53" s="4" t="inlineStr">
        <is>
          <t>ACT</t>
        </is>
      </c>
      <c r="G53" s="4" t="inlineStr">
        <is>
          <t>Verbe d’action + objet/contexte</t>
        </is>
      </c>
      <c r="H53" s="4" t="inlineStr">
        <is>
          <t>A</t>
        </is>
      </c>
      <c r="I53" s="4" t="inlineStr">
        <is>
          <t>A3</t>
        </is>
      </c>
      <c r="J53" s="6" t="inlineStr">
        <is>
          <t>S,E</t>
        </is>
      </c>
      <c r="K53" s="6" t="inlineStr">
        <is>
          <t>Écrire un texte pour transmettre une idée, une émotion ou un point de vue.</t>
        </is>
      </c>
      <c r="L53" s="4" t="inlineStr">
        <is>
          <t>Cela ne m’attire pas du tout</t>
        </is>
      </c>
      <c r="M53" s="4" t="inlineStr">
        <is>
          <t>Cela m’attire peu</t>
        </is>
      </c>
      <c r="N53" s="4" t="inlineStr">
        <is>
          <t>Je suis partagé(e) / sans préférence marquée</t>
        </is>
      </c>
      <c r="O53" s="4" t="inlineStr">
        <is>
          <t>Cela m’attire</t>
        </is>
      </c>
      <c r="P53" s="4" t="inlineStr">
        <is>
          <t>Cela m’attire beaucoup</t>
        </is>
      </c>
      <c r="Q53" s="4" t="n">
        <v>1</v>
      </c>
      <c r="R53" s="4" t="n">
        <v>2</v>
      </c>
      <c r="S53" s="4" t="n">
        <v>3</v>
      </c>
      <c r="T53" s="4" t="n">
        <v>4</v>
      </c>
      <c r="U53" s="4" t="n">
        <v>5</v>
      </c>
      <c r="V53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3" s="6" t="inlineStr">
        <is>
          <t>L’item relève de A3 — Exprimer / raconter : Transmission d’une idée, émotion, point de vue ou histoire par une forme expressive.</t>
        </is>
      </c>
      <c r="X53" s="6" t="inlineStr">
        <is>
          <t>Revue méthodologique V0.3 : surveiller compréhension du vocabulaire au pilote.</t>
        </is>
      </c>
      <c r="Y53" s="6" t="inlineStr">
        <is>
          <t>FAIBLE</t>
        </is>
      </c>
      <c r="Z53" s="6" t="inlineStr">
        <is>
          <t>FAIBLE</t>
        </is>
      </c>
      <c r="AA53" s="6" t="inlineStr">
        <is>
          <t>FAIBLE</t>
        </is>
      </c>
      <c r="AB53" s="6" t="inlineStr">
        <is>
          <t>FAIBLE</t>
        </is>
      </c>
      <c r="AC53" s="6" t="inlineStr">
        <is>
          <t>MOYEN</t>
        </is>
      </c>
      <c r="AD53" s="6" t="inlineStr">
        <is>
          <t>FAIBLE</t>
        </is>
      </c>
      <c r="AE53" s="6" t="inlineStr">
        <is>
          <t>FAIBLE</t>
        </is>
      </c>
      <c r="AF53" s="6" t="inlineStr">
        <is>
          <t>FAIBLE</t>
        </is>
      </c>
      <c r="AG53" s="6" t="inlineStr">
        <is>
          <t>FAIBLE</t>
        </is>
      </c>
      <c r="AH53" s="6" t="inlineStr">
        <is>
          <t>FAIBLE</t>
        </is>
      </c>
      <c r="AI53" s="6" t="inlineStr">
        <is>
          <t>FAIBLE</t>
        </is>
      </c>
      <c r="AJ53" s="4" t="n">
        <v>0</v>
      </c>
      <c r="AK53" s="4" t="n"/>
      <c r="AL53" s="6" t="inlineStr">
        <is>
          <t>RETENU_V0.5_REECRIT_CONCRET</t>
        </is>
      </c>
      <c r="AM53" s="6" t="n"/>
      <c r="AN53" s="4" t="inlineStr">
        <is>
          <t>PIP-BANK-0.3</t>
        </is>
      </c>
      <c r="AO53" s="6" t="inlineStr">
        <is>
          <t>PIP-BANK-0.4</t>
        </is>
      </c>
      <c r="AP53" s="8">
        <f>IF(OR(C53="PILOTE",C53="ACTIF"),IF(AND(A53&lt;&gt;"",H53&lt;&gt;"",I53&lt;&gt;"",K53&lt;&gt;"",V53&lt;&gt;"",W53&lt;&gt;""),"OK","A_COMPLETER"),"OK_STRUCTURE")</f>
        <v/>
      </c>
    </row>
    <row r="54" ht="72" customHeight="1" s="34">
      <c r="A54" s="4" t="inlineStr">
        <is>
          <t>PIP-ACT-A-A3-010</t>
        </is>
      </c>
      <c r="B54" s="4" t="inlineStr">
        <is>
          <t>0.2</t>
        </is>
      </c>
      <c r="C54" s="4" t="inlineStr">
        <is>
          <t>PILOTE</t>
        </is>
      </c>
      <c r="D54" s="4" t="inlineStr">
        <is>
          <t>08/09/2026</t>
        </is>
      </c>
      <c r="E54" s="4" t="inlineStr">
        <is>
          <t>08/09/2026</t>
        </is>
      </c>
      <c r="F54" s="4" t="inlineStr">
        <is>
          <t>ACT</t>
        </is>
      </c>
      <c r="G54" s="4" t="inlineStr">
        <is>
          <t>Verbe d’action + objet/contexte</t>
        </is>
      </c>
      <c r="H54" s="4" t="inlineStr">
        <is>
          <t>A</t>
        </is>
      </c>
      <c r="I54" s="4" t="inlineStr">
        <is>
          <t>A3</t>
        </is>
      </c>
      <c r="J54" s="6" t="inlineStr">
        <is>
          <t>S,E</t>
        </is>
      </c>
      <c r="K54" s="6" t="inlineStr">
        <is>
          <t>Mettre en récit un sujet pour le rendre vivant et expressif.</t>
        </is>
      </c>
      <c r="L54" s="4" t="inlineStr">
        <is>
          <t>Cela ne m’attire pas du tout</t>
        </is>
      </c>
      <c r="M54" s="4" t="inlineStr">
        <is>
          <t>Cela m’attire peu</t>
        </is>
      </c>
      <c r="N54" s="4" t="inlineStr">
        <is>
          <t>Je suis partagé(e) / sans préférence marquée</t>
        </is>
      </c>
      <c r="O54" s="4" t="inlineStr">
        <is>
          <t>Cela m’attire</t>
        </is>
      </c>
      <c r="P54" s="4" t="inlineStr">
        <is>
          <t>Cela m’attire beaucoup</t>
        </is>
      </c>
      <c r="Q54" s="4" t="n">
        <v>1</v>
      </c>
      <c r="R54" s="4" t="n">
        <v>2</v>
      </c>
      <c r="S54" s="4" t="n">
        <v>3</v>
      </c>
      <c r="T54" s="4" t="n">
        <v>4</v>
      </c>
      <c r="U54" s="4" t="n">
        <v>5</v>
      </c>
      <c r="V54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4" s="6" t="inlineStr">
        <is>
          <t>L’item relève de A3 — Exprimer / raconter : Transmission d’une idée, émotion, point de vue ou histoire par une forme expressive.</t>
        </is>
      </c>
      <c r="X54" s="6" t="inlineStr">
        <is>
          <t>Revue méthodologique V0.3 : surveiller compréhension du vocabulaire au pilote.</t>
        </is>
      </c>
      <c r="Y54" s="6" t="inlineStr">
        <is>
          <t>FAIBLE</t>
        </is>
      </c>
      <c r="Z54" s="6" t="inlineStr">
        <is>
          <t>FAIBLE</t>
        </is>
      </c>
      <c r="AA54" s="6" t="inlineStr">
        <is>
          <t>FAIBLE</t>
        </is>
      </c>
      <c r="AB54" s="6" t="inlineStr">
        <is>
          <t>FAIBLE</t>
        </is>
      </c>
      <c r="AC54" s="6" t="inlineStr">
        <is>
          <t>MOYEN</t>
        </is>
      </c>
      <c r="AD54" s="6" t="inlineStr">
        <is>
          <t>FAIBLE</t>
        </is>
      </c>
      <c r="AE54" s="6" t="inlineStr">
        <is>
          <t>FAIBLE</t>
        </is>
      </c>
      <c r="AF54" s="6" t="inlineStr">
        <is>
          <t>FAIBLE</t>
        </is>
      </c>
      <c r="AG54" s="6" t="inlineStr">
        <is>
          <t>FAIBLE</t>
        </is>
      </c>
      <c r="AH54" s="6" t="inlineStr">
        <is>
          <t>FAIBLE</t>
        </is>
      </c>
      <c r="AI54" s="6" t="inlineStr">
        <is>
          <t>FAIBLE</t>
        </is>
      </c>
      <c r="AJ54" s="4" t="n">
        <v>0</v>
      </c>
      <c r="AK54" s="4" t="n"/>
      <c r="AL54" s="6" t="inlineStr">
        <is>
          <t>RETENU_V0.5_REECRIT_CONCRET</t>
        </is>
      </c>
      <c r="AM54" s="6" t="n"/>
      <c r="AN54" s="4" t="inlineStr">
        <is>
          <t>PIP-BANK-0.3</t>
        </is>
      </c>
      <c r="AO54" s="6" t="inlineStr">
        <is>
          <t>PIP-BANK-0.4</t>
        </is>
      </c>
      <c r="AP54" s="8">
        <f>IF(OR(C54="PILOTE",C54="ACTIF"),IF(AND(A54&lt;&gt;"",H54&lt;&gt;"",I54&lt;&gt;"",K54&lt;&gt;"",V54&lt;&gt;"",W54&lt;&gt;""),"OK","A_COMPLETER"),"OK_STRUCTURE")</f>
        <v/>
      </c>
    </row>
    <row r="55" ht="72" customHeight="1" s="34">
      <c r="A55" s="4" t="inlineStr">
        <is>
          <t>PIP-SIT-A-A3-011</t>
        </is>
      </c>
      <c r="B55" s="4" t="inlineStr">
        <is>
          <t>0.2</t>
        </is>
      </c>
      <c r="C55" s="4" t="inlineStr">
        <is>
          <t>PILOTE</t>
        </is>
      </c>
      <c r="D55" s="4" t="inlineStr">
        <is>
          <t>08/09/2026</t>
        </is>
      </c>
      <c r="E55" s="4" t="inlineStr">
        <is>
          <t>08/09/2026</t>
        </is>
      </c>
      <c r="F55" s="4" t="inlineStr">
        <is>
          <t>SIT</t>
        </is>
      </c>
      <c r="G55" s="4" t="inlineStr">
        <is>
          <t>Situation courte avec enjeu central</t>
        </is>
      </c>
      <c r="H55" s="4" t="inlineStr">
        <is>
          <t>A</t>
        </is>
      </c>
      <c r="I55" s="4" t="inlineStr">
        <is>
          <t>A3</t>
        </is>
      </c>
      <c r="J55" s="6" t="inlineStr">
        <is>
          <t>S,E</t>
        </is>
      </c>
      <c r="K55" s="6" t="inlineStr">
        <is>
          <t>Trouver une manière personnelle de raconter ou de représenter une histoire, une idée ou une expérience.</t>
        </is>
      </c>
      <c r="L55" s="4" t="inlineStr">
        <is>
          <t>Cela ne m’attire pas du tout</t>
        </is>
      </c>
      <c r="M55" s="4" t="inlineStr">
        <is>
          <t>Cela m’attire peu</t>
        </is>
      </c>
      <c r="N55" s="4" t="inlineStr">
        <is>
          <t>Je suis partagé(e) / sans préférence marquée</t>
        </is>
      </c>
      <c r="O55" s="4" t="inlineStr">
        <is>
          <t>Cela m’attire</t>
        </is>
      </c>
      <c r="P55" s="4" t="inlineStr">
        <is>
          <t>Cela m’attire beaucoup</t>
        </is>
      </c>
      <c r="Q55" s="4" t="n">
        <v>1</v>
      </c>
      <c r="R55" s="4" t="n">
        <v>2</v>
      </c>
      <c r="S55" s="4" t="n">
        <v>3</v>
      </c>
      <c r="T55" s="4" t="n">
        <v>4</v>
      </c>
      <c r="U55" s="4" t="n">
        <v>5</v>
      </c>
      <c r="V55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5" s="6" t="inlineStr">
        <is>
          <t>L’item relève de A3 — Exprimer / raconter : Transmission d’une idée, émotion, point de vue ou histoire par une forme expressive.</t>
        </is>
      </c>
      <c r="X55" s="6" t="inlineStr">
        <is>
          <t>Revue méthodologique V0.3 : surveiller compréhension du vocabulaire au pilote.</t>
        </is>
      </c>
      <c r="Y55" s="6" t="inlineStr">
        <is>
          <t>FAIBLE</t>
        </is>
      </c>
      <c r="Z55" s="6" t="inlineStr">
        <is>
          <t>FAIBLE</t>
        </is>
      </c>
      <c r="AA55" s="6" t="inlineStr">
        <is>
          <t>FAIBLE</t>
        </is>
      </c>
      <c r="AB55" s="6" t="inlineStr">
        <is>
          <t>FAIBLE</t>
        </is>
      </c>
      <c r="AC55" s="6" t="inlineStr">
        <is>
          <t>MOYEN</t>
        </is>
      </c>
      <c r="AD55" s="6" t="inlineStr">
        <is>
          <t>FAIBLE</t>
        </is>
      </c>
      <c r="AE55" s="6" t="inlineStr">
        <is>
          <t>FAIBLE</t>
        </is>
      </c>
      <c r="AF55" s="6" t="inlineStr">
        <is>
          <t>FAIBLE</t>
        </is>
      </c>
      <c r="AG55" s="6" t="inlineStr">
        <is>
          <t>FAIBLE</t>
        </is>
      </c>
      <c r="AH55" s="6" t="inlineStr">
        <is>
          <t>FAIBLE</t>
        </is>
      </c>
      <c r="AI55" s="6" t="inlineStr">
        <is>
          <t>FAIBLE</t>
        </is>
      </c>
      <c r="AJ55" s="4" t="n">
        <v>0</v>
      </c>
      <c r="AK55" s="4" t="n"/>
      <c r="AL55" s="6" t="inlineStr">
        <is>
          <t>RETIRE_BANQUE72_HISTORIQUE_CONSERVE</t>
        </is>
      </c>
      <c r="AM55" s="6" t="inlineStr">
        <is>
          <t>Réduction méthodologique 120→72 : doublon de facette / priorité aux activités professionnelles observables et aux items à plus faible risque.</t>
        </is>
      </c>
      <c r="AN55" s="4" t="inlineStr">
        <is>
          <t>PIP-BANK-0.3</t>
        </is>
      </c>
      <c r="AO55" s="6" t="inlineStr">
        <is>
          <t>PIP-BANK-0.3</t>
        </is>
      </c>
      <c r="AP55" s="8">
        <f>IF(OR(C55="PILOTE",C55="ACTIF"),IF(AND(A55&lt;&gt;"",H55&lt;&gt;"",I55&lt;&gt;"",K55&lt;&gt;"",V55&lt;&gt;"",W55&lt;&gt;""),"OK","A_COMPLETER"),"OK_STRUCTURE")</f>
        <v/>
      </c>
    </row>
    <row r="56" ht="72" customHeight="1" s="34">
      <c r="A56" s="4" t="inlineStr">
        <is>
          <t>PIP-ENV-A-A3-012</t>
        </is>
      </c>
      <c r="B56" s="4" t="inlineStr">
        <is>
          <t>0.2</t>
        </is>
      </c>
      <c r="C56" s="4" t="inlineStr">
        <is>
          <t>PILOTE</t>
        </is>
      </c>
      <c r="D56" s="4" t="inlineStr">
        <is>
          <t>08/09/2026</t>
        </is>
      </c>
      <c r="E56" s="4" t="inlineStr">
        <is>
          <t>08/09/2026</t>
        </is>
      </c>
      <c r="F56" s="4" t="inlineStr">
        <is>
          <t>ENV</t>
        </is>
      </c>
      <c r="G56" s="4" t="inlineStr">
        <is>
          <t>Contexte décrit par ce qu’il permet de faire</t>
        </is>
      </c>
      <c r="H56" s="4" t="inlineStr">
        <is>
          <t>A</t>
        </is>
      </c>
      <c r="I56" s="4" t="inlineStr">
        <is>
          <t>A3</t>
        </is>
      </c>
      <c r="J56" s="6" t="inlineStr">
        <is>
          <t>S,E</t>
        </is>
      </c>
      <c r="K56" s="6" t="inlineStr">
        <is>
          <t>Travailler dans un contexte où l’expression par les mots, les images, le son ou la mise en scène occupe une place importante.</t>
        </is>
      </c>
      <c r="L56" s="4" t="inlineStr">
        <is>
          <t>Cela ne m’attire pas du tout</t>
        </is>
      </c>
      <c r="M56" s="4" t="inlineStr">
        <is>
          <t>Cela m’attire peu</t>
        </is>
      </c>
      <c r="N56" s="4" t="inlineStr">
        <is>
          <t>Je suis partagé(e) / sans préférence marquée</t>
        </is>
      </c>
      <c r="O56" s="4" t="inlineStr">
        <is>
          <t>Cela m’attire</t>
        </is>
      </c>
      <c r="P56" s="4" t="inlineStr">
        <is>
          <t>Cela m’attire beaucoup</t>
        </is>
      </c>
      <c r="Q56" s="4" t="n">
        <v>1</v>
      </c>
      <c r="R56" s="4" t="n">
        <v>2</v>
      </c>
      <c r="S56" s="4" t="n">
        <v>3</v>
      </c>
      <c r="T56" s="4" t="n">
        <v>4</v>
      </c>
      <c r="U56" s="4" t="n">
        <v>5</v>
      </c>
      <c r="V56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6" s="6" t="inlineStr">
        <is>
          <t>L’item relève de A3 — Exprimer / raconter : Transmission d’une idée, émotion, point de vue ou histoire par une forme expressive.</t>
        </is>
      </c>
      <c r="X56" s="6" t="inlineStr">
        <is>
          <t>Revue méthodologique V0.3 : surveiller compréhension du vocabulaire au pilote.</t>
        </is>
      </c>
      <c r="Y56" s="6" t="inlineStr">
        <is>
          <t>FAIBLE</t>
        </is>
      </c>
      <c r="Z56" s="6" t="inlineStr">
        <is>
          <t>FAIBLE</t>
        </is>
      </c>
      <c r="AA56" s="6" t="inlineStr">
        <is>
          <t>FAIBLE</t>
        </is>
      </c>
      <c r="AB56" s="6" t="inlineStr">
        <is>
          <t>FAIBLE</t>
        </is>
      </c>
      <c r="AC56" s="6" t="inlineStr">
        <is>
          <t>MOYEN</t>
        </is>
      </c>
      <c r="AD56" s="6" t="inlineStr">
        <is>
          <t>FAIBLE</t>
        </is>
      </c>
      <c r="AE56" s="6" t="inlineStr">
        <is>
          <t>FAIBLE</t>
        </is>
      </c>
      <c r="AF56" s="6" t="inlineStr">
        <is>
          <t>FAIBLE</t>
        </is>
      </c>
      <c r="AG56" s="6" t="inlineStr">
        <is>
          <t>FAIBLE</t>
        </is>
      </c>
      <c r="AH56" s="6" t="inlineStr">
        <is>
          <t>FAIBLE</t>
        </is>
      </c>
      <c r="AI56" s="6" t="inlineStr">
        <is>
          <t>FAIBLE</t>
        </is>
      </c>
      <c r="AJ56" s="4" t="n">
        <v>0</v>
      </c>
      <c r="AK56" s="4" t="n"/>
      <c r="AL56" s="6" t="inlineStr">
        <is>
          <t>RETIRE_BANQUE72_HISTORIQUE_CONSERVE</t>
        </is>
      </c>
      <c r="AM56" s="6" t="inlineStr">
        <is>
          <t>Réduction méthodologique 120→72 : doublon de facette / priorité aux activités professionnelles observables et aux items à plus faible risque.</t>
        </is>
      </c>
      <c r="AN56" s="4" t="inlineStr">
        <is>
          <t>PIP-BANK-0.3</t>
        </is>
      </c>
      <c r="AO56" s="6" t="inlineStr">
        <is>
          <t>PIP-BANK-0.3</t>
        </is>
      </c>
      <c r="AP56" s="8">
        <f>IF(OR(C56="PILOTE",C56="ACTIF"),IF(AND(A56&lt;&gt;"",H56&lt;&gt;"",I56&lt;&gt;"",K56&lt;&gt;"",V56&lt;&gt;"",W56&lt;&gt;""),"OK","A_COMPLETER"),"OK_STRUCTURE")</f>
        <v/>
      </c>
    </row>
    <row r="57" ht="72" customHeight="1" s="34">
      <c r="A57" s="4" t="inlineStr">
        <is>
          <t>PIP-ACT-A-A4-013</t>
        </is>
      </c>
      <c r="B57" s="4" t="inlineStr">
        <is>
          <t>0.2</t>
        </is>
      </c>
      <c r="C57" s="4" t="inlineStr">
        <is>
          <t>PILOTE</t>
        </is>
      </c>
      <c r="D57" s="4" t="inlineStr">
        <is>
          <t>08/09/2026</t>
        </is>
      </c>
      <c r="E57" s="4" t="inlineStr">
        <is>
          <t>08/09/2026</t>
        </is>
      </c>
      <c r="F57" s="4" t="inlineStr">
        <is>
          <t>ACT</t>
        </is>
      </c>
      <c r="G57" s="4" t="inlineStr">
        <is>
          <t>Verbe d’action + objet/contexte</t>
        </is>
      </c>
      <c r="H57" s="4" t="inlineStr">
        <is>
          <t>A</t>
        </is>
      </c>
      <c r="I57" s="4" t="inlineStr">
        <is>
          <t>A4</t>
        </is>
      </c>
      <c r="J57" s="6" t="inlineStr">
        <is>
          <t>R</t>
        </is>
      </c>
      <c r="K57" s="6" t="inlineStr">
        <is>
          <t>Créer une composition visuelle en jouant sur les formes, les images ou les couleurs.</t>
        </is>
      </c>
      <c r="L57" s="4" t="inlineStr">
        <is>
          <t>Cela ne m’attire pas du tout</t>
        </is>
      </c>
      <c r="M57" s="4" t="inlineStr">
        <is>
          <t>Cela m’attire peu</t>
        </is>
      </c>
      <c r="N57" s="4" t="inlineStr">
        <is>
          <t>Je suis partagé(e) / sans préférence marquée</t>
        </is>
      </c>
      <c r="O57" s="4" t="inlineStr">
        <is>
          <t>Cela m’attire</t>
        </is>
      </c>
      <c r="P57" s="4" t="inlineStr">
        <is>
          <t>Cela m’attire beaucoup</t>
        </is>
      </c>
      <c r="Q57" s="4" t="n">
        <v>1</v>
      </c>
      <c r="R57" s="4" t="n">
        <v>2</v>
      </c>
      <c r="S57" s="4" t="n">
        <v>3</v>
      </c>
      <c r="T57" s="4" t="n">
        <v>4</v>
      </c>
      <c r="U57" s="4" t="n">
        <v>5</v>
      </c>
      <c r="V57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7" s="6" t="inlineStr">
        <is>
          <t>L’item relève de A4 — Créer visuellement / sensoriellement : Création mobilisant formes, images, sons, mouvements, matières, espaces ou expériences sensibles.</t>
        </is>
      </c>
      <c r="X57" s="6" t="inlineStr">
        <is>
          <t>Revue méthodologique V0.3 : surveiller compréhension du vocabulaire au pilote.</t>
        </is>
      </c>
      <c r="Y57" s="6" t="inlineStr">
        <is>
          <t>FAIBLE</t>
        </is>
      </c>
      <c r="Z57" s="6" t="inlineStr">
        <is>
          <t>FAIBLE</t>
        </is>
      </c>
      <c r="AA57" s="6" t="inlineStr">
        <is>
          <t>FAIBLE</t>
        </is>
      </c>
      <c r="AB57" s="6" t="inlineStr">
        <is>
          <t>FAIBLE</t>
        </is>
      </c>
      <c r="AC57" s="6" t="inlineStr">
        <is>
          <t>MOYEN</t>
        </is>
      </c>
      <c r="AD57" s="6" t="inlineStr">
        <is>
          <t>FAIBLE</t>
        </is>
      </c>
      <c r="AE57" s="6" t="inlineStr">
        <is>
          <t>FAIBLE</t>
        </is>
      </c>
      <c r="AF57" s="6" t="inlineStr">
        <is>
          <t>FAIBLE</t>
        </is>
      </c>
      <c r="AG57" s="6" t="inlineStr">
        <is>
          <t>FAIBLE</t>
        </is>
      </c>
      <c r="AH57" s="6" t="inlineStr">
        <is>
          <t>FAIBLE</t>
        </is>
      </c>
      <c r="AI57" s="6" t="inlineStr">
        <is>
          <t>FAIBLE</t>
        </is>
      </c>
      <c r="AJ57" s="4" t="n">
        <v>0</v>
      </c>
      <c r="AK57" s="4" t="n"/>
      <c r="AL57" s="6" t="inlineStr">
        <is>
          <t>RETENU_V0.5_REECRIT_CONCRET</t>
        </is>
      </c>
      <c r="AM57" s="6" t="n"/>
      <c r="AN57" s="4" t="inlineStr">
        <is>
          <t>PIP-BANK-0.3</t>
        </is>
      </c>
      <c r="AO57" s="6" t="inlineStr">
        <is>
          <t>PIP-BANK-0.4</t>
        </is>
      </c>
      <c r="AP57" s="8">
        <f>IF(OR(C57="PILOTE",C57="ACTIF"),IF(AND(A57&lt;&gt;"",H57&lt;&gt;"",I57&lt;&gt;"",K57&lt;&gt;"",V57&lt;&gt;"",W57&lt;&gt;""),"OK","A_COMPLETER"),"OK_STRUCTURE")</f>
        <v/>
      </c>
    </row>
    <row r="58" ht="72" customHeight="1" s="34">
      <c r="A58" s="4" t="inlineStr">
        <is>
          <t>PIP-ACT-A-A4-014</t>
        </is>
      </c>
      <c r="B58" s="4" t="inlineStr">
        <is>
          <t>0.2</t>
        </is>
      </c>
      <c r="C58" s="4" t="inlineStr">
        <is>
          <t>PILOTE</t>
        </is>
      </c>
      <c r="D58" s="4" t="inlineStr">
        <is>
          <t>08/09/2026</t>
        </is>
      </c>
      <c r="E58" s="4" t="inlineStr">
        <is>
          <t>08/09/2026</t>
        </is>
      </c>
      <c r="F58" s="4" t="inlineStr">
        <is>
          <t>ACT</t>
        </is>
      </c>
      <c r="G58" s="4" t="inlineStr">
        <is>
          <t>Verbe d’action + objet/contexte</t>
        </is>
      </c>
      <c r="H58" s="4" t="inlineStr">
        <is>
          <t>A</t>
        </is>
      </c>
      <c r="I58" s="4" t="inlineStr">
        <is>
          <t>A4</t>
        </is>
      </c>
      <c r="J58" s="6" t="inlineStr">
        <is>
          <t>R</t>
        </is>
      </c>
      <c r="K58" s="6" t="inlineStr">
        <is>
          <t>Imaginer une ambiance à partir de sons, d’images, de matières ou d’un espace.</t>
        </is>
      </c>
      <c r="L58" s="4" t="inlineStr">
        <is>
          <t>Cela ne m’attire pas du tout</t>
        </is>
      </c>
      <c r="M58" s="4" t="inlineStr">
        <is>
          <t>Cela m’attire peu</t>
        </is>
      </c>
      <c r="N58" s="4" t="inlineStr">
        <is>
          <t>Je suis partagé(e) / sans préférence marquée</t>
        </is>
      </c>
      <c r="O58" s="4" t="inlineStr">
        <is>
          <t>Cela m’attire</t>
        </is>
      </c>
      <c r="P58" s="4" t="inlineStr">
        <is>
          <t>Cela m’attire beaucoup</t>
        </is>
      </c>
      <c r="Q58" s="4" t="n">
        <v>1</v>
      </c>
      <c r="R58" s="4" t="n">
        <v>2</v>
      </c>
      <c r="S58" s="4" t="n">
        <v>3</v>
      </c>
      <c r="T58" s="4" t="n">
        <v>4</v>
      </c>
      <c r="U58" s="4" t="n">
        <v>5</v>
      </c>
      <c r="V58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8" s="6" t="inlineStr">
        <is>
          <t>L’item relève de A4 — Créer visuellement / sensoriellement : Création mobilisant formes, images, sons, mouvements, matières, espaces ou expériences sensibles.</t>
        </is>
      </c>
      <c r="X58" s="6" t="inlineStr">
        <is>
          <t>Revue méthodologique V0.3 : surveiller compréhension du vocabulaire au pilote.</t>
        </is>
      </c>
      <c r="Y58" s="6" t="inlineStr">
        <is>
          <t>FAIBLE</t>
        </is>
      </c>
      <c r="Z58" s="6" t="inlineStr">
        <is>
          <t>FAIBLE</t>
        </is>
      </c>
      <c r="AA58" s="6" t="inlineStr">
        <is>
          <t>FAIBLE</t>
        </is>
      </c>
      <c r="AB58" s="6" t="inlineStr">
        <is>
          <t>FAIBLE</t>
        </is>
      </c>
      <c r="AC58" s="6" t="inlineStr">
        <is>
          <t>MOYEN</t>
        </is>
      </c>
      <c r="AD58" s="6" t="inlineStr">
        <is>
          <t>FAIBLE</t>
        </is>
      </c>
      <c r="AE58" s="6" t="inlineStr">
        <is>
          <t>FAIBLE</t>
        </is>
      </c>
      <c r="AF58" s="6" t="inlineStr">
        <is>
          <t>FAIBLE</t>
        </is>
      </c>
      <c r="AG58" s="6" t="inlineStr">
        <is>
          <t>FAIBLE</t>
        </is>
      </c>
      <c r="AH58" s="6" t="inlineStr">
        <is>
          <t>FAIBLE</t>
        </is>
      </c>
      <c r="AI58" s="6" t="inlineStr">
        <is>
          <t>FAIBLE</t>
        </is>
      </c>
      <c r="AJ58" s="4" t="n">
        <v>0</v>
      </c>
      <c r="AK58" s="4" t="n"/>
      <c r="AL58" s="6" t="inlineStr">
        <is>
          <t>RETENU_V0.5_REECRIT_CONCRET</t>
        </is>
      </c>
      <c r="AM58" s="6" t="n"/>
      <c r="AN58" s="4" t="inlineStr">
        <is>
          <t>PIP-BANK-0.3</t>
        </is>
      </c>
      <c r="AO58" s="6" t="inlineStr">
        <is>
          <t>PIP-BANK-0.4</t>
        </is>
      </c>
      <c r="AP58" s="8">
        <f>IF(OR(C58="PILOTE",C58="ACTIF"),IF(AND(A58&lt;&gt;"",H58&lt;&gt;"",I58&lt;&gt;"",K58&lt;&gt;"",V58&lt;&gt;"",W58&lt;&gt;""),"OK","A_COMPLETER"),"OK_STRUCTURE")</f>
        <v/>
      </c>
    </row>
    <row r="59" ht="72" customHeight="1" s="34">
      <c r="A59" s="4" t="inlineStr">
        <is>
          <t>PIP-SIT-A-A4-015</t>
        </is>
      </c>
      <c r="B59" s="4" t="inlineStr">
        <is>
          <t>0.2</t>
        </is>
      </c>
      <c r="C59" s="4" t="inlineStr">
        <is>
          <t>PILOTE</t>
        </is>
      </c>
      <c r="D59" s="4" t="inlineStr">
        <is>
          <t>08/09/2026</t>
        </is>
      </c>
      <c r="E59" s="4" t="inlineStr">
        <is>
          <t>08/09/2026</t>
        </is>
      </c>
      <c r="F59" s="4" t="inlineStr">
        <is>
          <t>SIT</t>
        </is>
      </c>
      <c r="G59" s="4" t="inlineStr">
        <is>
          <t>Situation courte avec enjeu central</t>
        </is>
      </c>
      <c r="H59" s="4" t="inlineStr">
        <is>
          <t>A</t>
        </is>
      </c>
      <c r="I59" s="4" t="inlineStr">
        <is>
          <t>A4</t>
        </is>
      </c>
      <c r="J59" s="6" t="inlineStr">
        <is>
          <t>R</t>
        </is>
      </c>
      <c r="K59" s="6" t="inlineStr">
        <is>
          <t>Concevoir une expérience où l’effet visuel, sonore ou sensoriel compte autant que la fonction.</t>
        </is>
      </c>
      <c r="L59" s="4" t="inlineStr">
        <is>
          <t>Cela ne m’attire pas du tout</t>
        </is>
      </c>
      <c r="M59" s="4" t="inlineStr">
        <is>
          <t>Cela m’attire peu</t>
        </is>
      </c>
      <c r="N59" s="4" t="inlineStr">
        <is>
          <t>Je suis partagé(e) / sans préférence marquée</t>
        </is>
      </c>
      <c r="O59" s="4" t="inlineStr">
        <is>
          <t>Cela m’attire</t>
        </is>
      </c>
      <c r="P59" s="4" t="inlineStr">
        <is>
          <t>Cela m’attire beaucoup</t>
        </is>
      </c>
      <c r="Q59" s="4" t="n">
        <v>1</v>
      </c>
      <c r="R59" s="4" t="n">
        <v>2</v>
      </c>
      <c r="S59" s="4" t="n">
        <v>3</v>
      </c>
      <c r="T59" s="4" t="n">
        <v>4</v>
      </c>
      <c r="U59" s="4" t="n">
        <v>5</v>
      </c>
      <c r="V59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9" s="6" t="inlineStr">
        <is>
          <t>L’item relève de A4 — Créer visuellement / sensoriellement : Création mobilisant formes, images, sons, mouvements, matières, espaces ou expériences sensibles.</t>
        </is>
      </c>
      <c r="X59" s="6" t="inlineStr">
        <is>
          <t>Revue méthodologique V0.3 : surveiller compréhension du vocabulaire au pilote.</t>
        </is>
      </c>
      <c r="Y59" s="6" t="inlineStr">
        <is>
          <t>FAIBLE</t>
        </is>
      </c>
      <c r="Z59" s="6" t="inlineStr">
        <is>
          <t>FAIBLE</t>
        </is>
      </c>
      <c r="AA59" s="6" t="inlineStr">
        <is>
          <t>FAIBLE</t>
        </is>
      </c>
      <c r="AB59" s="6" t="inlineStr">
        <is>
          <t>FAIBLE</t>
        </is>
      </c>
      <c r="AC59" s="6" t="inlineStr">
        <is>
          <t>MOYEN</t>
        </is>
      </c>
      <c r="AD59" s="6" t="inlineStr">
        <is>
          <t>FAIBLE</t>
        </is>
      </c>
      <c r="AE59" s="6" t="inlineStr">
        <is>
          <t>FAIBLE</t>
        </is>
      </c>
      <c r="AF59" s="6" t="inlineStr">
        <is>
          <t>FAIBLE</t>
        </is>
      </c>
      <c r="AG59" s="6" t="inlineStr">
        <is>
          <t>FAIBLE</t>
        </is>
      </c>
      <c r="AH59" s="6" t="inlineStr">
        <is>
          <t>FAIBLE</t>
        </is>
      </c>
      <c r="AI59" s="6" t="inlineStr">
        <is>
          <t>FAIBLE</t>
        </is>
      </c>
      <c r="AJ59" s="4" t="n">
        <v>0</v>
      </c>
      <c r="AK59" s="4" t="n"/>
      <c r="AL59" s="6" t="inlineStr">
        <is>
          <t>RETIRE_BANQUE72_HISTORIQUE_CONSERVE</t>
        </is>
      </c>
      <c r="AM59" s="6" t="inlineStr">
        <is>
          <t>Réduction méthodologique 120→72 : doublon de facette / priorité aux activités professionnelles observables et aux items à plus faible risque.</t>
        </is>
      </c>
      <c r="AN59" s="4" t="inlineStr">
        <is>
          <t>PIP-BANK-0.3</t>
        </is>
      </c>
      <c r="AO59" s="6" t="inlineStr">
        <is>
          <t>PIP-BANK-0.3</t>
        </is>
      </c>
      <c r="AP59" s="8">
        <f>IF(OR(C59="PILOTE",C59="ACTIF"),IF(AND(A59&lt;&gt;"",H59&lt;&gt;"",I59&lt;&gt;"",K59&lt;&gt;"",V59&lt;&gt;"",W59&lt;&gt;""),"OK","A_COMPLETER"),"OK_STRUCTURE")</f>
        <v/>
      </c>
    </row>
    <row r="60" ht="72" customHeight="1" s="34">
      <c r="A60" s="4" t="inlineStr">
        <is>
          <t>PIP-ENV-A-A4-016</t>
        </is>
      </c>
      <c r="B60" s="4" t="inlineStr">
        <is>
          <t>0.2</t>
        </is>
      </c>
      <c r="C60" s="4" t="inlineStr">
        <is>
          <t>PILOTE</t>
        </is>
      </c>
      <c r="D60" s="4" t="inlineStr">
        <is>
          <t>08/09/2026</t>
        </is>
      </c>
      <c r="E60" s="4" t="inlineStr">
        <is>
          <t>08/09/2026</t>
        </is>
      </c>
      <c r="F60" s="4" t="inlineStr">
        <is>
          <t>ENV</t>
        </is>
      </c>
      <c r="G60" s="4" t="inlineStr">
        <is>
          <t>Contexte décrit par ce qu’il permet de faire</t>
        </is>
      </c>
      <c r="H60" s="4" t="inlineStr">
        <is>
          <t>A</t>
        </is>
      </c>
      <c r="I60" s="4" t="inlineStr">
        <is>
          <t>A4</t>
        </is>
      </c>
      <c r="J60" s="6" t="inlineStr">
        <is>
          <t>R</t>
        </is>
      </c>
      <c r="K60" s="6" t="inlineStr">
        <is>
          <t>Évoluer dans un contexte où l’on crée régulièrement des contenus, des espaces ou des objets destinés à produire une impression visuelle ou sensorielle.</t>
        </is>
      </c>
      <c r="L60" s="4" t="inlineStr">
        <is>
          <t>Cela ne m’attire pas du tout</t>
        </is>
      </c>
      <c r="M60" s="4" t="inlineStr">
        <is>
          <t>Cela m’attire peu</t>
        </is>
      </c>
      <c r="N60" s="4" t="inlineStr">
        <is>
          <t>Je suis partagé(e) / sans préférence marquée</t>
        </is>
      </c>
      <c r="O60" s="4" t="inlineStr">
        <is>
          <t>Cela m’attire</t>
        </is>
      </c>
      <c r="P60" s="4" t="inlineStr">
        <is>
          <t>Cela m’attire beaucoup</t>
        </is>
      </c>
      <c r="Q60" s="4" t="n">
        <v>1</v>
      </c>
      <c r="R60" s="4" t="n">
        <v>2</v>
      </c>
      <c r="S60" s="4" t="n">
        <v>3</v>
      </c>
      <c r="T60" s="4" t="n">
        <v>4</v>
      </c>
      <c r="U60" s="4" t="n">
        <v>5</v>
      </c>
      <c r="V60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60" s="6" t="inlineStr">
        <is>
          <t>L’item relève de A4 — Créer visuellement / sensoriellement : Création mobilisant formes, images, sons, mouvements, matières, espaces ou expériences sensibles.</t>
        </is>
      </c>
      <c r="X60" s="6" t="inlineStr">
        <is>
          <t>Revue méthodologique V0.3 : surveiller compréhension du vocabulaire au pilote.</t>
        </is>
      </c>
      <c r="Y60" s="6" t="inlineStr">
        <is>
          <t>FAIBLE</t>
        </is>
      </c>
      <c r="Z60" s="6" t="inlineStr">
        <is>
          <t>FAIBLE</t>
        </is>
      </c>
      <c r="AA60" s="6" t="inlineStr">
        <is>
          <t>FAIBLE</t>
        </is>
      </c>
      <c r="AB60" s="6" t="inlineStr">
        <is>
          <t>FAIBLE</t>
        </is>
      </c>
      <c r="AC60" s="6" t="inlineStr">
        <is>
          <t>MOYEN</t>
        </is>
      </c>
      <c r="AD60" s="6" t="inlineStr">
        <is>
          <t>FAIBLE</t>
        </is>
      </c>
      <c r="AE60" s="6" t="inlineStr">
        <is>
          <t>FAIBLE</t>
        </is>
      </c>
      <c r="AF60" s="6" t="inlineStr">
        <is>
          <t>FAIBLE</t>
        </is>
      </c>
      <c r="AG60" s="6" t="inlineStr">
        <is>
          <t>FAIBLE</t>
        </is>
      </c>
      <c r="AH60" s="6" t="inlineStr">
        <is>
          <t>FAIBLE</t>
        </is>
      </c>
      <c r="AI60" s="6" t="inlineStr">
        <is>
          <t>FAIBLE</t>
        </is>
      </c>
      <c r="AJ60" s="4" t="n">
        <v>0</v>
      </c>
      <c r="AK60" s="4" t="n"/>
      <c r="AL60" s="6" t="inlineStr">
        <is>
          <t>RETIRE_BANQUE72_HISTORIQUE_CONSERVE</t>
        </is>
      </c>
      <c r="AM60" s="6" t="inlineStr">
        <is>
          <t>Réduction méthodologique 120→72 : doublon de facette / priorité aux activités professionnelles observables et aux items à plus faible risque.</t>
        </is>
      </c>
      <c r="AN60" s="4" t="inlineStr">
        <is>
          <t>PIP-BANK-0.3</t>
        </is>
      </c>
      <c r="AO60" s="6" t="inlineStr">
        <is>
          <t>PIP-BANK-0.3</t>
        </is>
      </c>
      <c r="AP60" s="8">
        <f>IF(OR(C60="PILOTE",C60="ACTIF"),IF(AND(A60&lt;&gt;"",H60&lt;&gt;"",I60&lt;&gt;"",K60&lt;&gt;"",V60&lt;&gt;"",W60&lt;&gt;""),"OK","A_COMPLETER"),"OK_STRUCTURE")</f>
        <v/>
      </c>
    </row>
    <row r="61" ht="72" customHeight="1" s="34">
      <c r="A61" s="4" t="inlineStr">
        <is>
          <t>PIP-ACT-A-A5-017</t>
        </is>
      </c>
      <c r="B61" s="4" t="inlineStr">
        <is>
          <t>0.2</t>
        </is>
      </c>
      <c r="C61" s="4" t="inlineStr">
        <is>
          <t>PILOTE</t>
        </is>
      </c>
      <c r="D61" s="4" t="inlineStr">
        <is>
          <t>08/09/2026</t>
        </is>
      </c>
      <c r="E61" s="4" t="inlineStr">
        <is>
          <t>08/09/2026</t>
        </is>
      </c>
      <c r="F61" s="4" t="inlineStr">
        <is>
          <t>ACT</t>
        </is>
      </c>
      <c r="G61" s="4" t="inlineStr">
        <is>
          <t>Verbe d’action + objet/contexte</t>
        </is>
      </c>
      <c r="H61" s="4" t="inlineStr">
        <is>
          <t>A</t>
        </is>
      </c>
      <c r="I61" s="4" t="inlineStr">
        <is>
          <t>A5</t>
        </is>
      </c>
      <c r="J61" s="6" t="inlineStr">
        <is>
          <t>I,E</t>
        </is>
      </c>
      <c r="K61" s="6" t="inlineStr">
        <is>
          <t>Explorer plusieurs pistes créatives avant de choisir celle qui convient le mieux.</t>
        </is>
      </c>
      <c r="L61" s="4" t="inlineStr">
        <is>
          <t>Cela ne m’attire pas du tout</t>
        </is>
      </c>
      <c r="M61" s="4" t="inlineStr">
        <is>
          <t>Cela m’attire peu</t>
        </is>
      </c>
      <c r="N61" s="4" t="inlineStr">
        <is>
          <t>Je suis partagé(e) / sans préférence marquée</t>
        </is>
      </c>
      <c r="O61" s="4" t="inlineStr">
        <is>
          <t>Cela m’attire</t>
        </is>
      </c>
      <c r="P61" s="4" t="inlineStr">
        <is>
          <t>Cela m’attire beaucoup</t>
        </is>
      </c>
      <c r="Q61" s="4" t="n">
        <v>1</v>
      </c>
      <c r="R61" s="4" t="n">
        <v>2</v>
      </c>
      <c r="S61" s="4" t="n">
        <v>3</v>
      </c>
      <c r="T61" s="4" t="n">
        <v>4</v>
      </c>
      <c r="U61" s="4" t="n">
        <v>5</v>
      </c>
      <c r="V61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61" s="6" t="inlineStr">
        <is>
          <t>L’item relève de A5 — Explorer des solutions ouvertes : Tâches créatives où plusieurs réponses sont possibles et l’originalité a une place réelle.</t>
        </is>
      </c>
      <c r="X61" s="6" t="inlineStr">
        <is>
          <t>Revue méthodologique V0.3 : surveiller compréhension du vocabulaire au pilote.</t>
        </is>
      </c>
      <c r="Y61" s="6" t="inlineStr">
        <is>
          <t>FAIBLE</t>
        </is>
      </c>
      <c r="Z61" s="6" t="inlineStr">
        <is>
          <t>FAIBLE</t>
        </is>
      </c>
      <c r="AA61" s="6" t="inlineStr">
        <is>
          <t>FAIBLE</t>
        </is>
      </c>
      <c r="AB61" s="6" t="inlineStr">
        <is>
          <t>FAIBLE</t>
        </is>
      </c>
      <c r="AC61" s="6" t="inlineStr">
        <is>
          <t>MOYEN</t>
        </is>
      </c>
      <c r="AD61" s="6" t="inlineStr">
        <is>
          <t>FAIBLE</t>
        </is>
      </c>
      <c r="AE61" s="6" t="inlineStr">
        <is>
          <t>FAIBLE</t>
        </is>
      </c>
      <c r="AF61" s="6" t="inlineStr">
        <is>
          <t>FAIBLE</t>
        </is>
      </c>
      <c r="AG61" s="6" t="inlineStr">
        <is>
          <t>FAIBLE</t>
        </is>
      </c>
      <c r="AH61" s="6" t="inlineStr">
        <is>
          <t>FAIBLE</t>
        </is>
      </c>
      <c r="AI61" s="6" t="inlineStr">
        <is>
          <t>FAIBLE</t>
        </is>
      </c>
      <c r="AJ61" s="4" t="n">
        <v>0</v>
      </c>
      <c r="AK61" s="4" t="n"/>
      <c r="AL61" s="6" t="inlineStr">
        <is>
          <t>RETENU_V0.5_REECRIT_CONCRET</t>
        </is>
      </c>
      <c r="AM61" s="6" t="n"/>
      <c r="AN61" s="4" t="inlineStr">
        <is>
          <t>PIP-BANK-0.3</t>
        </is>
      </c>
      <c r="AO61" s="6" t="inlineStr">
        <is>
          <t>PIP-BANK-0.4</t>
        </is>
      </c>
      <c r="AP61" s="8">
        <f>IF(OR(C61="PILOTE",C61="ACTIF"),IF(AND(A61&lt;&gt;"",H61&lt;&gt;"",I61&lt;&gt;"",K61&lt;&gt;"",V61&lt;&gt;"",W61&lt;&gt;""),"OK","A_COMPLETER"),"OK_STRUCTURE")</f>
        <v/>
      </c>
    </row>
    <row r="62" ht="72" customHeight="1" s="34">
      <c r="A62" s="4" t="inlineStr">
        <is>
          <t>PIP-ACT-A-A5-018</t>
        </is>
      </c>
      <c r="B62" s="4" t="inlineStr">
        <is>
          <t>0.2</t>
        </is>
      </c>
      <c r="C62" s="4" t="inlineStr">
        <is>
          <t>PILOTE</t>
        </is>
      </c>
      <c r="D62" s="4" t="inlineStr">
        <is>
          <t>08/09/2026</t>
        </is>
      </c>
      <c r="E62" s="4" t="inlineStr">
        <is>
          <t>08/09/2026</t>
        </is>
      </c>
      <c r="F62" s="4" t="inlineStr">
        <is>
          <t>ACT</t>
        </is>
      </c>
      <c r="G62" s="4" t="inlineStr">
        <is>
          <t>Verbe d’action + objet/contexte</t>
        </is>
      </c>
      <c r="H62" s="4" t="inlineStr">
        <is>
          <t>A</t>
        </is>
      </c>
      <c r="I62" s="4" t="inlineStr">
        <is>
          <t>A5</t>
        </is>
      </c>
      <c r="J62" s="6" t="inlineStr">
        <is>
          <t>I,E</t>
        </is>
      </c>
      <c r="K62" s="6" t="inlineStr">
        <is>
          <t>Réinventer une manière habituelle de faire pour proposer une approche originale.</t>
        </is>
      </c>
      <c r="L62" s="4" t="inlineStr">
        <is>
          <t>Cela ne m’attire pas du tout</t>
        </is>
      </c>
      <c r="M62" s="4" t="inlineStr">
        <is>
          <t>Cela m’attire peu</t>
        </is>
      </c>
      <c r="N62" s="4" t="inlineStr">
        <is>
          <t>Je suis partagé(e) / sans préférence marquée</t>
        </is>
      </c>
      <c r="O62" s="4" t="inlineStr">
        <is>
          <t>Cela m’attire</t>
        </is>
      </c>
      <c r="P62" s="4" t="inlineStr">
        <is>
          <t>Cela m’attire beaucoup</t>
        </is>
      </c>
      <c r="Q62" s="4" t="n">
        <v>1</v>
      </c>
      <c r="R62" s="4" t="n">
        <v>2</v>
      </c>
      <c r="S62" s="4" t="n">
        <v>3</v>
      </c>
      <c r="T62" s="4" t="n">
        <v>4</v>
      </c>
      <c r="U62" s="4" t="n">
        <v>5</v>
      </c>
      <c r="V62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62" s="6" t="inlineStr">
        <is>
          <t>L’item relève de A5 — Explorer des solutions ouvertes : Tâches créatives où plusieurs réponses sont possibles et l’originalité a une place réelle.</t>
        </is>
      </c>
      <c r="X62" s="6" t="inlineStr">
        <is>
          <t>Revue méthodologique V0.3 : surveiller compréhension du vocabulaire au pilote.</t>
        </is>
      </c>
      <c r="Y62" s="6" t="inlineStr">
        <is>
          <t>FAIBLE</t>
        </is>
      </c>
      <c r="Z62" s="6" t="inlineStr">
        <is>
          <t>FAIBLE</t>
        </is>
      </c>
      <c r="AA62" s="6" t="inlineStr">
        <is>
          <t>FAIBLE</t>
        </is>
      </c>
      <c r="AB62" s="6" t="inlineStr">
        <is>
          <t>FAIBLE</t>
        </is>
      </c>
      <c r="AC62" s="6" t="inlineStr">
        <is>
          <t>MOYEN</t>
        </is>
      </c>
      <c r="AD62" s="6" t="inlineStr">
        <is>
          <t>FAIBLE</t>
        </is>
      </c>
      <c r="AE62" s="6" t="inlineStr">
        <is>
          <t>FAIBLE</t>
        </is>
      </c>
      <c r="AF62" s="6" t="inlineStr">
        <is>
          <t>FAIBLE</t>
        </is>
      </c>
      <c r="AG62" s="6" t="inlineStr">
        <is>
          <t>FAIBLE</t>
        </is>
      </c>
      <c r="AH62" s="6" t="inlineStr">
        <is>
          <t>FAIBLE</t>
        </is>
      </c>
      <c r="AI62" s="6" t="inlineStr">
        <is>
          <t>FAIBLE</t>
        </is>
      </c>
      <c r="AJ62" s="4" t="n">
        <v>0</v>
      </c>
      <c r="AK62" s="4" t="n"/>
      <c r="AL62" s="6" t="inlineStr">
        <is>
          <t>RETENU_V0.5_REECRIT_CONCRET</t>
        </is>
      </c>
      <c r="AM62" s="6" t="n"/>
      <c r="AN62" s="4" t="inlineStr">
        <is>
          <t>PIP-BANK-0.3</t>
        </is>
      </c>
      <c r="AO62" s="6" t="inlineStr">
        <is>
          <t>PIP-BANK-0.4</t>
        </is>
      </c>
      <c r="AP62" s="8">
        <f>IF(OR(C62="PILOTE",C62="ACTIF"),IF(AND(A62&lt;&gt;"",H62&lt;&gt;"",I62&lt;&gt;"",K62&lt;&gt;"",V62&lt;&gt;"",W62&lt;&gt;""),"OK","A_COMPLETER"),"OK_STRUCTURE")</f>
        <v/>
      </c>
    </row>
    <row r="63" ht="72" customHeight="1" s="34">
      <c r="A63" s="4" t="inlineStr">
        <is>
          <t>PIP-SIT-A-A5-019</t>
        </is>
      </c>
      <c r="B63" s="4" t="inlineStr">
        <is>
          <t>0.2</t>
        </is>
      </c>
      <c r="C63" s="4" t="inlineStr">
        <is>
          <t>PILOTE</t>
        </is>
      </c>
      <c r="D63" s="4" t="inlineStr">
        <is>
          <t>08/09/2026</t>
        </is>
      </c>
      <c r="E63" s="4" t="inlineStr">
        <is>
          <t>08/09/2026</t>
        </is>
      </c>
      <c r="F63" s="4" t="inlineStr">
        <is>
          <t>SIT</t>
        </is>
      </c>
      <c r="G63" s="4" t="inlineStr">
        <is>
          <t>Situation courte avec enjeu central</t>
        </is>
      </c>
      <c r="H63" s="4" t="inlineStr">
        <is>
          <t>A</t>
        </is>
      </c>
      <c r="I63" s="4" t="inlineStr">
        <is>
          <t>A5</t>
        </is>
      </c>
      <c r="J63" s="6" t="inlineStr">
        <is>
          <t>I,E</t>
        </is>
      </c>
      <c r="K63" s="6" t="inlineStr">
        <is>
          <t>Travailler sur un problème pour lequel plusieurs réponses différentes peuvent être pertinentes.</t>
        </is>
      </c>
      <c r="L63" s="4" t="inlineStr">
        <is>
          <t>Cela ne m’attire pas du tout</t>
        </is>
      </c>
      <c r="M63" s="4" t="inlineStr">
        <is>
          <t>Cela m’attire peu</t>
        </is>
      </c>
      <c r="N63" s="4" t="inlineStr">
        <is>
          <t>Je suis partagé(e) / sans préférence marquée</t>
        </is>
      </c>
      <c r="O63" s="4" t="inlineStr">
        <is>
          <t>Cela m’attire</t>
        </is>
      </c>
      <c r="P63" s="4" t="inlineStr">
        <is>
          <t>Cela m’attire beaucoup</t>
        </is>
      </c>
      <c r="Q63" s="4" t="n">
        <v>1</v>
      </c>
      <c r="R63" s="4" t="n">
        <v>2</v>
      </c>
      <c r="S63" s="4" t="n">
        <v>3</v>
      </c>
      <c r="T63" s="4" t="n">
        <v>4</v>
      </c>
      <c r="U63" s="4" t="n">
        <v>5</v>
      </c>
      <c r="V63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63" s="6" t="inlineStr">
        <is>
          <t>L’item relève de A5 — Explorer des solutions ouvertes : Tâches créatives où plusieurs réponses sont possibles et l’originalité a une place réelle.</t>
        </is>
      </c>
      <c r="X63" s="6" t="inlineStr">
        <is>
          <t>Revue méthodologique V0.3 : surveiller compréhension du vocabulaire, frontière avec I au pilote.</t>
        </is>
      </c>
      <c r="Y63" s="6" t="inlineStr">
        <is>
          <t>FAIBLE</t>
        </is>
      </c>
      <c r="Z63" s="6" t="inlineStr">
        <is>
          <t>FAIBLE</t>
        </is>
      </c>
      <c r="AA63" s="6" t="inlineStr">
        <is>
          <t>FAIBLE</t>
        </is>
      </c>
      <c r="AB63" s="6" t="inlineStr">
        <is>
          <t>FAIBLE</t>
        </is>
      </c>
      <c r="AC63" s="6" t="inlineStr">
        <is>
          <t>MOYEN</t>
        </is>
      </c>
      <c r="AD63" s="6" t="inlineStr">
        <is>
          <t>FAIBLE</t>
        </is>
      </c>
      <c r="AE63" s="6" t="inlineStr">
        <is>
          <t>FAIBLE</t>
        </is>
      </c>
      <c r="AF63" s="6" t="inlineStr">
        <is>
          <t>FAIBLE</t>
        </is>
      </c>
      <c r="AG63" s="6" t="inlineStr">
        <is>
          <t>FAIBLE</t>
        </is>
      </c>
      <c r="AH63" s="6" t="inlineStr">
        <is>
          <t>FAIBLE</t>
        </is>
      </c>
      <c r="AI63" s="6" t="inlineStr">
        <is>
          <t>MOYEN</t>
        </is>
      </c>
      <c r="AJ63" s="4" t="n">
        <v>0</v>
      </c>
      <c r="AK63" s="4" t="n"/>
      <c r="AL63" s="6" t="inlineStr">
        <is>
          <t>RETIRE_BANQUE72_HISTORIQUE_CONSERVE</t>
        </is>
      </c>
      <c r="AM63" s="6" t="inlineStr">
        <is>
          <t>Réduction méthodologique 120→72 : doublon de facette / priorité aux activités professionnelles observables et aux items à plus faible risque.</t>
        </is>
      </c>
      <c r="AN63" s="4" t="inlineStr">
        <is>
          <t>PIP-BANK-0.3</t>
        </is>
      </c>
      <c r="AO63" s="6" t="inlineStr">
        <is>
          <t>PIP-BANK-0.3</t>
        </is>
      </c>
      <c r="AP63" s="8">
        <f>IF(OR(C63="PILOTE",C63="ACTIF"),IF(AND(A63&lt;&gt;"",H63&lt;&gt;"",I63&lt;&gt;"",K63&lt;&gt;"",V63&lt;&gt;"",W63&lt;&gt;""),"OK","A_COMPLETER"),"OK_STRUCTURE")</f>
        <v/>
      </c>
    </row>
    <row r="64" ht="72" customHeight="1" s="34">
      <c r="A64" s="4" t="inlineStr">
        <is>
          <t>PIP-ENV-A-A5-020</t>
        </is>
      </c>
      <c r="B64" s="4" t="inlineStr">
        <is>
          <t>0.2</t>
        </is>
      </c>
      <c r="C64" s="4" t="inlineStr">
        <is>
          <t>PILOTE</t>
        </is>
      </c>
      <c r="D64" s="4" t="inlineStr">
        <is>
          <t>08/09/2026</t>
        </is>
      </c>
      <c r="E64" s="4" t="inlineStr">
        <is>
          <t>08/09/2026</t>
        </is>
      </c>
      <c r="F64" s="4" t="inlineStr">
        <is>
          <t>ENV</t>
        </is>
      </c>
      <c r="G64" s="4" t="inlineStr">
        <is>
          <t>Contexte décrit par ce qu’il permet de faire</t>
        </is>
      </c>
      <c r="H64" s="4" t="inlineStr">
        <is>
          <t>A</t>
        </is>
      </c>
      <c r="I64" s="4" t="inlineStr">
        <is>
          <t>A5</t>
        </is>
      </c>
      <c r="J64" s="6" t="inlineStr">
        <is>
          <t>I,E</t>
        </is>
      </c>
      <c r="K64" s="6" t="inlineStr">
        <is>
          <t>Évoluer dans un contexte où les consignes laissent une place importante à l’interprétation personnelle et à l’expérimentation créative.</t>
        </is>
      </c>
      <c r="L64" s="4" t="inlineStr">
        <is>
          <t>Cela ne m’attire pas du tout</t>
        </is>
      </c>
      <c r="M64" s="4" t="inlineStr">
        <is>
          <t>Cela m’attire peu</t>
        </is>
      </c>
      <c r="N64" s="4" t="inlineStr">
        <is>
          <t>Je suis partagé(e) / sans préférence marquée</t>
        </is>
      </c>
      <c r="O64" s="4" t="inlineStr">
        <is>
          <t>Cela m’attire</t>
        </is>
      </c>
      <c r="P64" s="4" t="inlineStr">
        <is>
          <t>Cela m’attire beaucoup</t>
        </is>
      </c>
      <c r="Q64" s="4" t="n">
        <v>1</v>
      </c>
      <c r="R64" s="4" t="n">
        <v>2</v>
      </c>
      <c r="S64" s="4" t="n">
        <v>3</v>
      </c>
      <c r="T64" s="4" t="n">
        <v>4</v>
      </c>
      <c r="U64" s="4" t="n">
        <v>5</v>
      </c>
      <c r="V64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64" s="6" t="inlineStr">
        <is>
          <t>L’item relève de A5 — Explorer des solutions ouvertes : Tâches créatives où plusieurs réponses sont possibles et l’originalité a une place réelle.</t>
        </is>
      </c>
      <c r="X64" s="6" t="inlineStr">
        <is>
          <t>Revue méthodologique V0.3 : surveiller compréhension du vocabulaire au pilote.</t>
        </is>
      </c>
      <c r="Y64" s="6" t="inlineStr">
        <is>
          <t>FAIBLE</t>
        </is>
      </c>
      <c r="Z64" s="6" t="inlineStr">
        <is>
          <t>FAIBLE</t>
        </is>
      </c>
      <c r="AA64" s="6" t="inlineStr">
        <is>
          <t>FAIBLE</t>
        </is>
      </c>
      <c r="AB64" s="6" t="inlineStr">
        <is>
          <t>FAIBLE</t>
        </is>
      </c>
      <c r="AC64" s="6" t="inlineStr">
        <is>
          <t>MOYEN</t>
        </is>
      </c>
      <c r="AD64" s="6" t="inlineStr">
        <is>
          <t>FAIBLE</t>
        </is>
      </c>
      <c r="AE64" s="6" t="inlineStr">
        <is>
          <t>FAIBLE</t>
        </is>
      </c>
      <c r="AF64" s="6" t="inlineStr">
        <is>
          <t>FAIBLE</t>
        </is>
      </c>
      <c r="AG64" s="6" t="inlineStr">
        <is>
          <t>FAIBLE</t>
        </is>
      </c>
      <c r="AH64" s="6" t="inlineStr">
        <is>
          <t>FAIBLE</t>
        </is>
      </c>
      <c r="AI64" s="6" t="inlineStr">
        <is>
          <t>FAIBLE</t>
        </is>
      </c>
      <c r="AJ64" s="4" t="n">
        <v>0</v>
      </c>
      <c r="AK64" s="4" t="n"/>
      <c r="AL64" s="6" t="inlineStr">
        <is>
          <t>RETIRE_BANQUE72_HISTORIQUE_CONSERVE</t>
        </is>
      </c>
      <c r="AM64" s="6" t="inlineStr">
        <is>
          <t>Réduction méthodologique 120→72 : doublon de facette / priorité aux activités professionnelles observables et aux items à plus faible risque.</t>
        </is>
      </c>
      <c r="AN64" s="4" t="inlineStr">
        <is>
          <t>PIP-BANK-0.3</t>
        </is>
      </c>
      <c r="AO64" s="6" t="inlineStr">
        <is>
          <t>PIP-BANK-0.3</t>
        </is>
      </c>
      <c r="AP64" s="8">
        <f>IF(OR(C64="PILOTE",C64="ACTIF"),IF(AND(A64&lt;&gt;"",H64&lt;&gt;"",I64&lt;&gt;"",K64&lt;&gt;"",V64&lt;&gt;"",W64&lt;&gt;""),"OK","A_COMPLETER"),"OK_STRUCTURE")</f>
        <v/>
      </c>
    </row>
    <row r="65" ht="72" customHeight="1" s="34">
      <c r="A65" s="4" t="inlineStr">
        <is>
          <t>PIP-ACT-S-S1-001</t>
        </is>
      </c>
      <c r="B65" s="4" t="inlineStr">
        <is>
          <t>0.2</t>
        </is>
      </c>
      <c r="C65" s="4" t="inlineStr">
        <is>
          <t>PILOTE</t>
        </is>
      </c>
      <c r="D65" s="4" t="inlineStr">
        <is>
          <t>08/09/2026</t>
        </is>
      </c>
      <c r="E65" s="4" t="inlineStr">
        <is>
          <t>08/09/2026</t>
        </is>
      </c>
      <c r="F65" s="4" t="inlineStr">
        <is>
          <t>ACT</t>
        </is>
      </c>
      <c r="G65" s="4" t="inlineStr">
        <is>
          <t>Verbe d’action + objet/contexte</t>
        </is>
      </c>
      <c r="H65" s="4" t="inlineStr">
        <is>
          <t>S</t>
        </is>
      </c>
      <c r="I65" s="4" t="inlineStr">
        <is>
          <t>S1</t>
        </is>
      </c>
      <c r="J65" s="6" t="inlineStr">
        <is>
          <t>I</t>
        </is>
      </c>
      <c r="K65" s="6" t="inlineStr">
        <is>
          <t>Expliquer un sujet à une personne pour l’aider à le comprendre.</t>
        </is>
      </c>
      <c r="L65" s="4" t="inlineStr">
        <is>
          <t>Cela ne m’attire pas du tout</t>
        </is>
      </c>
      <c r="M65" s="4" t="inlineStr">
        <is>
          <t>Cela m’attire peu</t>
        </is>
      </c>
      <c r="N65" s="4" t="inlineStr">
        <is>
          <t>Je suis partagé(e) / sans préférence marquée</t>
        </is>
      </c>
      <c r="O65" s="4" t="inlineStr">
        <is>
          <t>Cela m’attire</t>
        </is>
      </c>
      <c r="P65" s="4" t="inlineStr">
        <is>
          <t>Cela m’attire beaucoup</t>
        </is>
      </c>
      <c r="Q65" s="4" t="n">
        <v>1</v>
      </c>
      <c r="R65" s="4" t="n">
        <v>2</v>
      </c>
      <c r="S65" s="4" t="n">
        <v>3</v>
      </c>
      <c r="T65" s="4" t="n">
        <v>4</v>
      </c>
      <c r="U65" s="4" t="n">
        <v>5</v>
      </c>
      <c r="V65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65" s="6" t="inlineStr">
        <is>
          <t>L’item relève de S1 — Enseigner / transmettre : Faire apprendre, expliquer et développer des connaissances ou savoir-faire chez autrui.</t>
        </is>
      </c>
      <c r="X65" s="6" t="inlineStr">
        <is>
          <t>Revue méthodologique V0.3 : surveiller désirabilité sociale, stéréotypes de genre historiques liés au soin/service au pilote.</t>
        </is>
      </c>
      <c r="Y65" s="6" t="inlineStr">
        <is>
          <t>MOYEN</t>
        </is>
      </c>
      <c r="Z65" s="6" t="inlineStr">
        <is>
          <t>FAIBLE</t>
        </is>
      </c>
      <c r="AA65" s="6" t="inlineStr">
        <is>
          <t>FAIBLE</t>
        </is>
      </c>
      <c r="AB65" s="6" t="inlineStr">
        <is>
          <t>FAIBLE</t>
        </is>
      </c>
      <c r="AC65" s="6" t="inlineStr">
        <is>
          <t>FAIBLE</t>
        </is>
      </c>
      <c r="AD65" s="6" t="inlineStr">
        <is>
          <t>FAIBLE</t>
        </is>
      </c>
      <c r="AE65" s="6" t="inlineStr">
        <is>
          <t>FAIBLE</t>
        </is>
      </c>
      <c r="AF65" s="6" t="inlineStr">
        <is>
          <t>FAIBLE</t>
        </is>
      </c>
      <c r="AG65" s="6" t="inlineStr">
        <is>
          <t>FAIBLE</t>
        </is>
      </c>
      <c r="AH65" s="6" t="inlineStr">
        <is>
          <t>MOYEN</t>
        </is>
      </c>
      <c r="AI65" s="6" t="inlineStr">
        <is>
          <t>FAIBLE</t>
        </is>
      </c>
      <c r="AJ65" s="4" t="n">
        <v>0</v>
      </c>
      <c r="AK65" s="4" t="n"/>
      <c r="AL65" s="6" t="inlineStr">
        <is>
          <t>RETENU_V0.5_REECRIT_CONCRET</t>
        </is>
      </c>
      <c r="AM65" s="6" t="n"/>
      <c r="AN65" s="4" t="inlineStr">
        <is>
          <t>PIP-BANK-0.3</t>
        </is>
      </c>
      <c r="AO65" s="6" t="inlineStr">
        <is>
          <t>PIP-BANK-0.4</t>
        </is>
      </c>
      <c r="AP65" s="8">
        <f>IF(OR(C65="PILOTE",C65="ACTIF"),IF(AND(A65&lt;&gt;"",H65&lt;&gt;"",I65&lt;&gt;"",K65&lt;&gt;"",V65&lt;&gt;"",W65&lt;&gt;""),"OK","A_COMPLETER"),"OK_STRUCTURE")</f>
        <v/>
      </c>
    </row>
    <row r="66" ht="72" customHeight="1" s="34">
      <c r="A66" s="4" t="inlineStr">
        <is>
          <t>PIP-ACT-S-S1-002</t>
        </is>
      </c>
      <c r="B66" s="4" t="inlineStr">
        <is>
          <t>0.2</t>
        </is>
      </c>
      <c r="C66" s="4" t="inlineStr">
        <is>
          <t>PILOTE</t>
        </is>
      </c>
      <c r="D66" s="4" t="inlineStr">
        <is>
          <t>08/09/2026</t>
        </is>
      </c>
      <c r="E66" s="4" t="inlineStr">
        <is>
          <t>08/09/2026</t>
        </is>
      </c>
      <c r="F66" s="4" t="inlineStr">
        <is>
          <t>ACT</t>
        </is>
      </c>
      <c r="G66" s="4" t="inlineStr">
        <is>
          <t>Verbe d’action + objet/contexte</t>
        </is>
      </c>
      <c r="H66" s="4" t="inlineStr">
        <is>
          <t>S</t>
        </is>
      </c>
      <c r="I66" s="4" t="inlineStr">
        <is>
          <t>S1</t>
        </is>
      </c>
      <c r="J66" s="6" t="inlineStr">
        <is>
          <t>I</t>
        </is>
      </c>
      <c r="K66" s="6" t="inlineStr">
        <is>
          <t>Montrer à quelqu’un comment réaliser une tâche afin qu’il puisse ensuite la faire seul.</t>
        </is>
      </c>
      <c r="L66" s="4" t="inlineStr">
        <is>
          <t>Cela ne m’attire pas du tout</t>
        </is>
      </c>
      <c r="M66" s="4" t="inlineStr">
        <is>
          <t>Cela m’attire peu</t>
        </is>
      </c>
      <c r="N66" s="4" t="inlineStr">
        <is>
          <t>Je suis partagé(e) / sans préférence marquée</t>
        </is>
      </c>
      <c r="O66" s="4" t="inlineStr">
        <is>
          <t>Cela m’attire</t>
        </is>
      </c>
      <c r="P66" s="4" t="inlineStr">
        <is>
          <t>Cela m’attire beaucoup</t>
        </is>
      </c>
      <c r="Q66" s="4" t="n">
        <v>1</v>
      </c>
      <c r="R66" s="4" t="n">
        <v>2</v>
      </c>
      <c r="S66" s="4" t="n">
        <v>3</v>
      </c>
      <c r="T66" s="4" t="n">
        <v>4</v>
      </c>
      <c r="U66" s="4" t="n">
        <v>5</v>
      </c>
      <c r="V66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66" s="6" t="inlineStr">
        <is>
          <t>L’item relève de S1 — Enseigner / transmettre : Faire apprendre, expliquer et développer des connaissances ou savoir-faire chez autrui.</t>
        </is>
      </c>
      <c r="X66" s="6" t="inlineStr">
        <is>
          <t>Revue méthodologique V0.3 : surveiller désirabilité sociale, stéréotypes de genre historiques liés au soin/service au pilote.</t>
        </is>
      </c>
      <c r="Y66" s="6" t="inlineStr">
        <is>
          <t>MOYEN</t>
        </is>
      </c>
      <c r="Z66" s="6" t="inlineStr">
        <is>
          <t>FAIBLE</t>
        </is>
      </c>
      <c r="AA66" s="6" t="inlineStr">
        <is>
          <t>FAIBLE</t>
        </is>
      </c>
      <c r="AB66" s="6" t="inlineStr">
        <is>
          <t>FAIBLE</t>
        </is>
      </c>
      <c r="AC66" s="6" t="inlineStr">
        <is>
          <t>FAIBLE</t>
        </is>
      </c>
      <c r="AD66" s="6" t="inlineStr">
        <is>
          <t>FAIBLE</t>
        </is>
      </c>
      <c r="AE66" s="6" t="inlineStr">
        <is>
          <t>FAIBLE</t>
        </is>
      </c>
      <c r="AF66" s="6" t="inlineStr">
        <is>
          <t>FAIBLE</t>
        </is>
      </c>
      <c r="AG66" s="6" t="inlineStr">
        <is>
          <t>FAIBLE</t>
        </is>
      </c>
      <c r="AH66" s="6" t="inlineStr">
        <is>
          <t>MOYEN</t>
        </is>
      </c>
      <c r="AI66" s="6" t="inlineStr">
        <is>
          <t>FAIBLE</t>
        </is>
      </c>
      <c r="AJ66" s="4" t="n">
        <v>0</v>
      </c>
      <c r="AK66" s="4" t="n"/>
      <c r="AL66" s="6" t="inlineStr">
        <is>
          <t>RETENU_V0.5_REECRIT_CONCRET</t>
        </is>
      </c>
      <c r="AM66" s="6" t="n"/>
      <c r="AN66" s="4" t="inlineStr">
        <is>
          <t>PIP-BANK-0.3</t>
        </is>
      </c>
      <c r="AO66" s="6" t="inlineStr">
        <is>
          <t>PIP-BANK-0.4</t>
        </is>
      </c>
      <c r="AP66" s="8">
        <f>IF(OR(C66="PILOTE",C66="ACTIF"),IF(AND(A66&lt;&gt;"",H66&lt;&gt;"",I66&lt;&gt;"",K66&lt;&gt;"",V66&lt;&gt;"",W66&lt;&gt;""),"OK","A_COMPLETER"),"OK_STRUCTURE")</f>
        <v/>
      </c>
    </row>
    <row r="67" ht="72" customHeight="1" s="34">
      <c r="A67" s="4" t="inlineStr">
        <is>
          <t>PIP-SIT-S-S1-003</t>
        </is>
      </c>
      <c r="B67" s="4" t="inlineStr">
        <is>
          <t>0.2</t>
        </is>
      </c>
      <c r="C67" s="4" t="inlineStr">
        <is>
          <t>PILOTE</t>
        </is>
      </c>
      <c r="D67" s="4" t="inlineStr">
        <is>
          <t>08/09/2026</t>
        </is>
      </c>
      <c r="E67" s="4" t="inlineStr">
        <is>
          <t>08/09/2026</t>
        </is>
      </c>
      <c r="F67" s="4" t="inlineStr">
        <is>
          <t>SIT</t>
        </is>
      </c>
      <c r="G67" s="4" t="inlineStr">
        <is>
          <t>Situation courte avec enjeu central</t>
        </is>
      </c>
      <c r="H67" s="4" t="inlineStr">
        <is>
          <t>S</t>
        </is>
      </c>
      <c r="I67" s="4" t="inlineStr">
        <is>
          <t>S1</t>
        </is>
      </c>
      <c r="J67" s="6" t="inlineStr">
        <is>
          <t>I</t>
        </is>
      </c>
      <c r="K67" s="6" t="inlineStr">
        <is>
          <t>Adapter sa manière d’expliquer lorsqu’une personne ne comprend pas du premier coup.</t>
        </is>
      </c>
      <c r="L67" s="4" t="inlineStr">
        <is>
          <t>Cela ne m’attire pas du tout</t>
        </is>
      </c>
      <c r="M67" s="4" t="inlineStr">
        <is>
          <t>Cela m’attire peu</t>
        </is>
      </c>
      <c r="N67" s="4" t="inlineStr">
        <is>
          <t>Je suis partagé(e) / sans préférence marquée</t>
        </is>
      </c>
      <c r="O67" s="4" t="inlineStr">
        <is>
          <t>Cela m’attire</t>
        </is>
      </c>
      <c r="P67" s="4" t="inlineStr">
        <is>
          <t>Cela m’attire beaucoup</t>
        </is>
      </c>
      <c r="Q67" s="4" t="n">
        <v>1</v>
      </c>
      <c r="R67" s="4" t="n">
        <v>2</v>
      </c>
      <c r="S67" s="4" t="n">
        <v>3</v>
      </c>
      <c r="T67" s="4" t="n">
        <v>4</v>
      </c>
      <c r="U67" s="4" t="n">
        <v>5</v>
      </c>
      <c r="V67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67" s="6" t="inlineStr">
        <is>
          <t>L’item relève de S1 — Enseigner / transmettre : Faire apprendre, expliquer et développer des connaissances ou savoir-faire chez autrui.</t>
        </is>
      </c>
      <c r="X67" s="6" t="inlineStr">
        <is>
          <t>Revue méthodologique V0.3 : surveiller désirabilité sociale, stéréotypes de genre historiques liés au soin/service au pilote.</t>
        </is>
      </c>
      <c r="Y67" s="6" t="inlineStr">
        <is>
          <t>MOYEN</t>
        </is>
      </c>
      <c r="Z67" s="6" t="inlineStr">
        <is>
          <t>FAIBLE</t>
        </is>
      </c>
      <c r="AA67" s="6" t="inlineStr">
        <is>
          <t>FAIBLE</t>
        </is>
      </c>
      <c r="AB67" s="6" t="inlineStr">
        <is>
          <t>FAIBLE</t>
        </is>
      </c>
      <c r="AC67" s="6" t="inlineStr">
        <is>
          <t>FAIBLE</t>
        </is>
      </c>
      <c r="AD67" s="6" t="inlineStr">
        <is>
          <t>FAIBLE</t>
        </is>
      </c>
      <c r="AE67" s="6" t="inlineStr">
        <is>
          <t>FAIBLE</t>
        </is>
      </c>
      <c r="AF67" s="6" t="inlineStr">
        <is>
          <t>FAIBLE</t>
        </is>
      </c>
      <c r="AG67" s="6" t="inlineStr">
        <is>
          <t>FAIBLE</t>
        </is>
      </c>
      <c r="AH67" s="6" t="inlineStr">
        <is>
          <t>MOYEN</t>
        </is>
      </c>
      <c r="AI67" s="6" t="inlineStr">
        <is>
          <t>FAIBLE</t>
        </is>
      </c>
      <c r="AJ67" s="4" t="n">
        <v>0</v>
      </c>
      <c r="AK67" s="4" t="n"/>
      <c r="AL67" s="6" t="inlineStr">
        <is>
          <t>RETENU_V0.5_REECRIT_CONCRET</t>
        </is>
      </c>
      <c r="AM67" s="6" t="n"/>
      <c r="AN67" s="4" t="inlineStr">
        <is>
          <t>PIP-BANK-0.3</t>
        </is>
      </c>
      <c r="AO67" s="6" t="inlineStr">
        <is>
          <t>PIP-BANK-0.4</t>
        </is>
      </c>
      <c r="AP67" s="8">
        <f>IF(OR(C67="PILOTE",C67="ACTIF"),IF(AND(A67&lt;&gt;"",H67&lt;&gt;"",I67&lt;&gt;"",K67&lt;&gt;"",V67&lt;&gt;"",W67&lt;&gt;""),"OK","A_COMPLETER"),"OK_STRUCTURE")</f>
        <v/>
      </c>
    </row>
    <row r="68" ht="72" customHeight="1" s="34">
      <c r="A68" s="4" t="inlineStr">
        <is>
          <t>PIP-ENV-S-S1-004</t>
        </is>
      </c>
      <c r="B68" s="4" t="inlineStr">
        <is>
          <t>0.2</t>
        </is>
      </c>
      <c r="C68" s="4" t="inlineStr">
        <is>
          <t>PILOTE</t>
        </is>
      </c>
      <c r="D68" s="4" t="inlineStr">
        <is>
          <t>08/09/2026</t>
        </is>
      </c>
      <c r="E68" s="4" t="inlineStr">
        <is>
          <t>08/09/2026</t>
        </is>
      </c>
      <c r="F68" s="4" t="inlineStr">
        <is>
          <t>ENV</t>
        </is>
      </c>
      <c r="G68" s="4" t="inlineStr">
        <is>
          <t>Contexte décrit par ce qu’il permet de faire</t>
        </is>
      </c>
      <c r="H68" s="4" t="inlineStr">
        <is>
          <t>S</t>
        </is>
      </c>
      <c r="I68" s="4" t="inlineStr">
        <is>
          <t>S1</t>
        </is>
      </c>
      <c r="J68" s="6" t="inlineStr">
        <is>
          <t>I</t>
        </is>
      </c>
      <c r="K68" s="6" t="inlineStr">
        <is>
          <t>Travailler dans un contexte où l’on aide régulièrement d’autres personnes à apprendre ou à progresser.</t>
        </is>
      </c>
      <c r="L68" s="4" t="inlineStr">
        <is>
          <t>Cela ne m’attire pas du tout</t>
        </is>
      </c>
      <c r="M68" s="4" t="inlineStr">
        <is>
          <t>Cela m’attire peu</t>
        </is>
      </c>
      <c r="N68" s="4" t="inlineStr">
        <is>
          <t>Je suis partagé(e) / sans préférence marquée</t>
        </is>
      </c>
      <c r="O68" s="4" t="inlineStr">
        <is>
          <t>Cela m’attire</t>
        </is>
      </c>
      <c r="P68" s="4" t="inlineStr">
        <is>
          <t>Cela m’attire beaucoup</t>
        </is>
      </c>
      <c r="Q68" s="4" t="n">
        <v>1</v>
      </c>
      <c r="R68" s="4" t="n">
        <v>2</v>
      </c>
      <c r="S68" s="4" t="n">
        <v>3</v>
      </c>
      <c r="T68" s="4" t="n">
        <v>4</v>
      </c>
      <c r="U68" s="4" t="n">
        <v>5</v>
      </c>
      <c r="V68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68" s="6" t="inlineStr">
        <is>
          <t>L’item relève de S1 — Enseigner / transmettre : Faire apprendre, expliquer et développer des connaissances ou savoir-faire chez autrui.</t>
        </is>
      </c>
      <c r="X68" s="6" t="inlineStr">
        <is>
          <t>Revue méthodologique V0.3 : surveiller désirabilité sociale, stéréotypes de genre historiques liés au soin/service au pilote.</t>
        </is>
      </c>
      <c r="Y68" s="6" t="inlineStr">
        <is>
          <t>MOYEN</t>
        </is>
      </c>
      <c r="Z68" s="6" t="inlineStr">
        <is>
          <t>FAIBLE</t>
        </is>
      </c>
      <c r="AA68" s="6" t="inlineStr">
        <is>
          <t>FAIBLE</t>
        </is>
      </c>
      <c r="AB68" s="6" t="inlineStr">
        <is>
          <t>FAIBLE</t>
        </is>
      </c>
      <c r="AC68" s="6" t="inlineStr">
        <is>
          <t>FAIBLE</t>
        </is>
      </c>
      <c r="AD68" s="6" t="inlineStr">
        <is>
          <t>FAIBLE</t>
        </is>
      </c>
      <c r="AE68" s="6" t="inlineStr">
        <is>
          <t>FAIBLE</t>
        </is>
      </c>
      <c r="AF68" s="6" t="inlineStr">
        <is>
          <t>FAIBLE</t>
        </is>
      </c>
      <c r="AG68" s="6" t="inlineStr">
        <is>
          <t>FAIBLE</t>
        </is>
      </c>
      <c r="AH68" s="6" t="inlineStr">
        <is>
          <t>MOYEN</t>
        </is>
      </c>
      <c r="AI68" s="6" t="inlineStr">
        <is>
          <t>FAIBLE</t>
        </is>
      </c>
      <c r="AJ68" s="4" t="n">
        <v>0</v>
      </c>
      <c r="AK68" s="4" t="n"/>
      <c r="AL68" s="6" t="inlineStr">
        <is>
          <t>RETIRE_BANQUE72_HISTORIQUE_CONSERVE</t>
        </is>
      </c>
      <c r="AM68" s="6" t="inlineStr">
        <is>
          <t>Réduction méthodologique 120→72 : doublon de facette / priorité aux activités professionnelles observables et aux items à plus faible risque.</t>
        </is>
      </c>
      <c r="AN68" s="4" t="inlineStr">
        <is>
          <t>PIP-BANK-0.3</t>
        </is>
      </c>
      <c r="AO68" s="6" t="inlineStr">
        <is>
          <t>PIP-BANK-0.3</t>
        </is>
      </c>
      <c r="AP68" s="8">
        <f>IF(OR(C68="PILOTE",C68="ACTIF"),IF(AND(A68&lt;&gt;"",H68&lt;&gt;"",I68&lt;&gt;"",K68&lt;&gt;"",V68&lt;&gt;"",W68&lt;&gt;""),"OK","A_COMPLETER"),"OK_STRUCTURE")</f>
        <v/>
      </c>
    </row>
    <row r="69" ht="72" customHeight="1" s="34">
      <c r="A69" s="4" t="inlineStr">
        <is>
          <t>PIP-ACT-S-S2-005</t>
        </is>
      </c>
      <c r="B69" s="4" t="inlineStr">
        <is>
          <t>0.2</t>
        </is>
      </c>
      <c r="C69" s="4" t="inlineStr">
        <is>
          <t>PILOTE</t>
        </is>
      </c>
      <c r="D69" s="4" t="inlineStr">
        <is>
          <t>08/09/2026</t>
        </is>
      </c>
      <c r="E69" s="4" t="inlineStr">
        <is>
          <t>08/09/2026</t>
        </is>
      </c>
      <c r="F69" s="4" t="inlineStr">
        <is>
          <t>ACT</t>
        </is>
      </c>
      <c r="G69" s="4" t="inlineStr">
        <is>
          <t>Verbe d’action + objet/contexte</t>
        </is>
      </c>
      <c r="H69" s="4" t="inlineStr">
        <is>
          <t>S</t>
        </is>
      </c>
      <c r="I69" s="4" t="inlineStr">
        <is>
          <t>S2</t>
        </is>
      </c>
      <c r="J69" s="6" t="inlineStr">
        <is>
          <t>E</t>
        </is>
      </c>
      <c r="K69" s="6" t="inlineStr">
        <is>
          <t>Accompagner une personne dans la réalisation d’un objectif qui compte pour elle.</t>
        </is>
      </c>
      <c r="L69" s="4" t="inlineStr">
        <is>
          <t>Cela ne m’attire pas du tout</t>
        </is>
      </c>
      <c r="M69" s="4" t="inlineStr">
        <is>
          <t>Cela m’attire peu</t>
        </is>
      </c>
      <c r="N69" s="4" t="inlineStr">
        <is>
          <t>Je suis partagé(e) / sans préférence marquée</t>
        </is>
      </c>
      <c r="O69" s="4" t="inlineStr">
        <is>
          <t>Cela m’attire</t>
        </is>
      </c>
      <c r="P69" s="4" t="inlineStr">
        <is>
          <t>Cela m’attire beaucoup</t>
        </is>
      </c>
      <c r="Q69" s="4" t="n">
        <v>1</v>
      </c>
      <c r="R69" s="4" t="n">
        <v>2</v>
      </c>
      <c r="S69" s="4" t="n">
        <v>3</v>
      </c>
      <c r="T69" s="4" t="n">
        <v>4</v>
      </c>
      <c r="U69" s="4" t="n">
        <v>5</v>
      </c>
      <c r="V69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69" s="6" t="inlineStr">
        <is>
          <t>L’item relève de S2 — Aider / soutenir / accompagner : Soutenir une personne face à une difficulté, un changement ou un objectif.</t>
        </is>
      </c>
      <c r="X69" s="6" t="inlineStr">
        <is>
          <t>Revue méthodologique V0.3 : surveiller désirabilité sociale, stéréotypes de genre historiques liés au soin/service au pilote.</t>
        </is>
      </c>
      <c r="Y69" s="6" t="inlineStr">
        <is>
          <t>MOYEN</t>
        </is>
      </c>
      <c r="Z69" s="6" t="inlineStr">
        <is>
          <t>FAIBLE</t>
        </is>
      </c>
      <c r="AA69" s="6" t="inlineStr">
        <is>
          <t>FAIBLE</t>
        </is>
      </c>
      <c r="AB69" s="6" t="inlineStr">
        <is>
          <t>FAIBLE</t>
        </is>
      </c>
      <c r="AC69" s="6" t="inlineStr">
        <is>
          <t>FAIBLE</t>
        </is>
      </c>
      <c r="AD69" s="6" t="inlineStr">
        <is>
          <t>FAIBLE</t>
        </is>
      </c>
      <c r="AE69" s="6" t="inlineStr">
        <is>
          <t>FAIBLE</t>
        </is>
      </c>
      <c r="AF69" s="6" t="inlineStr">
        <is>
          <t>FAIBLE</t>
        </is>
      </c>
      <c r="AG69" s="6" t="inlineStr">
        <is>
          <t>FAIBLE</t>
        </is>
      </c>
      <c r="AH69" s="6" t="inlineStr">
        <is>
          <t>MOYEN</t>
        </is>
      </c>
      <c r="AI69" s="6" t="inlineStr">
        <is>
          <t>FAIBLE</t>
        </is>
      </c>
      <c r="AJ69" s="4" t="n">
        <v>0</v>
      </c>
      <c r="AK69" s="4" t="n"/>
      <c r="AL69" s="6" t="inlineStr">
        <is>
          <t>RETENU_V0.5_REECRIT_CONCRET</t>
        </is>
      </c>
      <c r="AM69" s="6" t="n"/>
      <c r="AN69" s="4" t="inlineStr">
        <is>
          <t>PIP-BANK-0.3</t>
        </is>
      </c>
      <c r="AO69" s="6" t="inlineStr">
        <is>
          <t>PIP-BANK-0.4</t>
        </is>
      </c>
      <c r="AP69" s="8">
        <f>IF(OR(C69="PILOTE",C69="ACTIF"),IF(AND(A69&lt;&gt;"",H69&lt;&gt;"",I69&lt;&gt;"",K69&lt;&gt;"",V69&lt;&gt;"",W69&lt;&gt;""),"OK","A_COMPLETER"),"OK_STRUCTURE")</f>
        <v/>
      </c>
    </row>
    <row r="70" ht="72" customHeight="1" s="34">
      <c r="A70" s="4" t="inlineStr">
        <is>
          <t>PIP-ACT-S-S2-006</t>
        </is>
      </c>
      <c r="B70" s="4" t="inlineStr">
        <is>
          <t>0.2</t>
        </is>
      </c>
      <c r="C70" s="4" t="inlineStr">
        <is>
          <t>PILOTE</t>
        </is>
      </c>
      <c r="D70" s="4" t="inlineStr">
        <is>
          <t>08/09/2026</t>
        </is>
      </c>
      <c r="E70" s="4" t="inlineStr">
        <is>
          <t>08/09/2026</t>
        </is>
      </c>
      <c r="F70" s="4" t="inlineStr">
        <is>
          <t>ACT</t>
        </is>
      </c>
      <c r="G70" s="4" t="inlineStr">
        <is>
          <t>Verbe d’action + objet/contexte</t>
        </is>
      </c>
      <c r="H70" s="4" t="inlineStr">
        <is>
          <t>S</t>
        </is>
      </c>
      <c r="I70" s="4" t="inlineStr">
        <is>
          <t>S2</t>
        </is>
      </c>
      <c r="J70" s="6" t="inlineStr">
        <is>
          <t>E</t>
        </is>
      </c>
      <c r="K70" s="6" t="inlineStr">
        <is>
          <t>Soutenir quelqu’un qui rencontre une difficulté dans son parcours.</t>
        </is>
      </c>
      <c r="L70" s="4" t="inlineStr">
        <is>
          <t>Cela ne m’attire pas du tout</t>
        </is>
      </c>
      <c r="M70" s="4" t="inlineStr">
        <is>
          <t>Cela m’attire peu</t>
        </is>
      </c>
      <c r="N70" s="4" t="inlineStr">
        <is>
          <t>Je suis partagé(e) / sans préférence marquée</t>
        </is>
      </c>
      <c r="O70" s="4" t="inlineStr">
        <is>
          <t>Cela m’attire</t>
        </is>
      </c>
      <c r="P70" s="4" t="inlineStr">
        <is>
          <t>Cela m’attire beaucoup</t>
        </is>
      </c>
      <c r="Q70" s="4" t="n">
        <v>1</v>
      </c>
      <c r="R70" s="4" t="n">
        <v>2</v>
      </c>
      <c r="S70" s="4" t="n">
        <v>3</v>
      </c>
      <c r="T70" s="4" t="n">
        <v>4</v>
      </c>
      <c r="U70" s="4" t="n">
        <v>5</v>
      </c>
      <c r="V70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0" s="6" t="inlineStr">
        <is>
          <t>L’item relève de S2 — Aider / soutenir / accompagner : Soutenir une personne face à une difficulté, un changement ou un objectif.</t>
        </is>
      </c>
      <c r="X70" s="6" t="inlineStr">
        <is>
          <t>Revue méthodologique V0.3 : surveiller désirabilité sociale, stéréotypes de genre historiques liés au soin/service au pilote.</t>
        </is>
      </c>
      <c r="Y70" s="6" t="inlineStr">
        <is>
          <t>MOYEN</t>
        </is>
      </c>
      <c r="Z70" s="6" t="inlineStr">
        <is>
          <t>FAIBLE</t>
        </is>
      </c>
      <c r="AA70" s="6" t="inlineStr">
        <is>
          <t>FAIBLE</t>
        </is>
      </c>
      <c r="AB70" s="6" t="inlineStr">
        <is>
          <t>FAIBLE</t>
        </is>
      </c>
      <c r="AC70" s="6" t="inlineStr">
        <is>
          <t>FAIBLE</t>
        </is>
      </c>
      <c r="AD70" s="6" t="inlineStr">
        <is>
          <t>FAIBLE</t>
        </is>
      </c>
      <c r="AE70" s="6" t="inlineStr">
        <is>
          <t>FAIBLE</t>
        </is>
      </c>
      <c r="AF70" s="6" t="inlineStr">
        <is>
          <t>FAIBLE</t>
        </is>
      </c>
      <c r="AG70" s="6" t="inlineStr">
        <is>
          <t>FAIBLE</t>
        </is>
      </c>
      <c r="AH70" s="6" t="inlineStr">
        <is>
          <t>MOYEN</t>
        </is>
      </c>
      <c r="AI70" s="6" t="inlineStr">
        <is>
          <t>FAIBLE</t>
        </is>
      </c>
      <c r="AJ70" s="4" t="n">
        <v>0</v>
      </c>
      <c r="AK70" s="4" t="n"/>
      <c r="AL70" s="6" t="inlineStr">
        <is>
          <t>RETENU_V0.5_REECRIT_CONCRET</t>
        </is>
      </c>
      <c r="AM70" s="6" t="n"/>
      <c r="AN70" s="4" t="inlineStr">
        <is>
          <t>PIP-BANK-0.3</t>
        </is>
      </c>
      <c r="AO70" s="6" t="inlineStr">
        <is>
          <t>PIP-BANK-0.4</t>
        </is>
      </c>
      <c r="AP70" s="8">
        <f>IF(OR(C70="PILOTE",C70="ACTIF"),IF(AND(A70&lt;&gt;"",H70&lt;&gt;"",I70&lt;&gt;"",K70&lt;&gt;"",V70&lt;&gt;"",W70&lt;&gt;""),"OK","A_COMPLETER"),"OK_STRUCTURE")</f>
        <v/>
      </c>
    </row>
    <row r="71" ht="72" customHeight="1" s="34">
      <c r="A71" s="4" t="inlineStr">
        <is>
          <t>PIP-SIT-S-S2-007</t>
        </is>
      </c>
      <c r="B71" s="4" t="inlineStr">
        <is>
          <t>0.2</t>
        </is>
      </c>
      <c r="C71" s="4" t="inlineStr">
        <is>
          <t>PILOTE</t>
        </is>
      </c>
      <c r="D71" s="4" t="inlineStr">
        <is>
          <t>08/09/2026</t>
        </is>
      </c>
      <c r="E71" s="4" t="inlineStr">
        <is>
          <t>08/09/2026</t>
        </is>
      </c>
      <c r="F71" s="4" t="inlineStr">
        <is>
          <t>SIT</t>
        </is>
      </c>
      <c r="G71" s="4" t="inlineStr">
        <is>
          <t>Situation courte avec enjeu central</t>
        </is>
      </c>
      <c r="H71" s="4" t="inlineStr">
        <is>
          <t>S</t>
        </is>
      </c>
      <c r="I71" s="4" t="inlineStr">
        <is>
          <t>S2</t>
        </is>
      </c>
      <c r="J71" s="6" t="inlineStr">
        <is>
          <t>E</t>
        </is>
      </c>
      <c r="K71" s="6" t="inlineStr">
        <is>
          <t>Être aux côtés d’une personne pendant une période de changement et l’aider à avancer.</t>
        </is>
      </c>
      <c r="L71" s="4" t="inlineStr">
        <is>
          <t>Cela ne m’attire pas du tout</t>
        </is>
      </c>
      <c r="M71" s="4" t="inlineStr">
        <is>
          <t>Cela m’attire peu</t>
        </is>
      </c>
      <c r="N71" s="4" t="inlineStr">
        <is>
          <t>Je suis partagé(e) / sans préférence marquée</t>
        </is>
      </c>
      <c r="O71" s="4" t="inlineStr">
        <is>
          <t>Cela m’attire</t>
        </is>
      </c>
      <c r="P71" s="4" t="inlineStr">
        <is>
          <t>Cela m’attire beaucoup</t>
        </is>
      </c>
      <c r="Q71" s="4" t="n">
        <v>1</v>
      </c>
      <c r="R71" s="4" t="n">
        <v>2</v>
      </c>
      <c r="S71" s="4" t="n">
        <v>3</v>
      </c>
      <c r="T71" s="4" t="n">
        <v>4</v>
      </c>
      <c r="U71" s="4" t="n">
        <v>5</v>
      </c>
      <c r="V71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1" s="6" t="inlineStr">
        <is>
          <t>L’item relève de S2 — Aider / soutenir / accompagner : Soutenir une personne face à une difficulté, un changement ou un objectif.</t>
        </is>
      </c>
      <c r="X71" s="6" t="inlineStr">
        <is>
          <t>Revue méthodologique V0.3 : surveiller désirabilité sociale, stéréotypes de genre historiques liés au soin/service au pilote.</t>
        </is>
      </c>
      <c r="Y71" s="6" t="inlineStr">
        <is>
          <t>MOYEN</t>
        </is>
      </c>
      <c r="Z71" s="6" t="inlineStr">
        <is>
          <t>FAIBLE</t>
        </is>
      </c>
      <c r="AA71" s="6" t="inlineStr">
        <is>
          <t>FAIBLE</t>
        </is>
      </c>
      <c r="AB71" s="6" t="inlineStr">
        <is>
          <t>FAIBLE</t>
        </is>
      </c>
      <c r="AC71" s="6" t="inlineStr">
        <is>
          <t>FAIBLE</t>
        </is>
      </c>
      <c r="AD71" s="6" t="inlineStr">
        <is>
          <t>FAIBLE</t>
        </is>
      </c>
      <c r="AE71" s="6" t="inlineStr">
        <is>
          <t>FAIBLE</t>
        </is>
      </c>
      <c r="AF71" s="6" t="inlineStr">
        <is>
          <t>FAIBLE</t>
        </is>
      </c>
      <c r="AG71" s="6" t="inlineStr">
        <is>
          <t>FAIBLE</t>
        </is>
      </c>
      <c r="AH71" s="6" t="inlineStr">
        <is>
          <t>MOYEN</t>
        </is>
      </c>
      <c r="AI71" s="6" t="inlineStr">
        <is>
          <t>FAIBLE</t>
        </is>
      </c>
      <c r="AJ71" s="4" t="n">
        <v>0</v>
      </c>
      <c r="AK71" s="4" t="n"/>
      <c r="AL71" s="6" t="inlineStr">
        <is>
          <t>RETENU_V0.5_REECRIT_CONCRET</t>
        </is>
      </c>
      <c r="AM71" s="6" t="n"/>
      <c r="AN71" s="4" t="inlineStr">
        <is>
          <t>PIP-BANK-0.3</t>
        </is>
      </c>
      <c r="AO71" s="6" t="inlineStr">
        <is>
          <t>PIP-BANK-0.4</t>
        </is>
      </c>
      <c r="AP71" s="8">
        <f>IF(OR(C71="PILOTE",C71="ACTIF"),IF(AND(A71&lt;&gt;"",H71&lt;&gt;"",I71&lt;&gt;"",K71&lt;&gt;"",V71&lt;&gt;"",W71&lt;&gt;""),"OK","A_COMPLETER"),"OK_STRUCTURE")</f>
        <v/>
      </c>
    </row>
    <row r="72" ht="72" customHeight="1" s="34">
      <c r="A72" s="4" t="inlineStr">
        <is>
          <t>PIP-ENV-S-S2-008</t>
        </is>
      </c>
      <c r="B72" s="4" t="inlineStr">
        <is>
          <t>0.2</t>
        </is>
      </c>
      <c r="C72" s="4" t="inlineStr">
        <is>
          <t>PILOTE</t>
        </is>
      </c>
      <c r="D72" s="4" t="inlineStr">
        <is>
          <t>08/09/2026</t>
        </is>
      </c>
      <c r="E72" s="4" t="inlineStr">
        <is>
          <t>08/09/2026</t>
        </is>
      </c>
      <c r="F72" s="4" t="inlineStr">
        <is>
          <t>ENV</t>
        </is>
      </c>
      <c r="G72" s="4" t="inlineStr">
        <is>
          <t>Contexte décrit par ce qu’il permet de faire</t>
        </is>
      </c>
      <c r="H72" s="4" t="inlineStr">
        <is>
          <t>S</t>
        </is>
      </c>
      <c r="I72" s="4" t="inlineStr">
        <is>
          <t>S2</t>
        </is>
      </c>
      <c r="J72" s="6" t="inlineStr">
        <is>
          <t>E</t>
        </is>
      </c>
      <c r="K72" s="6" t="inlineStr">
        <is>
          <t>Évoluer dans un contexte où une part importante du travail consiste à soutenir directement des personnes dans leur progression.</t>
        </is>
      </c>
      <c r="L72" s="4" t="inlineStr">
        <is>
          <t>Cela ne m’attire pas du tout</t>
        </is>
      </c>
      <c r="M72" s="4" t="inlineStr">
        <is>
          <t>Cela m’attire peu</t>
        </is>
      </c>
      <c r="N72" s="4" t="inlineStr">
        <is>
          <t>Je suis partagé(e) / sans préférence marquée</t>
        </is>
      </c>
      <c r="O72" s="4" t="inlineStr">
        <is>
          <t>Cela m’attire</t>
        </is>
      </c>
      <c r="P72" s="4" t="inlineStr">
        <is>
          <t>Cela m’attire beaucoup</t>
        </is>
      </c>
      <c r="Q72" s="4" t="n">
        <v>1</v>
      </c>
      <c r="R72" s="4" t="n">
        <v>2</v>
      </c>
      <c r="S72" s="4" t="n">
        <v>3</v>
      </c>
      <c r="T72" s="4" t="n">
        <v>4</v>
      </c>
      <c r="U72" s="4" t="n">
        <v>5</v>
      </c>
      <c r="V72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2" s="6" t="inlineStr">
        <is>
          <t>L’item relève de S2 — Aider / soutenir / accompagner : Soutenir une personne face à une difficulté, un changement ou un objectif.</t>
        </is>
      </c>
      <c r="X72" s="6" t="inlineStr">
        <is>
          <t>Revue méthodologique V0.3 : surveiller désirabilité sociale, stéréotypes de genre historiques liés au soin/service au pilote.</t>
        </is>
      </c>
      <c r="Y72" s="6" t="inlineStr">
        <is>
          <t>MOYEN</t>
        </is>
      </c>
      <c r="Z72" s="6" t="inlineStr">
        <is>
          <t>FAIBLE</t>
        </is>
      </c>
      <c r="AA72" s="6" t="inlineStr">
        <is>
          <t>FAIBLE</t>
        </is>
      </c>
      <c r="AB72" s="6" t="inlineStr">
        <is>
          <t>FAIBLE</t>
        </is>
      </c>
      <c r="AC72" s="6" t="inlineStr">
        <is>
          <t>FAIBLE</t>
        </is>
      </c>
      <c r="AD72" s="6" t="inlineStr">
        <is>
          <t>FAIBLE</t>
        </is>
      </c>
      <c r="AE72" s="6" t="inlineStr">
        <is>
          <t>FAIBLE</t>
        </is>
      </c>
      <c r="AF72" s="6" t="inlineStr">
        <is>
          <t>FAIBLE</t>
        </is>
      </c>
      <c r="AG72" s="6" t="inlineStr">
        <is>
          <t>FAIBLE</t>
        </is>
      </c>
      <c r="AH72" s="6" t="inlineStr">
        <is>
          <t>MOYEN</t>
        </is>
      </c>
      <c r="AI72" s="6" t="inlineStr">
        <is>
          <t>FAIBLE</t>
        </is>
      </c>
      <c r="AJ72" s="4" t="n">
        <v>0</v>
      </c>
      <c r="AK72" s="4" t="n"/>
      <c r="AL72" s="6" t="inlineStr">
        <is>
          <t>RETIRE_BANQUE72_HISTORIQUE_CONSERVE</t>
        </is>
      </c>
      <c r="AM72" s="6" t="inlineStr">
        <is>
          <t>Réduction méthodologique 120→72 : doublon de facette / priorité aux activités professionnelles observables et aux items à plus faible risque.</t>
        </is>
      </c>
      <c r="AN72" s="4" t="inlineStr">
        <is>
          <t>PIP-BANK-0.3</t>
        </is>
      </c>
      <c r="AO72" s="6" t="inlineStr">
        <is>
          <t>PIP-BANK-0.3</t>
        </is>
      </c>
      <c r="AP72" s="8">
        <f>IF(OR(C72="PILOTE",C72="ACTIF"),IF(AND(A72&lt;&gt;"",H72&lt;&gt;"",I72&lt;&gt;"",K72&lt;&gt;"",V72&lt;&gt;"",W72&lt;&gt;""),"OK","A_COMPLETER"),"OK_STRUCTURE")</f>
        <v/>
      </c>
    </row>
    <row r="73" ht="72" customHeight="1" s="34">
      <c r="A73" s="4" t="inlineStr">
        <is>
          <t>PIP-ACT-S-S3-009</t>
        </is>
      </c>
      <c r="B73" s="4" t="inlineStr">
        <is>
          <t>0.2</t>
        </is>
      </c>
      <c r="C73" s="4" t="inlineStr">
        <is>
          <t>PILOTE</t>
        </is>
      </c>
      <c r="D73" s="4" t="inlineStr">
        <is>
          <t>08/09/2026</t>
        </is>
      </c>
      <c r="E73" s="4" t="inlineStr">
        <is>
          <t>08/09/2026</t>
        </is>
      </c>
      <c r="F73" s="4" t="inlineStr">
        <is>
          <t>ACT</t>
        </is>
      </c>
      <c r="G73" s="4" t="inlineStr">
        <is>
          <t>Verbe d’action + objet/contexte</t>
        </is>
      </c>
      <c r="H73" s="4" t="inlineStr">
        <is>
          <t>S</t>
        </is>
      </c>
      <c r="I73" s="4" t="inlineStr">
        <is>
          <t>S3</t>
        </is>
      </c>
      <c r="J73" s="6" t="inlineStr">
        <is>
          <t>E,I</t>
        </is>
      </c>
      <c r="K73" s="6" t="inlineStr">
        <is>
          <t>Écouter la situation d’une personne puis l’aider à identifier les options qui s’offrent à elle.</t>
        </is>
      </c>
      <c r="L73" s="4" t="inlineStr">
        <is>
          <t>Cela ne m’attire pas du tout</t>
        </is>
      </c>
      <c r="M73" s="4" t="inlineStr">
        <is>
          <t>Cela m’attire peu</t>
        </is>
      </c>
      <c r="N73" s="4" t="inlineStr">
        <is>
          <t>Je suis partagé(e) / sans préférence marquée</t>
        </is>
      </c>
      <c r="O73" s="4" t="inlineStr">
        <is>
          <t>Cela m’attire</t>
        </is>
      </c>
      <c r="P73" s="4" t="inlineStr">
        <is>
          <t>Cela m’attire beaucoup</t>
        </is>
      </c>
      <c r="Q73" s="4" t="n">
        <v>1</v>
      </c>
      <c r="R73" s="4" t="n">
        <v>2</v>
      </c>
      <c r="S73" s="4" t="n">
        <v>3</v>
      </c>
      <c r="T73" s="4" t="n">
        <v>4</v>
      </c>
      <c r="U73" s="4" t="n">
        <v>5</v>
      </c>
      <c r="V73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3" s="6" t="inlineStr">
        <is>
          <t>L’item relève de S3 — Conseiller / guider / orienter : Aider une personne à comprendre ses options ou avancer dans une décision.</t>
        </is>
      </c>
      <c r="X73" s="6" t="inlineStr">
        <is>
          <t>Revue méthodologique V0.3 : surveiller désirabilité sociale, frontière avec I, stéréotypes de genre historiques liés au soin/service au pilote.</t>
        </is>
      </c>
      <c r="Y73" s="6" t="inlineStr">
        <is>
          <t>MOYEN</t>
        </is>
      </c>
      <c r="Z73" s="6" t="inlineStr">
        <is>
          <t>FAIBLE</t>
        </is>
      </c>
      <c r="AA73" s="6" t="inlineStr">
        <is>
          <t>FAIBLE</t>
        </is>
      </c>
      <c r="AB73" s="6" t="inlineStr">
        <is>
          <t>FAIBLE</t>
        </is>
      </c>
      <c r="AC73" s="6" t="inlineStr">
        <is>
          <t>FAIBLE</t>
        </is>
      </c>
      <c r="AD73" s="6" t="inlineStr">
        <is>
          <t>FAIBLE</t>
        </is>
      </c>
      <c r="AE73" s="6" t="inlineStr">
        <is>
          <t>FAIBLE</t>
        </is>
      </c>
      <c r="AF73" s="6" t="inlineStr">
        <is>
          <t>FAIBLE</t>
        </is>
      </c>
      <c r="AG73" s="6" t="inlineStr">
        <is>
          <t>FAIBLE</t>
        </is>
      </c>
      <c r="AH73" s="6" t="inlineStr">
        <is>
          <t>MOYEN</t>
        </is>
      </c>
      <c r="AI73" s="6" t="inlineStr">
        <is>
          <t>MOYEN</t>
        </is>
      </c>
      <c r="AJ73" s="4" t="n">
        <v>0</v>
      </c>
      <c r="AK73" s="4" t="n"/>
      <c r="AL73" s="6" t="inlineStr">
        <is>
          <t>RETENU_V0.5_REECRIT_CONCRET</t>
        </is>
      </c>
      <c r="AM73" s="6" t="n"/>
      <c r="AN73" s="4" t="inlineStr">
        <is>
          <t>PIP-BANK-0.3</t>
        </is>
      </c>
      <c r="AO73" s="6" t="inlineStr">
        <is>
          <t>PIP-BANK-0.4</t>
        </is>
      </c>
      <c r="AP73" s="8">
        <f>IF(OR(C73="PILOTE",C73="ACTIF"),IF(AND(A73&lt;&gt;"",H73&lt;&gt;"",I73&lt;&gt;"",K73&lt;&gt;"",V73&lt;&gt;"",W73&lt;&gt;""),"OK","A_COMPLETER"),"OK_STRUCTURE")</f>
        <v/>
      </c>
    </row>
    <row r="74" ht="72" customHeight="1" s="34">
      <c r="A74" s="4" t="inlineStr">
        <is>
          <t>PIP-ACT-S-S3-010</t>
        </is>
      </c>
      <c r="B74" s="4" t="inlineStr">
        <is>
          <t>0.2</t>
        </is>
      </c>
      <c r="C74" s="4" t="inlineStr">
        <is>
          <t>PILOTE</t>
        </is>
      </c>
      <c r="D74" s="4" t="inlineStr">
        <is>
          <t>08/09/2026</t>
        </is>
      </c>
      <c r="E74" s="4" t="inlineStr">
        <is>
          <t>08/09/2026</t>
        </is>
      </c>
      <c r="F74" s="4" t="inlineStr">
        <is>
          <t>ACT</t>
        </is>
      </c>
      <c r="G74" s="4" t="inlineStr">
        <is>
          <t>Verbe d’action + objet/contexte</t>
        </is>
      </c>
      <c r="H74" s="4" t="inlineStr">
        <is>
          <t>S</t>
        </is>
      </c>
      <c r="I74" s="4" t="inlineStr">
        <is>
          <t>S3</t>
        </is>
      </c>
      <c r="J74" s="6" t="inlineStr">
        <is>
          <t>E,I</t>
        </is>
      </c>
      <c r="K74" s="6" t="inlineStr">
        <is>
          <t>Donner des informations utiles pour aider quelqu’un à faire un choix.</t>
        </is>
      </c>
      <c r="L74" s="4" t="inlineStr">
        <is>
          <t>Cela ne m’attire pas du tout</t>
        </is>
      </c>
      <c r="M74" s="4" t="inlineStr">
        <is>
          <t>Cela m’attire peu</t>
        </is>
      </c>
      <c r="N74" s="4" t="inlineStr">
        <is>
          <t>Je suis partagé(e) / sans préférence marquée</t>
        </is>
      </c>
      <c r="O74" s="4" t="inlineStr">
        <is>
          <t>Cela m’attire</t>
        </is>
      </c>
      <c r="P74" s="4" t="inlineStr">
        <is>
          <t>Cela m’attire beaucoup</t>
        </is>
      </c>
      <c r="Q74" s="4" t="n">
        <v>1</v>
      </c>
      <c r="R74" s="4" t="n">
        <v>2</v>
      </c>
      <c r="S74" s="4" t="n">
        <v>3</v>
      </c>
      <c r="T74" s="4" t="n">
        <v>4</v>
      </c>
      <c r="U74" s="4" t="n">
        <v>5</v>
      </c>
      <c r="V74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4" s="6" t="inlineStr">
        <is>
          <t>L’item relève de S3 — Conseiller / guider / orienter : Aider une personne à comprendre ses options ou avancer dans une décision.</t>
        </is>
      </c>
      <c r="X74" s="6" t="inlineStr">
        <is>
          <t>Revue méthodologique V0.3 : surveiller désirabilité sociale, stéréotypes de genre historiques liés au soin/service au pilote.</t>
        </is>
      </c>
      <c r="Y74" s="6" t="inlineStr">
        <is>
          <t>MOYEN</t>
        </is>
      </c>
      <c r="Z74" s="6" t="inlineStr">
        <is>
          <t>FAIBLE</t>
        </is>
      </c>
      <c r="AA74" s="6" t="inlineStr">
        <is>
          <t>FAIBLE</t>
        </is>
      </c>
      <c r="AB74" s="6" t="inlineStr">
        <is>
          <t>FAIBLE</t>
        </is>
      </c>
      <c r="AC74" s="6" t="inlineStr">
        <is>
          <t>FAIBLE</t>
        </is>
      </c>
      <c r="AD74" s="6" t="inlineStr">
        <is>
          <t>FAIBLE</t>
        </is>
      </c>
      <c r="AE74" s="6" t="inlineStr">
        <is>
          <t>FAIBLE</t>
        </is>
      </c>
      <c r="AF74" s="6" t="inlineStr">
        <is>
          <t>FAIBLE</t>
        </is>
      </c>
      <c r="AG74" s="6" t="inlineStr">
        <is>
          <t>FAIBLE</t>
        </is>
      </c>
      <c r="AH74" s="6" t="inlineStr">
        <is>
          <t>MOYEN</t>
        </is>
      </c>
      <c r="AI74" s="6" t="inlineStr">
        <is>
          <t>FAIBLE</t>
        </is>
      </c>
      <c r="AJ74" s="4" t="n">
        <v>0</v>
      </c>
      <c r="AK74" s="4" t="n"/>
      <c r="AL74" s="6" t="inlineStr">
        <is>
          <t>RETENU_V0.5_REECRIT_CONCRET</t>
        </is>
      </c>
      <c r="AM74" s="6" t="n"/>
      <c r="AN74" s="4" t="inlineStr">
        <is>
          <t>PIP-BANK-0.3</t>
        </is>
      </c>
      <c r="AO74" s="6" t="inlineStr">
        <is>
          <t>PIP-BANK-0.4</t>
        </is>
      </c>
      <c r="AP74" s="8">
        <f>IF(OR(C74="PILOTE",C74="ACTIF"),IF(AND(A74&lt;&gt;"",H74&lt;&gt;"",I74&lt;&gt;"",K74&lt;&gt;"",V74&lt;&gt;"",W74&lt;&gt;""),"OK","A_COMPLETER"),"OK_STRUCTURE")</f>
        <v/>
      </c>
    </row>
    <row r="75" ht="72" customHeight="1" s="34">
      <c r="A75" s="4" t="inlineStr">
        <is>
          <t>PIP-SIT-S-S3-011</t>
        </is>
      </c>
      <c r="B75" s="4" t="inlineStr">
        <is>
          <t>0.2</t>
        </is>
      </c>
      <c r="C75" s="4" t="inlineStr">
        <is>
          <t>PILOTE</t>
        </is>
      </c>
      <c r="D75" s="4" t="inlineStr">
        <is>
          <t>08/09/2026</t>
        </is>
      </c>
      <c r="E75" s="4" t="inlineStr">
        <is>
          <t>08/09/2026</t>
        </is>
      </c>
      <c r="F75" s="4" t="inlineStr">
        <is>
          <t>SIT</t>
        </is>
      </c>
      <c r="G75" s="4" t="inlineStr">
        <is>
          <t>Situation courte avec enjeu central</t>
        </is>
      </c>
      <c r="H75" s="4" t="inlineStr">
        <is>
          <t>S</t>
        </is>
      </c>
      <c r="I75" s="4" t="inlineStr">
        <is>
          <t>S3</t>
        </is>
      </c>
      <c r="J75" s="6" t="inlineStr">
        <is>
          <t>E,I</t>
        </is>
      </c>
      <c r="K75" s="6" t="inlineStr">
        <is>
          <t>Aider une personne indécise à clarifier ce qui lui conviendrait le mieux sans décider à sa place.</t>
        </is>
      </c>
      <c r="L75" s="4" t="inlineStr">
        <is>
          <t>Cela ne m’attire pas du tout</t>
        </is>
      </c>
      <c r="M75" s="4" t="inlineStr">
        <is>
          <t>Cela m’attire peu</t>
        </is>
      </c>
      <c r="N75" s="4" t="inlineStr">
        <is>
          <t>Je suis partagé(e) / sans préférence marquée</t>
        </is>
      </c>
      <c r="O75" s="4" t="inlineStr">
        <is>
          <t>Cela m’attire</t>
        </is>
      </c>
      <c r="P75" s="4" t="inlineStr">
        <is>
          <t>Cela m’attire beaucoup</t>
        </is>
      </c>
      <c r="Q75" s="4" t="n">
        <v>1</v>
      </c>
      <c r="R75" s="4" t="n">
        <v>2</v>
      </c>
      <c r="S75" s="4" t="n">
        <v>3</v>
      </c>
      <c r="T75" s="4" t="n">
        <v>4</v>
      </c>
      <c r="U75" s="4" t="n">
        <v>5</v>
      </c>
      <c r="V75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5" s="6" t="inlineStr">
        <is>
          <t>L’item relève de S3 — Conseiller / guider / orienter : Aider une personne à comprendre ses options ou avancer dans une décision.</t>
        </is>
      </c>
      <c r="X75" s="6" t="inlineStr">
        <is>
          <t>Revue méthodologique V0.3 : surveiller désirabilité sociale, frontière avec E, stéréotypes de genre historiques liés au soin/service au pilote.</t>
        </is>
      </c>
      <c r="Y75" s="6" t="inlineStr">
        <is>
          <t>MOYEN</t>
        </is>
      </c>
      <c r="Z75" s="6" t="inlineStr">
        <is>
          <t>FAIBLE</t>
        </is>
      </c>
      <c r="AA75" s="6" t="inlineStr">
        <is>
          <t>FAIBLE</t>
        </is>
      </c>
      <c r="AB75" s="6" t="inlineStr">
        <is>
          <t>FAIBLE</t>
        </is>
      </c>
      <c r="AC75" s="6" t="inlineStr">
        <is>
          <t>FAIBLE</t>
        </is>
      </c>
      <c r="AD75" s="6" t="inlineStr">
        <is>
          <t>FAIBLE</t>
        </is>
      </c>
      <c r="AE75" s="6" t="inlineStr">
        <is>
          <t>FAIBLE</t>
        </is>
      </c>
      <c r="AF75" s="6" t="inlineStr">
        <is>
          <t>FAIBLE</t>
        </is>
      </c>
      <c r="AG75" s="6" t="inlineStr">
        <is>
          <t>FAIBLE</t>
        </is>
      </c>
      <c r="AH75" s="6" t="inlineStr">
        <is>
          <t>MOYEN</t>
        </is>
      </c>
      <c r="AI75" s="6" t="inlineStr">
        <is>
          <t>MOYEN</t>
        </is>
      </c>
      <c r="AJ75" s="4" t="n">
        <v>0</v>
      </c>
      <c r="AK75" s="4" t="n"/>
      <c r="AL75" s="6" t="inlineStr">
        <is>
          <t>RETIRE_BANQUE72_HISTORIQUE_CONSERVE</t>
        </is>
      </c>
      <c r="AM75" s="6" t="inlineStr">
        <is>
          <t>Réduction méthodologique 120→72 : doublon de facette / priorité aux activités professionnelles observables et aux items à plus faible risque.</t>
        </is>
      </c>
      <c r="AN75" s="4" t="inlineStr">
        <is>
          <t>PIP-BANK-0.3</t>
        </is>
      </c>
      <c r="AO75" s="6" t="inlineStr">
        <is>
          <t>PIP-BANK-0.3</t>
        </is>
      </c>
      <c r="AP75" s="8">
        <f>IF(OR(C75="PILOTE",C75="ACTIF"),IF(AND(A75&lt;&gt;"",H75&lt;&gt;"",I75&lt;&gt;"",K75&lt;&gt;"",V75&lt;&gt;"",W75&lt;&gt;""),"OK","A_COMPLETER"),"OK_STRUCTURE")</f>
        <v/>
      </c>
    </row>
    <row r="76" ht="72" customHeight="1" s="34">
      <c r="A76" s="4" t="inlineStr">
        <is>
          <t>PIP-ENV-S-S3-012</t>
        </is>
      </c>
      <c r="B76" s="4" t="inlineStr">
        <is>
          <t>0.2</t>
        </is>
      </c>
      <c r="C76" s="4" t="inlineStr">
        <is>
          <t>PILOTE</t>
        </is>
      </c>
      <c r="D76" s="4" t="inlineStr">
        <is>
          <t>08/09/2026</t>
        </is>
      </c>
      <c r="E76" s="4" t="inlineStr">
        <is>
          <t>08/09/2026</t>
        </is>
      </c>
      <c r="F76" s="4" t="inlineStr">
        <is>
          <t>ENV</t>
        </is>
      </c>
      <c r="G76" s="4" t="inlineStr">
        <is>
          <t>Contexte décrit par ce qu’il permet de faire</t>
        </is>
      </c>
      <c r="H76" s="4" t="inlineStr">
        <is>
          <t>S</t>
        </is>
      </c>
      <c r="I76" s="4" t="inlineStr">
        <is>
          <t>S3</t>
        </is>
      </c>
      <c r="J76" s="6" t="inlineStr">
        <is>
          <t>E,I</t>
        </is>
      </c>
      <c r="K76" s="6" t="inlineStr">
        <is>
          <t>Travailler dans un contexte où l’on conseille et oriente régulièrement des personnes en fonction de leur situation.</t>
        </is>
      </c>
      <c r="L76" s="4" t="inlineStr">
        <is>
          <t>Cela ne m’attire pas du tout</t>
        </is>
      </c>
      <c r="M76" s="4" t="inlineStr">
        <is>
          <t>Cela m’attire peu</t>
        </is>
      </c>
      <c r="N76" s="4" t="inlineStr">
        <is>
          <t>Je suis partagé(e) / sans préférence marquée</t>
        </is>
      </c>
      <c r="O76" s="4" t="inlineStr">
        <is>
          <t>Cela m’attire</t>
        </is>
      </c>
      <c r="P76" s="4" t="inlineStr">
        <is>
          <t>Cela m’attire beaucoup</t>
        </is>
      </c>
      <c r="Q76" s="4" t="n">
        <v>1</v>
      </c>
      <c r="R76" s="4" t="n">
        <v>2</v>
      </c>
      <c r="S76" s="4" t="n">
        <v>3</v>
      </c>
      <c r="T76" s="4" t="n">
        <v>4</v>
      </c>
      <c r="U76" s="4" t="n">
        <v>5</v>
      </c>
      <c r="V76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6" s="6" t="inlineStr">
        <is>
          <t>L’item relève de S3 — Conseiller / guider / orienter : Aider une personne à comprendre ses options ou avancer dans une décision.</t>
        </is>
      </c>
      <c r="X76" s="6" t="inlineStr">
        <is>
          <t>Revue méthodologique V0.3 : surveiller désirabilité sociale, stéréotypes de genre historiques liés au soin/service au pilote.</t>
        </is>
      </c>
      <c r="Y76" s="6" t="inlineStr">
        <is>
          <t>MOYEN</t>
        </is>
      </c>
      <c r="Z76" s="6" t="inlineStr">
        <is>
          <t>FAIBLE</t>
        </is>
      </c>
      <c r="AA76" s="6" t="inlineStr">
        <is>
          <t>FAIBLE</t>
        </is>
      </c>
      <c r="AB76" s="6" t="inlineStr">
        <is>
          <t>FAIBLE</t>
        </is>
      </c>
      <c r="AC76" s="6" t="inlineStr">
        <is>
          <t>FAIBLE</t>
        </is>
      </c>
      <c r="AD76" s="6" t="inlineStr">
        <is>
          <t>FAIBLE</t>
        </is>
      </c>
      <c r="AE76" s="6" t="inlineStr">
        <is>
          <t>FAIBLE</t>
        </is>
      </c>
      <c r="AF76" s="6" t="inlineStr">
        <is>
          <t>FAIBLE</t>
        </is>
      </c>
      <c r="AG76" s="6" t="inlineStr">
        <is>
          <t>FAIBLE</t>
        </is>
      </c>
      <c r="AH76" s="6" t="inlineStr">
        <is>
          <t>MOYEN</t>
        </is>
      </c>
      <c r="AI76" s="6" t="inlineStr">
        <is>
          <t>FAIBLE</t>
        </is>
      </c>
      <c r="AJ76" s="4" t="n">
        <v>0</v>
      </c>
      <c r="AK76" s="4" t="n"/>
      <c r="AL76" s="6" t="inlineStr">
        <is>
          <t>RETIRE_BANQUE72_HISTORIQUE_CONSERVE</t>
        </is>
      </c>
      <c r="AM76" s="6" t="inlineStr">
        <is>
          <t>Réduction méthodologique 120→72 : doublon de facette / priorité aux activités professionnelles observables et aux items à plus faible risque.</t>
        </is>
      </c>
      <c r="AN76" s="4" t="inlineStr">
        <is>
          <t>PIP-BANK-0.3</t>
        </is>
      </c>
      <c r="AO76" s="6" t="inlineStr">
        <is>
          <t>PIP-BANK-0.3</t>
        </is>
      </c>
      <c r="AP76" s="8">
        <f>IF(OR(C76="PILOTE",C76="ACTIF"),IF(AND(A76&lt;&gt;"",H76&lt;&gt;"",I76&lt;&gt;"",K76&lt;&gt;"",V76&lt;&gt;"",W76&lt;&gt;""),"OK","A_COMPLETER"),"OK_STRUCTURE")</f>
        <v/>
      </c>
    </row>
    <row r="77" ht="72" customHeight="1" s="34">
      <c r="A77" s="4" t="inlineStr">
        <is>
          <t>PIP-ACT-S-S4-013</t>
        </is>
      </c>
      <c r="B77" s="4" t="inlineStr">
        <is>
          <t>0.2</t>
        </is>
      </c>
      <c r="C77" s="4" t="inlineStr">
        <is>
          <t>PILOTE</t>
        </is>
      </c>
      <c r="D77" s="4" t="inlineStr">
        <is>
          <t>08/09/2026</t>
        </is>
      </c>
      <c r="E77" s="4" t="inlineStr">
        <is>
          <t>08/09/2026</t>
        </is>
      </c>
      <c r="F77" s="4" t="inlineStr">
        <is>
          <t>ACT</t>
        </is>
      </c>
      <c r="G77" s="4" t="inlineStr">
        <is>
          <t>Verbe d’action + objet/contexte</t>
        </is>
      </c>
      <c r="H77" s="4" t="inlineStr">
        <is>
          <t>S</t>
        </is>
      </c>
      <c r="I77" s="4" t="inlineStr">
        <is>
          <t>S4</t>
        </is>
      </c>
      <c r="J77" s="6" t="inlineStr">
        <is>
          <t>R,I</t>
        </is>
      </c>
      <c r="K77" s="6" t="inlineStr">
        <is>
          <t>Prendre soin d’une personne qui a besoin d’aide pour préserver ou retrouver son bien-être.</t>
        </is>
      </c>
      <c r="L77" s="4" t="inlineStr">
        <is>
          <t>Cela ne m’attire pas du tout</t>
        </is>
      </c>
      <c r="M77" s="4" t="inlineStr">
        <is>
          <t>Cela m’attire peu</t>
        </is>
      </c>
      <c r="N77" s="4" t="inlineStr">
        <is>
          <t>Je suis partagé(e) / sans préférence marquée</t>
        </is>
      </c>
      <c r="O77" s="4" t="inlineStr">
        <is>
          <t>Cela m’attire</t>
        </is>
      </c>
      <c r="P77" s="4" t="inlineStr">
        <is>
          <t>Cela m’attire beaucoup</t>
        </is>
      </c>
      <c r="Q77" s="4" t="n">
        <v>1</v>
      </c>
      <c r="R77" s="4" t="n">
        <v>2</v>
      </c>
      <c r="S77" s="4" t="n">
        <v>3</v>
      </c>
      <c r="T77" s="4" t="n">
        <v>4</v>
      </c>
      <c r="U77" s="4" t="n">
        <v>5</v>
      </c>
      <c r="V77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7" s="6" t="inlineStr">
        <is>
          <t>L’item relève de S4 — Soigner / prendre soin : Contribuer directement à la santé, au bien-être, à la sécurité ou au rétablissement d’une personne.</t>
        </is>
      </c>
      <c r="X77" s="6" t="inlineStr">
        <is>
          <t>Revue méthodologique V0.3 : surveiller projection en cas de limitation physique ou sensorielle, désirabilité sociale, stéréotypes de genre historiques liés au soin/service au pilote.</t>
        </is>
      </c>
      <c r="Y77" s="6" t="inlineStr">
        <is>
          <t>MOYEN</t>
        </is>
      </c>
      <c r="Z77" s="6" t="inlineStr">
        <is>
          <t>FAIBLE</t>
        </is>
      </c>
      <c r="AA77" s="6" t="inlineStr">
        <is>
          <t>FAIBLE</t>
        </is>
      </c>
      <c r="AB77" s="6" t="inlineStr">
        <is>
          <t>FAIBLE</t>
        </is>
      </c>
      <c r="AC77" s="6" t="inlineStr">
        <is>
          <t>FAIBLE</t>
        </is>
      </c>
      <c r="AD77" s="6" t="inlineStr">
        <is>
          <t>MOYEN</t>
        </is>
      </c>
      <c r="AE77" s="6" t="inlineStr">
        <is>
          <t>FAIBLE</t>
        </is>
      </c>
      <c r="AF77" s="6" t="inlineStr">
        <is>
          <t>FAIBLE</t>
        </is>
      </c>
      <c r="AG77" s="6" t="inlineStr">
        <is>
          <t>FAIBLE</t>
        </is>
      </c>
      <c r="AH77" s="6" t="inlineStr">
        <is>
          <t>MOYEN</t>
        </is>
      </c>
      <c r="AI77" s="6" t="inlineStr">
        <is>
          <t>FAIBLE</t>
        </is>
      </c>
      <c r="AJ77" s="4" t="n">
        <v>0</v>
      </c>
      <c r="AK77" s="4" t="n"/>
      <c r="AL77" s="6" t="inlineStr">
        <is>
          <t>RETENU_V0.5_REECRIT_CONCRET</t>
        </is>
      </c>
      <c r="AM77" s="6" t="n"/>
      <c r="AN77" s="4" t="inlineStr">
        <is>
          <t>PIP-BANK-0.3</t>
        </is>
      </c>
      <c r="AO77" s="6" t="inlineStr">
        <is>
          <t>PIP-BANK-0.4</t>
        </is>
      </c>
      <c r="AP77" s="8">
        <f>IF(OR(C77="PILOTE",C77="ACTIF"),IF(AND(A77&lt;&gt;"",H77&lt;&gt;"",I77&lt;&gt;"",K77&lt;&gt;"",V77&lt;&gt;"",W77&lt;&gt;""),"OK","A_COMPLETER"),"OK_STRUCTURE")</f>
        <v/>
      </c>
    </row>
    <row r="78" ht="72" customHeight="1" s="34">
      <c r="A78" s="4" t="inlineStr">
        <is>
          <t>PIP-ACT-S-S4-014</t>
        </is>
      </c>
      <c r="B78" s="4" t="inlineStr">
        <is>
          <t>0.2</t>
        </is>
      </c>
      <c r="C78" s="4" t="inlineStr">
        <is>
          <t>PILOTE</t>
        </is>
      </c>
      <c r="D78" s="4" t="inlineStr">
        <is>
          <t>08/09/2026</t>
        </is>
      </c>
      <c r="E78" s="4" t="inlineStr">
        <is>
          <t>08/09/2026</t>
        </is>
      </c>
      <c r="F78" s="4" t="inlineStr">
        <is>
          <t>ACT</t>
        </is>
      </c>
      <c r="G78" s="4" t="inlineStr">
        <is>
          <t>Verbe d’action + objet/contexte</t>
        </is>
      </c>
      <c r="H78" s="4" t="inlineStr">
        <is>
          <t>S</t>
        </is>
      </c>
      <c r="I78" s="4" t="inlineStr">
        <is>
          <t>S4</t>
        </is>
      </c>
      <c r="J78" s="6" t="inlineStr">
        <is>
          <t>R,I</t>
        </is>
      </c>
      <c r="K78" s="6" t="inlineStr">
        <is>
          <t>Réaliser des gestes d’assistance destinés à protéger la santé ou la sécurité d’une personne.</t>
        </is>
      </c>
      <c r="L78" s="4" t="inlineStr">
        <is>
          <t>Cela ne m’attire pas du tout</t>
        </is>
      </c>
      <c r="M78" s="4" t="inlineStr">
        <is>
          <t>Cela m’attire peu</t>
        </is>
      </c>
      <c r="N78" s="4" t="inlineStr">
        <is>
          <t>Je suis partagé(e) / sans préférence marquée</t>
        </is>
      </c>
      <c r="O78" s="4" t="inlineStr">
        <is>
          <t>Cela m’attire</t>
        </is>
      </c>
      <c r="P78" s="4" t="inlineStr">
        <is>
          <t>Cela m’attire beaucoup</t>
        </is>
      </c>
      <c r="Q78" s="4" t="n">
        <v>1</v>
      </c>
      <c r="R78" s="4" t="n">
        <v>2</v>
      </c>
      <c r="S78" s="4" t="n">
        <v>3</v>
      </c>
      <c r="T78" s="4" t="n">
        <v>4</v>
      </c>
      <c r="U78" s="4" t="n">
        <v>5</v>
      </c>
      <c r="V78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8" s="6" t="inlineStr">
        <is>
          <t>L’item relève de S4 — Soigner / prendre soin : Contribuer directement à la santé, au bien-être, à la sécurité ou au rétablissement d’une personne.</t>
        </is>
      </c>
      <c r="X78" s="6" t="inlineStr">
        <is>
          <t>Revue méthodologique V0.3 : surveiller projection en cas de limitation physique ou sensorielle, familiarité avec le contexte professionnel, désirabilité sociale, stéréotypes de genre historiques liés au soin/service au pilote.</t>
        </is>
      </c>
      <c r="Y78" s="6" t="inlineStr">
        <is>
          <t>MOYEN</t>
        </is>
      </c>
      <c r="Z78" s="6" t="inlineStr">
        <is>
          <t>FAIBLE</t>
        </is>
      </c>
      <c r="AA78" s="6" t="inlineStr">
        <is>
          <t>FAIBLE</t>
        </is>
      </c>
      <c r="AB78" s="6" t="inlineStr">
        <is>
          <t>FAIBLE</t>
        </is>
      </c>
      <c r="AC78" s="6" t="inlineStr">
        <is>
          <t>FAIBLE</t>
        </is>
      </c>
      <c r="AD78" s="6" t="inlineStr">
        <is>
          <t>MOYEN</t>
        </is>
      </c>
      <c r="AE78" s="6" t="inlineStr">
        <is>
          <t>FAIBLE</t>
        </is>
      </c>
      <c r="AF78" s="6" t="inlineStr">
        <is>
          <t>FAIBLE</t>
        </is>
      </c>
      <c r="AG78" s="6" t="inlineStr">
        <is>
          <t>MOYEN</t>
        </is>
      </c>
      <c r="AH78" s="6" t="inlineStr">
        <is>
          <t>MOYEN</t>
        </is>
      </c>
      <c r="AI78" s="6" t="inlineStr">
        <is>
          <t>FAIBLE</t>
        </is>
      </c>
      <c r="AJ78" s="4" t="n">
        <v>0</v>
      </c>
      <c r="AK78" s="4" t="n"/>
      <c r="AL78" s="6" t="inlineStr">
        <is>
          <t>RETENU_V0.5_REECRIT_CONCRET</t>
        </is>
      </c>
      <c r="AM78" s="6" t="n"/>
      <c r="AN78" s="4" t="inlineStr">
        <is>
          <t>PIP-BANK-0.3</t>
        </is>
      </c>
      <c r="AO78" s="6" t="inlineStr">
        <is>
          <t>PIP-BANK-0.4</t>
        </is>
      </c>
      <c r="AP78" s="8">
        <f>IF(OR(C78="PILOTE",C78="ACTIF"),IF(AND(A78&lt;&gt;"",H78&lt;&gt;"",I78&lt;&gt;"",K78&lt;&gt;"",V78&lt;&gt;"",W78&lt;&gt;""),"OK","A_COMPLETER"),"OK_STRUCTURE")</f>
        <v/>
      </c>
    </row>
    <row r="79" ht="72" customHeight="1" s="34">
      <c r="A79" s="4" t="inlineStr">
        <is>
          <t>PIP-SIT-S-S4-015</t>
        </is>
      </c>
      <c r="B79" s="4" t="inlineStr">
        <is>
          <t>0.2</t>
        </is>
      </c>
      <c r="C79" s="4" t="inlineStr">
        <is>
          <t>PILOTE</t>
        </is>
      </c>
      <c r="D79" s="4" t="inlineStr">
        <is>
          <t>08/09/2026</t>
        </is>
      </c>
      <c r="E79" s="4" t="inlineStr">
        <is>
          <t>08/09/2026</t>
        </is>
      </c>
      <c r="F79" s="4" t="inlineStr">
        <is>
          <t>SIT</t>
        </is>
      </c>
      <c r="G79" s="4" t="inlineStr">
        <is>
          <t>Situation courte avec enjeu central</t>
        </is>
      </c>
      <c r="H79" s="4" t="inlineStr">
        <is>
          <t>S</t>
        </is>
      </c>
      <c r="I79" s="4" t="inlineStr">
        <is>
          <t>S4</t>
        </is>
      </c>
      <c r="J79" s="6" t="inlineStr">
        <is>
          <t>R,I</t>
        </is>
      </c>
      <c r="K79" s="6" t="inlineStr">
        <is>
          <t>Intervenir auprès d’une personne fragilisée afin de l’aider à retrouver davantage d’autonomie.</t>
        </is>
      </c>
      <c r="L79" s="4" t="inlineStr">
        <is>
          <t>Cela ne m’attire pas du tout</t>
        </is>
      </c>
      <c r="M79" s="4" t="inlineStr">
        <is>
          <t>Cela m’attire peu</t>
        </is>
      </c>
      <c r="N79" s="4" t="inlineStr">
        <is>
          <t>Je suis partagé(e) / sans préférence marquée</t>
        </is>
      </c>
      <c r="O79" s="4" t="inlineStr">
        <is>
          <t>Cela m’attire</t>
        </is>
      </c>
      <c r="P79" s="4" t="inlineStr">
        <is>
          <t>Cela m’attire beaucoup</t>
        </is>
      </c>
      <c r="Q79" s="4" t="n">
        <v>1</v>
      </c>
      <c r="R79" s="4" t="n">
        <v>2</v>
      </c>
      <c r="S79" s="4" t="n">
        <v>3</v>
      </c>
      <c r="T79" s="4" t="n">
        <v>4</v>
      </c>
      <c r="U79" s="4" t="n">
        <v>5</v>
      </c>
      <c r="V79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9" s="6" t="inlineStr">
        <is>
          <t>L’item relève de S4 — Soigner / prendre soin : Contribuer directement à la santé, au bien-être, à la sécurité ou au rétablissement d’une personne.</t>
        </is>
      </c>
      <c r="X79" s="6" t="inlineStr">
        <is>
          <t>Revue méthodologique V0.3 : surveiller projection en cas de limitation physique ou sensorielle, désirabilité sociale, stéréotypes de genre historiques liés au soin/service au pilote.</t>
        </is>
      </c>
      <c r="Y79" s="6" t="inlineStr">
        <is>
          <t>MOYEN</t>
        </is>
      </c>
      <c r="Z79" s="6" t="inlineStr">
        <is>
          <t>FAIBLE</t>
        </is>
      </c>
      <c r="AA79" s="6" t="inlineStr">
        <is>
          <t>FAIBLE</t>
        </is>
      </c>
      <c r="AB79" s="6" t="inlineStr">
        <is>
          <t>FAIBLE</t>
        </is>
      </c>
      <c r="AC79" s="6" t="inlineStr">
        <is>
          <t>FAIBLE</t>
        </is>
      </c>
      <c r="AD79" s="6" t="inlineStr">
        <is>
          <t>MOYEN</t>
        </is>
      </c>
      <c r="AE79" s="6" t="inlineStr">
        <is>
          <t>FAIBLE</t>
        </is>
      </c>
      <c r="AF79" s="6" t="inlineStr">
        <is>
          <t>FAIBLE</t>
        </is>
      </c>
      <c r="AG79" s="6" t="inlineStr">
        <is>
          <t>FAIBLE</t>
        </is>
      </c>
      <c r="AH79" s="6" t="inlineStr">
        <is>
          <t>MOYEN</t>
        </is>
      </c>
      <c r="AI79" s="6" t="inlineStr">
        <is>
          <t>FAIBLE</t>
        </is>
      </c>
      <c r="AJ79" s="4" t="n">
        <v>0</v>
      </c>
      <c r="AK79" s="4" t="n"/>
      <c r="AL79" s="6" t="inlineStr">
        <is>
          <t>RETIRE_BANQUE72_HISTORIQUE_CONSERVE</t>
        </is>
      </c>
      <c r="AM79" s="6" t="inlineStr">
        <is>
          <t>Réduction méthodologique 120→72 : doublon de facette / priorité aux activités professionnelles observables et aux items à plus faible risque.</t>
        </is>
      </c>
      <c r="AN79" s="4" t="inlineStr">
        <is>
          <t>PIP-BANK-0.3</t>
        </is>
      </c>
      <c r="AO79" s="6" t="inlineStr">
        <is>
          <t>PIP-BANK-0.3</t>
        </is>
      </c>
      <c r="AP79" s="8">
        <f>IF(OR(C79="PILOTE",C79="ACTIF"),IF(AND(A79&lt;&gt;"",H79&lt;&gt;"",I79&lt;&gt;"",K79&lt;&gt;"",V79&lt;&gt;"",W79&lt;&gt;""),"OK","A_COMPLETER"),"OK_STRUCTURE")</f>
        <v/>
      </c>
    </row>
    <row r="80" ht="72" customHeight="1" s="34">
      <c r="A80" s="4" t="inlineStr">
        <is>
          <t>PIP-ENV-S-S4-016</t>
        </is>
      </c>
      <c r="B80" s="4" t="inlineStr">
        <is>
          <t>0.2</t>
        </is>
      </c>
      <c r="C80" s="4" t="inlineStr">
        <is>
          <t>PILOTE</t>
        </is>
      </c>
      <c r="D80" s="4" t="inlineStr">
        <is>
          <t>08/09/2026</t>
        </is>
      </c>
      <c r="E80" s="4" t="inlineStr">
        <is>
          <t>08/09/2026</t>
        </is>
      </c>
      <c r="F80" s="4" t="inlineStr">
        <is>
          <t>ENV</t>
        </is>
      </c>
      <c r="G80" s="4" t="inlineStr">
        <is>
          <t>Contexte décrit par ce qu’il permet de faire</t>
        </is>
      </c>
      <c r="H80" s="4" t="inlineStr">
        <is>
          <t>S</t>
        </is>
      </c>
      <c r="I80" s="4" t="inlineStr">
        <is>
          <t>S4</t>
        </is>
      </c>
      <c r="J80" s="6" t="inlineStr">
        <is>
          <t>R,I</t>
        </is>
      </c>
      <c r="K80" s="6" t="inlineStr">
        <is>
          <t>Évoluer dans un contexte où l’on contribue directement à la santé, au bien-être ou à la sécurité des personnes.</t>
        </is>
      </c>
      <c r="L80" s="4" t="inlineStr">
        <is>
          <t>Cela ne m’attire pas du tout</t>
        </is>
      </c>
      <c r="M80" s="4" t="inlineStr">
        <is>
          <t>Cela m’attire peu</t>
        </is>
      </c>
      <c r="N80" s="4" t="inlineStr">
        <is>
          <t>Je suis partagé(e) / sans préférence marquée</t>
        </is>
      </c>
      <c r="O80" s="4" t="inlineStr">
        <is>
          <t>Cela m’attire</t>
        </is>
      </c>
      <c r="P80" s="4" t="inlineStr">
        <is>
          <t>Cela m’attire beaucoup</t>
        </is>
      </c>
      <c r="Q80" s="4" t="n">
        <v>1</v>
      </c>
      <c r="R80" s="4" t="n">
        <v>2</v>
      </c>
      <c r="S80" s="4" t="n">
        <v>3</v>
      </c>
      <c r="T80" s="4" t="n">
        <v>4</v>
      </c>
      <c r="U80" s="4" t="n">
        <v>5</v>
      </c>
      <c r="V80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80" s="6" t="inlineStr">
        <is>
          <t>L’item relève de S4 — Soigner / prendre soin : Contribuer directement à la santé, au bien-être, à la sécurité ou au rétablissement d’une personne.</t>
        </is>
      </c>
      <c r="X80" s="6" t="inlineStr">
        <is>
          <t>Revue méthodologique V0.3 : surveiller projection en cas de limitation physique ou sensorielle, familiarité avec le contexte professionnel, désirabilité sociale, stéréotypes de genre historiques liés au soin/service au pilote.</t>
        </is>
      </c>
      <c r="Y80" s="6" t="inlineStr">
        <is>
          <t>MOYEN</t>
        </is>
      </c>
      <c r="Z80" s="6" t="inlineStr">
        <is>
          <t>FAIBLE</t>
        </is>
      </c>
      <c r="AA80" s="6" t="inlineStr">
        <is>
          <t>FAIBLE</t>
        </is>
      </c>
      <c r="AB80" s="6" t="inlineStr">
        <is>
          <t>FAIBLE</t>
        </is>
      </c>
      <c r="AC80" s="6" t="inlineStr">
        <is>
          <t>FAIBLE</t>
        </is>
      </c>
      <c r="AD80" s="6" t="inlineStr">
        <is>
          <t>MOYEN</t>
        </is>
      </c>
      <c r="AE80" s="6" t="inlineStr">
        <is>
          <t>FAIBLE</t>
        </is>
      </c>
      <c r="AF80" s="6" t="inlineStr">
        <is>
          <t>FAIBLE</t>
        </is>
      </c>
      <c r="AG80" s="6" t="inlineStr">
        <is>
          <t>MOYEN</t>
        </is>
      </c>
      <c r="AH80" s="6" t="inlineStr">
        <is>
          <t>MOYEN</t>
        </is>
      </c>
      <c r="AI80" s="6" t="inlineStr">
        <is>
          <t>FAIBLE</t>
        </is>
      </c>
      <c r="AJ80" s="4" t="n">
        <v>0</v>
      </c>
      <c r="AK80" s="4" t="n"/>
      <c r="AL80" s="6" t="inlineStr">
        <is>
          <t>RETIRE_BANQUE72_HISTORIQUE_CONSERVE</t>
        </is>
      </c>
      <c r="AM80" s="6" t="inlineStr">
        <is>
          <t>Réduction méthodologique 120→72 : doublon de facette / priorité aux activités professionnelles observables et aux items à plus faible risque.</t>
        </is>
      </c>
      <c r="AN80" s="4" t="inlineStr">
        <is>
          <t>PIP-BANK-0.3</t>
        </is>
      </c>
      <c r="AO80" s="6" t="inlineStr">
        <is>
          <t>PIP-BANK-0.3</t>
        </is>
      </c>
      <c r="AP80" s="8">
        <f>IF(OR(C80="PILOTE",C80="ACTIF"),IF(AND(A80&lt;&gt;"",H80&lt;&gt;"",I80&lt;&gt;"",K80&lt;&gt;"",V80&lt;&gt;"",W80&lt;&gt;""),"OK","A_COMPLETER"),"OK_STRUCTURE")</f>
        <v/>
      </c>
    </row>
    <row r="81" ht="72" customHeight="1" s="34">
      <c r="A81" s="4" t="inlineStr">
        <is>
          <t>PIP-ACT-S-S5-017</t>
        </is>
      </c>
      <c r="B81" s="4" t="inlineStr">
        <is>
          <t>0.2</t>
        </is>
      </c>
      <c r="C81" s="4" t="inlineStr">
        <is>
          <t>PILOTE</t>
        </is>
      </c>
      <c r="D81" s="4" t="inlineStr">
        <is>
          <t>08/09/2026</t>
        </is>
      </c>
      <c r="E81" s="4" t="inlineStr">
        <is>
          <t>08/09/2026</t>
        </is>
      </c>
      <c r="F81" s="4" t="inlineStr">
        <is>
          <t>ACT</t>
        </is>
      </c>
      <c r="G81" s="4" t="inlineStr">
        <is>
          <t>Verbe d’action + objet/contexte</t>
        </is>
      </c>
      <c r="H81" s="4" t="inlineStr">
        <is>
          <t>S</t>
        </is>
      </c>
      <c r="I81" s="4" t="inlineStr">
        <is>
          <t>S5</t>
        </is>
      </c>
      <c r="J81" s="6" t="inlineStr">
        <is>
          <t>E,C</t>
        </is>
      </c>
      <c r="K81" s="6" t="inlineStr">
        <is>
          <t>Accueillir une personne et l’aider à obtenir le service dont elle a besoin.</t>
        </is>
      </c>
      <c r="L81" s="4" t="inlineStr">
        <is>
          <t>Cela ne m’attire pas du tout</t>
        </is>
      </c>
      <c r="M81" s="4" t="inlineStr">
        <is>
          <t>Cela m’attire peu</t>
        </is>
      </c>
      <c r="N81" s="4" t="inlineStr">
        <is>
          <t>Je suis partagé(e) / sans préférence marquée</t>
        </is>
      </c>
      <c r="O81" s="4" t="inlineStr">
        <is>
          <t>Cela m’attire</t>
        </is>
      </c>
      <c r="P81" s="4" t="inlineStr">
        <is>
          <t>Cela m’attire beaucoup</t>
        </is>
      </c>
      <c r="Q81" s="4" t="n">
        <v>1</v>
      </c>
      <c r="R81" s="4" t="n">
        <v>2</v>
      </c>
      <c r="S81" s="4" t="n">
        <v>3</v>
      </c>
      <c r="T81" s="4" t="n">
        <v>4</v>
      </c>
      <c r="U81" s="4" t="n">
        <v>5</v>
      </c>
      <c r="V81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81" s="6" t="inlineStr">
        <is>
          <t>L’item relève de S5 — Servir / assister directement : Rendre un service concret ou personnalisé répondant à un besoin d’autrui.</t>
        </is>
      </c>
      <c r="X81" s="6" t="inlineStr">
        <is>
          <t>Revue méthodologique V0.3 : surveiller désirabilité sociale, stéréotypes de genre historiques liés au soin/service au pilote.</t>
        </is>
      </c>
      <c r="Y81" s="6" t="inlineStr">
        <is>
          <t>MOYEN</t>
        </is>
      </c>
      <c r="Z81" s="6" t="inlineStr">
        <is>
          <t>FAIBLE</t>
        </is>
      </c>
      <c r="AA81" s="6" t="inlineStr">
        <is>
          <t>FAIBLE</t>
        </is>
      </c>
      <c r="AB81" s="6" t="inlineStr">
        <is>
          <t>FAIBLE</t>
        </is>
      </c>
      <c r="AC81" s="6" t="inlineStr">
        <is>
          <t>FAIBLE</t>
        </is>
      </c>
      <c r="AD81" s="6" t="inlineStr">
        <is>
          <t>FAIBLE</t>
        </is>
      </c>
      <c r="AE81" s="6" t="inlineStr">
        <is>
          <t>FAIBLE</t>
        </is>
      </c>
      <c r="AF81" s="6" t="inlineStr">
        <is>
          <t>FAIBLE</t>
        </is>
      </c>
      <c r="AG81" s="6" t="inlineStr">
        <is>
          <t>FAIBLE</t>
        </is>
      </c>
      <c r="AH81" s="6" t="inlineStr">
        <is>
          <t>MOYEN</t>
        </is>
      </c>
      <c r="AI81" s="6" t="inlineStr">
        <is>
          <t>FAIBLE</t>
        </is>
      </c>
      <c r="AJ81" s="4" t="n">
        <v>0</v>
      </c>
      <c r="AK81" s="4" t="n"/>
      <c r="AL81" s="6" t="inlineStr">
        <is>
          <t>RETENU_V0.5_REECRIT_CONCRET</t>
        </is>
      </c>
      <c r="AM81" s="6" t="n"/>
      <c r="AN81" s="4" t="inlineStr">
        <is>
          <t>PIP-BANK-0.3</t>
        </is>
      </c>
      <c r="AO81" s="6" t="inlineStr">
        <is>
          <t>PIP-BANK-0.4</t>
        </is>
      </c>
      <c r="AP81" s="8">
        <f>IF(OR(C81="PILOTE",C81="ACTIF"),IF(AND(A81&lt;&gt;"",H81&lt;&gt;"",I81&lt;&gt;"",K81&lt;&gt;"",V81&lt;&gt;"",W81&lt;&gt;""),"OK","A_COMPLETER"),"OK_STRUCTURE")</f>
        <v/>
      </c>
    </row>
    <row r="82" ht="72" customHeight="1" s="34">
      <c r="A82" s="4" t="inlineStr">
        <is>
          <t>PIP-ACT-S-S5-018</t>
        </is>
      </c>
      <c r="B82" s="4" t="inlineStr">
        <is>
          <t>0.2</t>
        </is>
      </c>
      <c r="C82" s="4" t="inlineStr">
        <is>
          <t>PILOTE</t>
        </is>
      </c>
      <c r="D82" s="4" t="inlineStr">
        <is>
          <t>08/09/2026</t>
        </is>
      </c>
      <c r="E82" s="4" t="inlineStr">
        <is>
          <t>08/09/2026</t>
        </is>
      </c>
      <c r="F82" s="4" t="inlineStr">
        <is>
          <t>ACT</t>
        </is>
      </c>
      <c r="G82" s="4" t="inlineStr">
        <is>
          <t>Verbe d’action + objet/contexte</t>
        </is>
      </c>
      <c r="H82" s="4" t="inlineStr">
        <is>
          <t>S</t>
        </is>
      </c>
      <c r="I82" s="4" t="inlineStr">
        <is>
          <t>S5</t>
        </is>
      </c>
      <c r="J82" s="6" t="inlineStr">
        <is>
          <t>E,C</t>
        </is>
      </c>
      <c r="K82" s="6" t="inlineStr">
        <is>
          <t>Répondre concrètement à une demande afin de faciliter la démarche d’une personne.</t>
        </is>
      </c>
      <c r="L82" s="4" t="inlineStr">
        <is>
          <t>Cela ne m’attire pas du tout</t>
        </is>
      </c>
      <c r="M82" s="4" t="inlineStr">
        <is>
          <t>Cela m’attire peu</t>
        </is>
      </c>
      <c r="N82" s="4" t="inlineStr">
        <is>
          <t>Je suis partagé(e) / sans préférence marquée</t>
        </is>
      </c>
      <c r="O82" s="4" t="inlineStr">
        <is>
          <t>Cela m’attire</t>
        </is>
      </c>
      <c r="P82" s="4" t="inlineStr">
        <is>
          <t>Cela m’attire beaucoup</t>
        </is>
      </c>
      <c r="Q82" s="4" t="n">
        <v>1</v>
      </c>
      <c r="R82" s="4" t="n">
        <v>2</v>
      </c>
      <c r="S82" s="4" t="n">
        <v>3</v>
      </c>
      <c r="T82" s="4" t="n">
        <v>4</v>
      </c>
      <c r="U82" s="4" t="n">
        <v>5</v>
      </c>
      <c r="V82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82" s="6" t="inlineStr">
        <is>
          <t>L’item relève de S5 — Servir / assister directement : Rendre un service concret ou personnalisé répondant à un besoin d’autrui.</t>
        </is>
      </c>
      <c r="X82" s="6" t="inlineStr">
        <is>
          <t>Revue méthodologique V0.3 : surveiller désirabilité sociale, stéréotypes de genre historiques liés au soin/service au pilote.</t>
        </is>
      </c>
      <c r="Y82" s="6" t="inlineStr">
        <is>
          <t>MOYEN</t>
        </is>
      </c>
      <c r="Z82" s="6" t="inlineStr">
        <is>
          <t>FAIBLE</t>
        </is>
      </c>
      <c r="AA82" s="6" t="inlineStr">
        <is>
          <t>FAIBLE</t>
        </is>
      </c>
      <c r="AB82" s="6" t="inlineStr">
        <is>
          <t>FAIBLE</t>
        </is>
      </c>
      <c r="AC82" s="6" t="inlineStr">
        <is>
          <t>FAIBLE</t>
        </is>
      </c>
      <c r="AD82" s="6" t="inlineStr">
        <is>
          <t>FAIBLE</t>
        </is>
      </c>
      <c r="AE82" s="6" t="inlineStr">
        <is>
          <t>FAIBLE</t>
        </is>
      </c>
      <c r="AF82" s="6" t="inlineStr">
        <is>
          <t>FAIBLE</t>
        </is>
      </c>
      <c r="AG82" s="6" t="inlineStr">
        <is>
          <t>FAIBLE</t>
        </is>
      </c>
      <c r="AH82" s="6" t="inlineStr">
        <is>
          <t>MOYEN</t>
        </is>
      </c>
      <c r="AI82" s="6" t="inlineStr">
        <is>
          <t>FAIBLE</t>
        </is>
      </c>
      <c r="AJ82" s="4" t="n">
        <v>0</v>
      </c>
      <c r="AK82" s="4" t="n"/>
      <c r="AL82" s="6" t="inlineStr">
        <is>
          <t>RETENU_V0.5_REECRIT_CONCRET</t>
        </is>
      </c>
      <c r="AM82" s="6" t="n"/>
      <c r="AN82" s="4" t="inlineStr">
        <is>
          <t>PIP-BANK-0.3</t>
        </is>
      </c>
      <c r="AO82" s="6" t="inlineStr">
        <is>
          <t>PIP-BANK-0.4</t>
        </is>
      </c>
      <c r="AP82" s="8">
        <f>IF(OR(C82="PILOTE",C82="ACTIF"),IF(AND(A82&lt;&gt;"",H82&lt;&gt;"",I82&lt;&gt;"",K82&lt;&gt;"",V82&lt;&gt;"",W82&lt;&gt;""),"OK","A_COMPLETER"),"OK_STRUCTURE")</f>
        <v/>
      </c>
    </row>
    <row r="83" ht="72" customHeight="1" s="34">
      <c r="A83" s="4" t="inlineStr">
        <is>
          <t>PIP-SIT-S-S5-019</t>
        </is>
      </c>
      <c r="B83" s="4" t="inlineStr">
        <is>
          <t>0.2</t>
        </is>
      </c>
      <c r="C83" s="4" t="inlineStr">
        <is>
          <t>PILOTE</t>
        </is>
      </c>
      <c r="D83" s="4" t="inlineStr">
        <is>
          <t>08/09/2026</t>
        </is>
      </c>
      <c r="E83" s="4" t="inlineStr">
        <is>
          <t>08/09/2026</t>
        </is>
      </c>
      <c r="F83" s="4" t="inlineStr">
        <is>
          <t>SIT</t>
        </is>
      </c>
      <c r="G83" s="4" t="inlineStr">
        <is>
          <t>Situation courte avec enjeu central</t>
        </is>
      </c>
      <c r="H83" s="4" t="inlineStr">
        <is>
          <t>S</t>
        </is>
      </c>
      <c r="I83" s="4" t="inlineStr">
        <is>
          <t>S5</t>
        </is>
      </c>
      <c r="J83" s="6" t="inlineStr">
        <is>
          <t>E,C</t>
        </is>
      </c>
      <c r="K83" s="6" t="inlineStr">
        <is>
          <t>Aider un usager ou un client qui ne sait pas comment accomplir une démarche.</t>
        </is>
      </c>
      <c r="L83" s="4" t="inlineStr">
        <is>
          <t>Cela ne m’attire pas du tout</t>
        </is>
      </c>
      <c r="M83" s="4" t="inlineStr">
        <is>
          <t>Cela m’attire peu</t>
        </is>
      </c>
      <c r="N83" s="4" t="inlineStr">
        <is>
          <t>Je suis partagé(e) / sans préférence marquée</t>
        </is>
      </c>
      <c r="O83" s="4" t="inlineStr">
        <is>
          <t>Cela m’attire</t>
        </is>
      </c>
      <c r="P83" s="4" t="inlineStr">
        <is>
          <t>Cela m’attire beaucoup</t>
        </is>
      </c>
      <c r="Q83" s="4" t="n">
        <v>1</v>
      </c>
      <c r="R83" s="4" t="n">
        <v>2</v>
      </c>
      <c r="S83" s="4" t="n">
        <v>3</v>
      </c>
      <c r="T83" s="4" t="n">
        <v>4</v>
      </c>
      <c r="U83" s="4" t="n">
        <v>5</v>
      </c>
      <c r="V83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83" s="6" t="inlineStr">
        <is>
          <t>L’item relève de S5 — Servir / assister directement : Rendre un service concret ou personnalisé répondant à un besoin d’autrui.</t>
        </is>
      </c>
      <c r="X83" s="6" t="inlineStr">
        <is>
          <t>Revue méthodologique V0.3 : surveiller familiarité avec le contexte professionnel, désirabilité sociale, stéréotypes de genre historiques liés au soin/service au pilote.</t>
        </is>
      </c>
      <c r="Y83" s="6" t="inlineStr">
        <is>
          <t>MOYEN</t>
        </is>
      </c>
      <c r="Z83" s="6" t="inlineStr">
        <is>
          <t>FAIBLE</t>
        </is>
      </c>
      <c r="AA83" s="6" t="inlineStr">
        <is>
          <t>FAIBLE</t>
        </is>
      </c>
      <c r="AB83" s="6" t="inlineStr">
        <is>
          <t>FAIBLE</t>
        </is>
      </c>
      <c r="AC83" s="6" t="inlineStr">
        <is>
          <t>FAIBLE</t>
        </is>
      </c>
      <c r="AD83" s="6" t="inlineStr">
        <is>
          <t>FAIBLE</t>
        </is>
      </c>
      <c r="AE83" s="6" t="inlineStr">
        <is>
          <t>FAIBLE</t>
        </is>
      </c>
      <c r="AF83" s="6" t="inlineStr">
        <is>
          <t>FAIBLE</t>
        </is>
      </c>
      <c r="AG83" s="6" t="inlineStr">
        <is>
          <t>MOYEN</t>
        </is>
      </c>
      <c r="AH83" s="6" t="inlineStr">
        <is>
          <t>MOYEN</t>
        </is>
      </c>
      <c r="AI83" s="6" t="inlineStr">
        <is>
          <t>FAIBLE</t>
        </is>
      </c>
      <c r="AJ83" s="4" t="n">
        <v>0</v>
      </c>
      <c r="AK83" s="4" t="n"/>
      <c r="AL83" s="6" t="inlineStr">
        <is>
          <t>RETIRE_BANQUE72_HISTORIQUE_CONSERVE</t>
        </is>
      </c>
      <c r="AM83" s="6" t="inlineStr">
        <is>
          <t>Réduction méthodologique 120→72 : doublon de facette / priorité aux activités professionnelles observables et aux items à plus faible risque.</t>
        </is>
      </c>
      <c r="AN83" s="4" t="inlineStr">
        <is>
          <t>PIP-BANK-0.3</t>
        </is>
      </c>
      <c r="AO83" s="6" t="inlineStr">
        <is>
          <t>PIP-BANK-0.3</t>
        </is>
      </c>
      <c r="AP83" s="8">
        <f>IF(OR(C83="PILOTE",C83="ACTIF"),IF(AND(A83&lt;&gt;"",H83&lt;&gt;"",I83&lt;&gt;"",K83&lt;&gt;"",V83&lt;&gt;"",W83&lt;&gt;""),"OK","A_COMPLETER"),"OK_STRUCTURE")</f>
        <v/>
      </c>
    </row>
    <row r="84" ht="72" customHeight="1" s="34">
      <c r="A84" s="4" t="inlineStr">
        <is>
          <t>PIP-ENV-S-S5-020</t>
        </is>
      </c>
      <c r="B84" s="4" t="inlineStr">
        <is>
          <t>0.2</t>
        </is>
      </c>
      <c r="C84" s="4" t="inlineStr">
        <is>
          <t>PILOTE</t>
        </is>
      </c>
      <c r="D84" s="4" t="inlineStr">
        <is>
          <t>08/09/2026</t>
        </is>
      </c>
      <c r="E84" s="4" t="inlineStr">
        <is>
          <t>08/09/2026</t>
        </is>
      </c>
      <c r="F84" s="4" t="inlineStr">
        <is>
          <t>ENV</t>
        </is>
      </c>
      <c r="G84" s="4" t="inlineStr">
        <is>
          <t>Contexte décrit par ce qu’il permet de faire</t>
        </is>
      </c>
      <c r="H84" s="4" t="inlineStr">
        <is>
          <t>S</t>
        </is>
      </c>
      <c r="I84" s="4" t="inlineStr">
        <is>
          <t>S5</t>
        </is>
      </c>
      <c r="J84" s="6" t="inlineStr">
        <is>
          <t>E,C</t>
        </is>
      </c>
      <c r="K84" s="6" t="inlineStr">
        <is>
          <t>Travailler dans un contexte où l’on rend directement des services utiles à des personnes aux besoins variés.</t>
        </is>
      </c>
      <c r="L84" s="4" t="inlineStr">
        <is>
          <t>Cela ne m’attire pas du tout</t>
        </is>
      </c>
      <c r="M84" s="4" t="inlineStr">
        <is>
          <t>Cela m’attire peu</t>
        </is>
      </c>
      <c r="N84" s="4" t="inlineStr">
        <is>
          <t>Je suis partagé(e) / sans préférence marquée</t>
        </is>
      </c>
      <c r="O84" s="4" t="inlineStr">
        <is>
          <t>Cela m’attire</t>
        </is>
      </c>
      <c r="P84" s="4" t="inlineStr">
        <is>
          <t>Cela m’attire beaucoup</t>
        </is>
      </c>
      <c r="Q84" s="4" t="n">
        <v>1</v>
      </c>
      <c r="R84" s="4" t="n">
        <v>2</v>
      </c>
      <c r="S84" s="4" t="n">
        <v>3</v>
      </c>
      <c r="T84" s="4" t="n">
        <v>4</v>
      </c>
      <c r="U84" s="4" t="n">
        <v>5</v>
      </c>
      <c r="V84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84" s="6" t="inlineStr">
        <is>
          <t>L’item relève de S5 — Servir / assister directement : Rendre un service concret ou personnalisé répondant à un besoin d’autrui.</t>
        </is>
      </c>
      <c r="X84" s="6" t="inlineStr">
        <is>
          <t>Revue méthodologique V0.3 : surveiller désirabilité sociale, stéréotypes de genre historiques liés au soin/service au pilote.</t>
        </is>
      </c>
      <c r="Y84" s="6" t="inlineStr">
        <is>
          <t>MOYEN</t>
        </is>
      </c>
      <c r="Z84" s="6" t="inlineStr">
        <is>
          <t>FAIBLE</t>
        </is>
      </c>
      <c r="AA84" s="6" t="inlineStr">
        <is>
          <t>FAIBLE</t>
        </is>
      </c>
      <c r="AB84" s="6" t="inlineStr">
        <is>
          <t>FAIBLE</t>
        </is>
      </c>
      <c r="AC84" s="6" t="inlineStr">
        <is>
          <t>FAIBLE</t>
        </is>
      </c>
      <c r="AD84" s="6" t="inlineStr">
        <is>
          <t>FAIBLE</t>
        </is>
      </c>
      <c r="AE84" s="6" t="inlineStr">
        <is>
          <t>FAIBLE</t>
        </is>
      </c>
      <c r="AF84" s="6" t="inlineStr">
        <is>
          <t>FAIBLE</t>
        </is>
      </c>
      <c r="AG84" s="6" t="inlineStr">
        <is>
          <t>FAIBLE</t>
        </is>
      </c>
      <c r="AH84" s="6" t="inlineStr">
        <is>
          <t>MOYEN</t>
        </is>
      </c>
      <c r="AI84" s="6" t="inlineStr">
        <is>
          <t>FAIBLE</t>
        </is>
      </c>
      <c r="AJ84" s="4" t="n">
        <v>0</v>
      </c>
      <c r="AK84" s="4" t="n"/>
      <c r="AL84" s="6" t="inlineStr">
        <is>
          <t>RETIRE_BANQUE72_HISTORIQUE_CONSERVE</t>
        </is>
      </c>
      <c r="AM84" s="6" t="inlineStr">
        <is>
          <t>Réduction méthodologique 120→72 : doublon de facette / priorité aux activités professionnelles observables et aux items à plus faible risque.</t>
        </is>
      </c>
      <c r="AN84" s="4" t="inlineStr">
        <is>
          <t>PIP-BANK-0.3</t>
        </is>
      </c>
      <c r="AO84" s="6" t="inlineStr">
        <is>
          <t>PIP-BANK-0.3</t>
        </is>
      </c>
      <c r="AP84" s="8">
        <f>IF(OR(C84="PILOTE",C84="ACTIF"),IF(AND(A84&lt;&gt;"",H84&lt;&gt;"",I84&lt;&gt;"",K84&lt;&gt;"",V84&lt;&gt;"",W84&lt;&gt;""),"OK","A_COMPLETER"),"OK_STRUCTURE")</f>
        <v/>
      </c>
    </row>
    <row r="85" ht="72" customHeight="1" s="34">
      <c r="A85" s="4" t="inlineStr">
        <is>
          <t>PIP-ACT-E-E1-001</t>
        </is>
      </c>
      <c r="B85" s="4" t="inlineStr">
        <is>
          <t>0.2</t>
        </is>
      </c>
      <c r="C85" s="4" t="inlineStr">
        <is>
          <t>PILOTE</t>
        </is>
      </c>
      <c r="D85" s="4" t="inlineStr">
        <is>
          <t>08/09/2026</t>
        </is>
      </c>
      <c r="E85" s="4" t="inlineStr">
        <is>
          <t>08/09/2026</t>
        </is>
      </c>
      <c r="F85" s="4" t="inlineStr">
        <is>
          <t>ACT</t>
        </is>
      </c>
      <c r="G85" s="4" t="inlineStr">
        <is>
          <t>Verbe d’action + objet/contexte</t>
        </is>
      </c>
      <c r="H85" s="4" t="inlineStr">
        <is>
          <t>E</t>
        </is>
      </c>
      <c r="I85" s="4" t="inlineStr">
        <is>
          <t>E1</t>
        </is>
      </c>
      <c r="J85" s="6" t="inlineStr">
        <is>
          <t>A</t>
        </is>
      </c>
      <c r="K85" s="6" t="inlineStr">
        <is>
          <t>Lancer un nouveau projet à partir d’une idée ou d’une opportunité.</t>
        </is>
      </c>
      <c r="L85" s="4" t="inlineStr">
        <is>
          <t>Cela ne m’attire pas du tout</t>
        </is>
      </c>
      <c r="M85" s="4" t="inlineStr">
        <is>
          <t>Cela m’attire peu</t>
        </is>
      </c>
      <c r="N85" s="4" t="inlineStr">
        <is>
          <t>Je suis partagé(e) / sans préférence marquée</t>
        </is>
      </c>
      <c r="O85" s="4" t="inlineStr">
        <is>
          <t>Cela m’attire</t>
        </is>
      </c>
      <c r="P85" s="4" t="inlineStr">
        <is>
          <t>Cela m’attire beaucoup</t>
        </is>
      </c>
      <c r="Q85" s="4" t="n">
        <v>1</v>
      </c>
      <c r="R85" s="4" t="n">
        <v>2</v>
      </c>
      <c r="S85" s="4" t="n">
        <v>3</v>
      </c>
      <c r="T85" s="4" t="n">
        <v>4</v>
      </c>
      <c r="U85" s="4" t="n">
        <v>5</v>
      </c>
      <c r="V85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85" s="6" t="inlineStr">
        <is>
          <t>L’item relève de E1 — Initier / entreprendre / développer : Lancer, faire croître ou transformer une activité, un projet ou une opportunité.</t>
        </is>
      </c>
      <c r="X85" s="6" t="inlineStr">
        <is>
          <t>Revue méthodologique V0.3 : surveiller compréhension du vocabulaire, désirabilité sociale, effet de prestige/statut au pilote.</t>
        </is>
      </c>
      <c r="Y85" s="6" t="inlineStr">
        <is>
          <t>FAIBLE</t>
        </is>
      </c>
      <c r="Z85" s="6" t="inlineStr">
        <is>
          <t>FAIBLE</t>
        </is>
      </c>
      <c r="AA85" s="6" t="inlineStr">
        <is>
          <t>FAIBLE</t>
        </is>
      </c>
      <c r="AB85" s="6" t="inlineStr">
        <is>
          <t>FAIBLE</t>
        </is>
      </c>
      <c r="AC85" s="6" t="inlineStr">
        <is>
          <t>MOYEN</t>
        </is>
      </c>
      <c r="AD85" s="6" t="inlineStr">
        <is>
          <t>FAIBLE</t>
        </is>
      </c>
      <c r="AE85" s="6" t="inlineStr">
        <is>
          <t>FAIBLE</t>
        </is>
      </c>
      <c r="AF85" s="6" t="inlineStr">
        <is>
          <t>MOYEN</t>
        </is>
      </c>
      <c r="AG85" s="6" t="inlineStr">
        <is>
          <t>FAIBLE</t>
        </is>
      </c>
      <c r="AH85" s="6" t="inlineStr">
        <is>
          <t>MOYEN</t>
        </is>
      </c>
      <c r="AI85" s="6" t="inlineStr">
        <is>
          <t>FAIBLE</t>
        </is>
      </c>
      <c r="AJ85" s="4" t="n">
        <v>0</v>
      </c>
      <c r="AK85" s="4" t="n"/>
      <c r="AL85" s="6" t="inlineStr">
        <is>
          <t>RETENU_V0.5_REECRIT_CONCRET</t>
        </is>
      </c>
      <c r="AM85" s="6" t="n"/>
      <c r="AN85" s="4" t="inlineStr">
        <is>
          <t>PIP-BANK-0.3</t>
        </is>
      </c>
      <c r="AO85" s="6" t="inlineStr">
        <is>
          <t>PIP-BANK-0.4</t>
        </is>
      </c>
      <c r="AP85" s="8">
        <f>IF(OR(C85="PILOTE",C85="ACTIF"),IF(AND(A85&lt;&gt;"",H85&lt;&gt;"",I85&lt;&gt;"",K85&lt;&gt;"",V85&lt;&gt;"",W85&lt;&gt;""),"OK","A_COMPLETER"),"OK_STRUCTURE")</f>
        <v/>
      </c>
    </row>
    <row r="86" ht="72" customHeight="1" s="34">
      <c r="A86" s="4" t="inlineStr">
        <is>
          <t>PIP-ACT-E-E1-002</t>
        </is>
      </c>
      <c r="B86" s="4" t="inlineStr">
        <is>
          <t>0.2</t>
        </is>
      </c>
      <c r="C86" s="4" t="inlineStr">
        <is>
          <t>PILOTE</t>
        </is>
      </c>
      <c r="D86" s="4" t="inlineStr">
        <is>
          <t>08/09/2026</t>
        </is>
      </c>
      <c r="E86" s="4" t="inlineStr">
        <is>
          <t>08/09/2026</t>
        </is>
      </c>
      <c r="F86" s="4" t="inlineStr">
        <is>
          <t>ACT</t>
        </is>
      </c>
      <c r="G86" s="4" t="inlineStr">
        <is>
          <t>Verbe d’action + objet/contexte</t>
        </is>
      </c>
      <c r="H86" s="4" t="inlineStr">
        <is>
          <t>E</t>
        </is>
      </c>
      <c r="I86" s="4" t="inlineStr">
        <is>
          <t>E1</t>
        </is>
      </c>
      <c r="J86" s="6" t="inlineStr">
        <is>
          <t>A</t>
        </is>
      </c>
      <c r="K86" s="6" t="inlineStr">
        <is>
          <t>Faire progresser un projet en identifiant de nouvelles possibilités de développement.</t>
        </is>
      </c>
      <c r="L86" s="4" t="inlineStr">
        <is>
          <t>Cela ne m’attire pas du tout</t>
        </is>
      </c>
      <c r="M86" s="4" t="inlineStr">
        <is>
          <t>Cela m’attire peu</t>
        </is>
      </c>
      <c r="N86" s="4" t="inlineStr">
        <is>
          <t>Je suis partagé(e) / sans préférence marquée</t>
        </is>
      </c>
      <c r="O86" s="4" t="inlineStr">
        <is>
          <t>Cela m’attire</t>
        </is>
      </c>
      <c r="P86" s="4" t="inlineStr">
        <is>
          <t>Cela m’attire beaucoup</t>
        </is>
      </c>
      <c r="Q86" s="4" t="n">
        <v>1</v>
      </c>
      <c r="R86" s="4" t="n">
        <v>2</v>
      </c>
      <c r="S86" s="4" t="n">
        <v>3</v>
      </c>
      <c r="T86" s="4" t="n">
        <v>4</v>
      </c>
      <c r="U86" s="4" t="n">
        <v>5</v>
      </c>
      <c r="V86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86" s="6" t="inlineStr">
        <is>
          <t>L’item relève de E1 — Initier / entreprendre / développer : Lancer, faire croître ou transformer une activité, un projet ou une opportunité.</t>
        </is>
      </c>
      <c r="X86" s="6" t="inlineStr">
        <is>
          <t>Revue méthodologique V0.3 : surveiller compréhension du vocabulaire, désirabilité sociale, effet de prestige/statut au pilote.</t>
        </is>
      </c>
      <c r="Y86" s="6" t="inlineStr">
        <is>
          <t>FAIBLE</t>
        </is>
      </c>
      <c r="Z86" s="6" t="inlineStr">
        <is>
          <t>FAIBLE</t>
        </is>
      </c>
      <c r="AA86" s="6" t="inlineStr">
        <is>
          <t>FAIBLE</t>
        </is>
      </c>
      <c r="AB86" s="6" t="inlineStr">
        <is>
          <t>FAIBLE</t>
        </is>
      </c>
      <c r="AC86" s="6" t="inlineStr">
        <is>
          <t>MOYEN</t>
        </is>
      </c>
      <c r="AD86" s="6" t="inlineStr">
        <is>
          <t>FAIBLE</t>
        </is>
      </c>
      <c r="AE86" s="6" t="inlineStr">
        <is>
          <t>FAIBLE</t>
        </is>
      </c>
      <c r="AF86" s="6" t="inlineStr">
        <is>
          <t>MOYEN</t>
        </is>
      </c>
      <c r="AG86" s="6" t="inlineStr">
        <is>
          <t>FAIBLE</t>
        </is>
      </c>
      <c r="AH86" s="6" t="inlineStr">
        <is>
          <t>MOYEN</t>
        </is>
      </c>
      <c r="AI86" s="6" t="inlineStr">
        <is>
          <t>FAIBLE</t>
        </is>
      </c>
      <c r="AJ86" s="4" t="n">
        <v>0</v>
      </c>
      <c r="AK86" s="4" t="n"/>
      <c r="AL86" s="6" t="inlineStr">
        <is>
          <t>RETENU_V0.5_REECRIT_CONCRET</t>
        </is>
      </c>
      <c r="AM86" s="6" t="n"/>
      <c r="AN86" s="4" t="inlineStr">
        <is>
          <t>PIP-BANK-0.3</t>
        </is>
      </c>
      <c r="AO86" s="6" t="inlineStr">
        <is>
          <t>PIP-BANK-0.4</t>
        </is>
      </c>
      <c r="AP86" s="8">
        <f>IF(OR(C86="PILOTE",C86="ACTIF"),IF(AND(A86&lt;&gt;"",H86&lt;&gt;"",I86&lt;&gt;"",K86&lt;&gt;"",V86&lt;&gt;"",W86&lt;&gt;""),"OK","A_COMPLETER"),"OK_STRUCTURE")</f>
        <v/>
      </c>
    </row>
    <row r="87" ht="72" customHeight="1" s="34">
      <c r="A87" s="4" t="inlineStr">
        <is>
          <t>PIP-SIT-E-E1-003</t>
        </is>
      </c>
      <c r="B87" s="4" t="inlineStr">
        <is>
          <t>0.2</t>
        </is>
      </c>
      <c r="C87" s="4" t="inlineStr">
        <is>
          <t>PILOTE</t>
        </is>
      </c>
      <c r="D87" s="4" t="inlineStr">
        <is>
          <t>08/09/2026</t>
        </is>
      </c>
      <c r="E87" s="4" t="inlineStr">
        <is>
          <t>08/09/2026</t>
        </is>
      </c>
      <c r="F87" s="4" t="inlineStr">
        <is>
          <t>SIT</t>
        </is>
      </c>
      <c r="G87" s="4" t="inlineStr">
        <is>
          <t>Situation courte avec enjeu central</t>
        </is>
      </c>
      <c r="H87" s="4" t="inlineStr">
        <is>
          <t>E</t>
        </is>
      </c>
      <c r="I87" s="4" t="inlineStr">
        <is>
          <t>E1</t>
        </is>
      </c>
      <c r="J87" s="6" t="inlineStr">
        <is>
          <t>A</t>
        </is>
      </c>
      <c r="K87" s="6" t="inlineStr">
        <is>
          <t>Voir une opportunité et prendre l’initiative de la transformer en projet concret.</t>
        </is>
      </c>
      <c r="L87" s="4" t="inlineStr">
        <is>
          <t>Cela ne m’attire pas du tout</t>
        </is>
      </c>
      <c r="M87" s="4" t="inlineStr">
        <is>
          <t>Cela m’attire peu</t>
        </is>
      </c>
      <c r="N87" s="4" t="inlineStr">
        <is>
          <t>Je suis partagé(e) / sans préférence marquée</t>
        </is>
      </c>
      <c r="O87" s="4" t="inlineStr">
        <is>
          <t>Cela m’attire</t>
        </is>
      </c>
      <c r="P87" s="4" t="inlineStr">
        <is>
          <t>Cela m’attire beaucoup</t>
        </is>
      </c>
      <c r="Q87" s="4" t="n">
        <v>1</v>
      </c>
      <c r="R87" s="4" t="n">
        <v>2</v>
      </c>
      <c r="S87" s="4" t="n">
        <v>3</v>
      </c>
      <c r="T87" s="4" t="n">
        <v>4</v>
      </c>
      <c r="U87" s="4" t="n">
        <v>5</v>
      </c>
      <c r="V87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87" s="6" t="inlineStr">
        <is>
          <t>L’item relève de E1 — Initier / entreprendre / développer : Lancer, faire croître ou transformer une activité, un projet ou une opportunité.</t>
        </is>
      </c>
      <c r="X87" s="6" t="inlineStr">
        <is>
          <t>Revue méthodologique V0.3 : surveiller compréhension du vocabulaire, désirabilité sociale, effet de prestige/statut au pilote.</t>
        </is>
      </c>
      <c r="Y87" s="6" t="inlineStr">
        <is>
          <t>FAIBLE</t>
        </is>
      </c>
      <c r="Z87" s="6" t="inlineStr">
        <is>
          <t>FAIBLE</t>
        </is>
      </c>
      <c r="AA87" s="6" t="inlineStr">
        <is>
          <t>FAIBLE</t>
        </is>
      </c>
      <c r="AB87" s="6" t="inlineStr">
        <is>
          <t>FAIBLE</t>
        </is>
      </c>
      <c r="AC87" s="6" t="inlineStr">
        <is>
          <t>MOYEN</t>
        </is>
      </c>
      <c r="AD87" s="6" t="inlineStr">
        <is>
          <t>FAIBLE</t>
        </is>
      </c>
      <c r="AE87" s="6" t="inlineStr">
        <is>
          <t>FAIBLE</t>
        </is>
      </c>
      <c r="AF87" s="6" t="inlineStr">
        <is>
          <t>MOYEN</t>
        </is>
      </c>
      <c r="AG87" s="6" t="inlineStr">
        <is>
          <t>FAIBLE</t>
        </is>
      </c>
      <c r="AH87" s="6" t="inlineStr">
        <is>
          <t>MOYEN</t>
        </is>
      </c>
      <c r="AI87" s="6" t="inlineStr">
        <is>
          <t>FAIBLE</t>
        </is>
      </c>
      <c r="AJ87" s="4" t="n">
        <v>0</v>
      </c>
      <c r="AK87" s="4" t="n"/>
      <c r="AL87" s="6" t="inlineStr">
        <is>
          <t>RETENU_V0.5_REECRIT_CONCRET</t>
        </is>
      </c>
      <c r="AM87" s="6" t="n"/>
      <c r="AN87" s="4" t="inlineStr">
        <is>
          <t>PIP-BANK-0.3</t>
        </is>
      </c>
      <c r="AO87" s="6" t="inlineStr">
        <is>
          <t>PIP-BANK-0.4</t>
        </is>
      </c>
      <c r="AP87" s="8">
        <f>IF(OR(C87="PILOTE",C87="ACTIF"),IF(AND(A87&lt;&gt;"",H87&lt;&gt;"",I87&lt;&gt;"",K87&lt;&gt;"",V87&lt;&gt;"",W87&lt;&gt;""),"OK","A_COMPLETER"),"OK_STRUCTURE")</f>
        <v/>
      </c>
    </row>
    <row r="88" ht="72" customHeight="1" s="34">
      <c r="A88" s="4" t="inlineStr">
        <is>
          <t>PIP-ENV-E-E1-004</t>
        </is>
      </c>
      <c r="B88" s="4" t="inlineStr">
        <is>
          <t>0.2</t>
        </is>
      </c>
      <c r="C88" s="4" t="inlineStr">
        <is>
          <t>PILOTE</t>
        </is>
      </c>
      <c r="D88" s="4" t="inlineStr">
        <is>
          <t>08/09/2026</t>
        </is>
      </c>
      <c r="E88" s="4" t="inlineStr">
        <is>
          <t>08/09/2026</t>
        </is>
      </c>
      <c r="F88" s="4" t="inlineStr">
        <is>
          <t>ENV</t>
        </is>
      </c>
      <c r="G88" s="4" t="inlineStr">
        <is>
          <t>Contexte décrit par ce qu’il permet de faire</t>
        </is>
      </c>
      <c r="H88" s="4" t="inlineStr">
        <is>
          <t>E</t>
        </is>
      </c>
      <c r="I88" s="4" t="inlineStr">
        <is>
          <t>E1</t>
        </is>
      </c>
      <c r="J88" s="6" t="inlineStr">
        <is>
          <t>A</t>
        </is>
      </c>
      <c r="K88" s="6" t="inlineStr">
        <is>
          <t>Évoluer dans un contexte où l’on peut proposer des initiatives et faire avancer de nouveaux projets.</t>
        </is>
      </c>
      <c r="L88" s="4" t="inlineStr">
        <is>
          <t>Cela ne m’attire pas du tout</t>
        </is>
      </c>
      <c r="M88" s="4" t="inlineStr">
        <is>
          <t>Cela m’attire peu</t>
        </is>
      </c>
      <c r="N88" s="4" t="inlineStr">
        <is>
          <t>Je suis partagé(e) / sans préférence marquée</t>
        </is>
      </c>
      <c r="O88" s="4" t="inlineStr">
        <is>
          <t>Cela m’attire</t>
        </is>
      </c>
      <c r="P88" s="4" t="inlineStr">
        <is>
          <t>Cela m’attire beaucoup</t>
        </is>
      </c>
      <c r="Q88" s="4" t="n">
        <v>1</v>
      </c>
      <c r="R88" s="4" t="n">
        <v>2</v>
      </c>
      <c r="S88" s="4" t="n">
        <v>3</v>
      </c>
      <c r="T88" s="4" t="n">
        <v>4</v>
      </c>
      <c r="U88" s="4" t="n">
        <v>5</v>
      </c>
      <c r="V88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88" s="6" t="inlineStr">
        <is>
          <t>L’item relève de E1 — Initier / entreprendre / développer : Lancer, faire croître ou transformer une activité, un projet ou une opportunité.</t>
        </is>
      </c>
      <c r="X88" s="6" t="inlineStr">
        <is>
          <t>Revue méthodologique V0.3 : surveiller compréhension du vocabulaire, désirabilité sociale, effet de prestige/statut au pilote.</t>
        </is>
      </c>
      <c r="Y88" s="6" t="inlineStr">
        <is>
          <t>FAIBLE</t>
        </is>
      </c>
      <c r="Z88" s="6" t="inlineStr">
        <is>
          <t>FAIBLE</t>
        </is>
      </c>
      <c r="AA88" s="6" t="inlineStr">
        <is>
          <t>FAIBLE</t>
        </is>
      </c>
      <c r="AB88" s="6" t="inlineStr">
        <is>
          <t>FAIBLE</t>
        </is>
      </c>
      <c r="AC88" s="6" t="inlineStr">
        <is>
          <t>MOYEN</t>
        </is>
      </c>
      <c r="AD88" s="6" t="inlineStr">
        <is>
          <t>FAIBLE</t>
        </is>
      </c>
      <c r="AE88" s="6" t="inlineStr">
        <is>
          <t>FAIBLE</t>
        </is>
      </c>
      <c r="AF88" s="6" t="inlineStr">
        <is>
          <t>MOYEN</t>
        </is>
      </c>
      <c r="AG88" s="6" t="inlineStr">
        <is>
          <t>FAIBLE</t>
        </is>
      </c>
      <c r="AH88" s="6" t="inlineStr">
        <is>
          <t>MOYEN</t>
        </is>
      </c>
      <c r="AI88" s="6" t="inlineStr">
        <is>
          <t>FAIBLE</t>
        </is>
      </c>
      <c r="AJ88" s="4" t="n">
        <v>0</v>
      </c>
      <c r="AK88" s="4" t="n"/>
      <c r="AL88" s="6" t="inlineStr">
        <is>
          <t>RETIRE_BANQUE72_HISTORIQUE_CONSERVE</t>
        </is>
      </c>
      <c r="AM88" s="6" t="inlineStr">
        <is>
          <t>Réduction méthodologique 120→72 : doublon de facette / priorité aux activités professionnelles observables et aux items à plus faible risque.</t>
        </is>
      </c>
      <c r="AN88" s="4" t="inlineStr">
        <is>
          <t>PIP-BANK-0.3</t>
        </is>
      </c>
      <c r="AO88" s="6" t="inlineStr">
        <is>
          <t>PIP-BANK-0.3</t>
        </is>
      </c>
      <c r="AP88" s="8">
        <f>IF(OR(C88="PILOTE",C88="ACTIF"),IF(AND(A88&lt;&gt;"",H88&lt;&gt;"",I88&lt;&gt;"",K88&lt;&gt;"",V88&lt;&gt;"",W88&lt;&gt;""),"OK","A_COMPLETER"),"OK_STRUCTURE")</f>
        <v/>
      </c>
    </row>
    <row r="89" ht="72" customHeight="1" s="34">
      <c r="A89" s="4" t="inlineStr">
        <is>
          <t>PIP-ACT-E-E2-005</t>
        </is>
      </c>
      <c r="B89" s="4" t="inlineStr">
        <is>
          <t>0.2</t>
        </is>
      </c>
      <c r="C89" s="4" t="inlineStr">
        <is>
          <t>PILOTE</t>
        </is>
      </c>
      <c r="D89" s="4" t="inlineStr">
        <is>
          <t>08/09/2026</t>
        </is>
      </c>
      <c r="E89" s="4" t="inlineStr">
        <is>
          <t>08/09/2026</t>
        </is>
      </c>
      <c r="F89" s="4" t="inlineStr">
        <is>
          <t>ACT</t>
        </is>
      </c>
      <c r="G89" s="4" t="inlineStr">
        <is>
          <t>Verbe d’action + objet/contexte</t>
        </is>
      </c>
      <c r="H89" s="4" t="inlineStr">
        <is>
          <t>E</t>
        </is>
      </c>
      <c r="I89" s="4" t="inlineStr">
        <is>
          <t>E2</t>
        </is>
      </c>
      <c r="J89" s="6" t="inlineStr">
        <is>
          <t>S</t>
        </is>
      </c>
      <c r="K89" s="6" t="inlineStr">
        <is>
          <t>Présenter une proposition de façon à donner envie d’y adhérer.</t>
        </is>
      </c>
      <c r="L89" s="4" t="inlineStr">
        <is>
          <t>Cela ne m’attire pas du tout</t>
        </is>
      </c>
      <c r="M89" s="4" t="inlineStr">
        <is>
          <t>Cela m’attire peu</t>
        </is>
      </c>
      <c r="N89" s="4" t="inlineStr">
        <is>
          <t>Je suis partagé(e) / sans préférence marquée</t>
        </is>
      </c>
      <c r="O89" s="4" t="inlineStr">
        <is>
          <t>Cela m’attire</t>
        </is>
      </c>
      <c r="P89" s="4" t="inlineStr">
        <is>
          <t>Cela m’attire beaucoup</t>
        </is>
      </c>
      <c r="Q89" s="4" t="n">
        <v>1</v>
      </c>
      <c r="R89" s="4" t="n">
        <v>2</v>
      </c>
      <c r="S89" s="4" t="n">
        <v>3</v>
      </c>
      <c r="T89" s="4" t="n">
        <v>4</v>
      </c>
      <c r="U89" s="4" t="n">
        <v>5</v>
      </c>
      <c r="V89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89" s="6" t="inlineStr">
        <is>
          <t>L’item relève de E2 — Convaincre / vendre / promouvoir : Présenter une proposition et obtenir l’adhésion d’un client, public ou partenaire.</t>
        </is>
      </c>
      <c r="X89" s="6" t="inlineStr">
        <is>
          <t>Revue méthodologique V0.3 : surveiller compréhension du vocabulaire, désirabilité sociale, effet de prestige/statut au pilote.</t>
        </is>
      </c>
      <c r="Y89" s="6" t="inlineStr">
        <is>
          <t>FAIBLE</t>
        </is>
      </c>
      <c r="Z89" s="6" t="inlineStr">
        <is>
          <t>FAIBLE</t>
        </is>
      </c>
      <c r="AA89" s="6" t="inlineStr">
        <is>
          <t>FAIBLE</t>
        </is>
      </c>
      <c r="AB89" s="6" t="inlineStr">
        <is>
          <t>FAIBLE</t>
        </is>
      </c>
      <c r="AC89" s="6" t="inlineStr">
        <is>
          <t>MOYEN</t>
        </is>
      </c>
      <c r="AD89" s="6" t="inlineStr">
        <is>
          <t>FAIBLE</t>
        </is>
      </c>
      <c r="AE89" s="6" t="inlineStr">
        <is>
          <t>FAIBLE</t>
        </is>
      </c>
      <c r="AF89" s="6" t="inlineStr">
        <is>
          <t>MOYEN</t>
        </is>
      </c>
      <c r="AG89" s="6" t="inlineStr">
        <is>
          <t>FAIBLE</t>
        </is>
      </c>
      <c r="AH89" s="6" t="inlineStr">
        <is>
          <t>MOYEN</t>
        </is>
      </c>
      <c r="AI89" s="6" t="inlineStr">
        <is>
          <t>FAIBLE</t>
        </is>
      </c>
      <c r="AJ89" s="4" t="n">
        <v>0</v>
      </c>
      <c r="AK89" s="4" t="n"/>
      <c r="AL89" s="6" t="inlineStr">
        <is>
          <t>RETENU_V0.5_REECRIT_CONCRET</t>
        </is>
      </c>
      <c r="AM89" s="6" t="n"/>
      <c r="AN89" s="4" t="inlineStr">
        <is>
          <t>PIP-BANK-0.3</t>
        </is>
      </c>
      <c r="AO89" s="6" t="inlineStr">
        <is>
          <t>PIP-BANK-0.4</t>
        </is>
      </c>
      <c r="AP89" s="8">
        <f>IF(OR(C89="PILOTE",C89="ACTIF"),IF(AND(A89&lt;&gt;"",H89&lt;&gt;"",I89&lt;&gt;"",K89&lt;&gt;"",V89&lt;&gt;"",W89&lt;&gt;""),"OK","A_COMPLETER"),"OK_STRUCTURE")</f>
        <v/>
      </c>
    </row>
    <row r="90" ht="72" customHeight="1" s="34">
      <c r="A90" s="4" t="inlineStr">
        <is>
          <t>PIP-ACT-E-E2-006</t>
        </is>
      </c>
      <c r="B90" s="4" t="inlineStr">
        <is>
          <t>0.2</t>
        </is>
      </c>
      <c r="C90" s="4" t="inlineStr">
        <is>
          <t>PILOTE</t>
        </is>
      </c>
      <c r="D90" s="4" t="inlineStr">
        <is>
          <t>08/09/2026</t>
        </is>
      </c>
      <c r="E90" s="4" t="inlineStr">
        <is>
          <t>08/09/2026</t>
        </is>
      </c>
      <c r="F90" s="4" t="inlineStr">
        <is>
          <t>ACT</t>
        </is>
      </c>
      <c r="G90" s="4" t="inlineStr">
        <is>
          <t>Verbe d’action + objet/contexte</t>
        </is>
      </c>
      <c r="H90" s="4" t="inlineStr">
        <is>
          <t>E</t>
        </is>
      </c>
      <c r="I90" s="4" t="inlineStr">
        <is>
          <t>E2</t>
        </is>
      </c>
      <c r="J90" s="6" t="inlineStr">
        <is>
          <t>S</t>
        </is>
      </c>
      <c r="K90" s="6" t="inlineStr">
        <is>
          <t>Promouvoir un produit, un service ou une idée auprès d’un public.</t>
        </is>
      </c>
      <c r="L90" s="4" t="inlineStr">
        <is>
          <t>Cela ne m’attire pas du tout</t>
        </is>
      </c>
      <c r="M90" s="4" t="inlineStr">
        <is>
          <t>Cela m’attire peu</t>
        </is>
      </c>
      <c r="N90" s="4" t="inlineStr">
        <is>
          <t>Je suis partagé(e) / sans préférence marquée</t>
        </is>
      </c>
      <c r="O90" s="4" t="inlineStr">
        <is>
          <t>Cela m’attire</t>
        </is>
      </c>
      <c r="P90" s="4" t="inlineStr">
        <is>
          <t>Cela m’attire beaucoup</t>
        </is>
      </c>
      <c r="Q90" s="4" t="n">
        <v>1</v>
      </c>
      <c r="R90" s="4" t="n">
        <v>2</v>
      </c>
      <c r="S90" s="4" t="n">
        <v>3</v>
      </c>
      <c r="T90" s="4" t="n">
        <v>4</v>
      </c>
      <c r="U90" s="4" t="n">
        <v>5</v>
      </c>
      <c r="V90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0" s="6" t="inlineStr">
        <is>
          <t>L’item relève de E2 — Convaincre / vendre / promouvoir : Présenter une proposition et obtenir l’adhésion d’un client, public ou partenaire.</t>
        </is>
      </c>
      <c r="X90" s="6" t="inlineStr">
        <is>
          <t>Revue méthodologique V0.3 : surveiller compréhension du vocabulaire, désirabilité sociale, effet de prestige/statut au pilote.</t>
        </is>
      </c>
      <c r="Y90" s="6" t="inlineStr">
        <is>
          <t>FAIBLE</t>
        </is>
      </c>
      <c r="Z90" s="6" t="inlineStr">
        <is>
          <t>FAIBLE</t>
        </is>
      </c>
      <c r="AA90" s="6" t="inlineStr">
        <is>
          <t>FAIBLE</t>
        </is>
      </c>
      <c r="AB90" s="6" t="inlineStr">
        <is>
          <t>FAIBLE</t>
        </is>
      </c>
      <c r="AC90" s="6" t="inlineStr">
        <is>
          <t>MOYEN</t>
        </is>
      </c>
      <c r="AD90" s="6" t="inlineStr">
        <is>
          <t>FAIBLE</t>
        </is>
      </c>
      <c r="AE90" s="6" t="inlineStr">
        <is>
          <t>FAIBLE</t>
        </is>
      </c>
      <c r="AF90" s="6" t="inlineStr">
        <is>
          <t>MOYEN</t>
        </is>
      </c>
      <c r="AG90" s="6" t="inlineStr">
        <is>
          <t>FAIBLE</t>
        </is>
      </c>
      <c r="AH90" s="6" t="inlineStr">
        <is>
          <t>MOYEN</t>
        </is>
      </c>
      <c r="AI90" s="6" t="inlineStr">
        <is>
          <t>FAIBLE</t>
        </is>
      </c>
      <c r="AJ90" s="4" t="n">
        <v>0</v>
      </c>
      <c r="AK90" s="4" t="n"/>
      <c r="AL90" s="6" t="inlineStr">
        <is>
          <t>RETENU_V0.5_REECRIT_CONCRET</t>
        </is>
      </c>
      <c r="AM90" s="6" t="n"/>
      <c r="AN90" s="4" t="inlineStr">
        <is>
          <t>PIP-BANK-0.3</t>
        </is>
      </c>
      <c r="AO90" s="6" t="inlineStr">
        <is>
          <t>PIP-BANK-0.4</t>
        </is>
      </c>
      <c r="AP90" s="8">
        <f>IF(OR(C90="PILOTE",C90="ACTIF"),IF(AND(A90&lt;&gt;"",H90&lt;&gt;"",I90&lt;&gt;"",K90&lt;&gt;"",V90&lt;&gt;"",W90&lt;&gt;""),"OK","A_COMPLETER"),"OK_STRUCTURE")</f>
        <v/>
      </c>
    </row>
    <row r="91" ht="72" customHeight="1" s="34">
      <c r="A91" s="4" t="inlineStr">
        <is>
          <t>PIP-SIT-E-E2-007</t>
        </is>
      </c>
      <c r="B91" s="4" t="inlineStr">
        <is>
          <t>0.2</t>
        </is>
      </c>
      <c r="C91" s="4" t="inlineStr">
        <is>
          <t>PILOTE</t>
        </is>
      </c>
      <c r="D91" s="4" t="inlineStr">
        <is>
          <t>08/09/2026</t>
        </is>
      </c>
      <c r="E91" s="4" t="inlineStr">
        <is>
          <t>08/09/2026</t>
        </is>
      </c>
      <c r="F91" s="4" t="inlineStr">
        <is>
          <t>SIT</t>
        </is>
      </c>
      <c r="G91" s="4" t="inlineStr">
        <is>
          <t>Situation courte avec enjeu central</t>
        </is>
      </c>
      <c r="H91" s="4" t="inlineStr">
        <is>
          <t>E</t>
        </is>
      </c>
      <c r="I91" s="4" t="inlineStr">
        <is>
          <t>E2</t>
        </is>
      </c>
      <c r="J91" s="6" t="inlineStr">
        <is>
          <t>S</t>
        </is>
      </c>
      <c r="K91" s="6" t="inlineStr">
        <is>
          <t>Défendre une proposition devant des personnes qui hésitent afin d’obtenir leur adhésion.</t>
        </is>
      </c>
      <c r="L91" s="4" t="inlineStr">
        <is>
          <t>Cela ne m’attire pas du tout</t>
        </is>
      </c>
      <c r="M91" s="4" t="inlineStr">
        <is>
          <t>Cela m’attire peu</t>
        </is>
      </c>
      <c r="N91" s="4" t="inlineStr">
        <is>
          <t>Je suis partagé(e) / sans préférence marquée</t>
        </is>
      </c>
      <c r="O91" s="4" t="inlineStr">
        <is>
          <t>Cela m’attire</t>
        </is>
      </c>
      <c r="P91" s="4" t="inlineStr">
        <is>
          <t>Cela m’attire beaucoup</t>
        </is>
      </c>
      <c r="Q91" s="4" t="n">
        <v>1</v>
      </c>
      <c r="R91" s="4" t="n">
        <v>2</v>
      </c>
      <c r="S91" s="4" t="n">
        <v>3</v>
      </c>
      <c r="T91" s="4" t="n">
        <v>4</v>
      </c>
      <c r="U91" s="4" t="n">
        <v>5</v>
      </c>
      <c r="V91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1" s="6" t="inlineStr">
        <is>
          <t>L’item relève de E2 — Convaincre / vendre / promouvoir : Présenter une proposition et obtenir l’adhésion d’un client, public ou partenaire.</t>
        </is>
      </c>
      <c r="X91" s="6" t="inlineStr">
        <is>
          <t>Revue méthodologique V0.3 : surveiller compréhension du vocabulaire, désirabilité sociale, effet de prestige/statut au pilote.</t>
        </is>
      </c>
      <c r="Y91" s="6" t="inlineStr">
        <is>
          <t>FAIBLE</t>
        </is>
      </c>
      <c r="Z91" s="6" t="inlineStr">
        <is>
          <t>FAIBLE</t>
        </is>
      </c>
      <c r="AA91" s="6" t="inlineStr">
        <is>
          <t>FAIBLE</t>
        </is>
      </c>
      <c r="AB91" s="6" t="inlineStr">
        <is>
          <t>FAIBLE</t>
        </is>
      </c>
      <c r="AC91" s="6" t="inlineStr">
        <is>
          <t>MOYEN</t>
        </is>
      </c>
      <c r="AD91" s="6" t="inlineStr">
        <is>
          <t>FAIBLE</t>
        </is>
      </c>
      <c r="AE91" s="6" t="inlineStr">
        <is>
          <t>FAIBLE</t>
        </is>
      </c>
      <c r="AF91" s="6" t="inlineStr">
        <is>
          <t>MOYEN</t>
        </is>
      </c>
      <c r="AG91" s="6" t="inlineStr">
        <is>
          <t>FAIBLE</t>
        </is>
      </c>
      <c r="AH91" s="6" t="inlineStr">
        <is>
          <t>MOYEN</t>
        </is>
      </c>
      <c r="AI91" s="6" t="inlineStr">
        <is>
          <t>FAIBLE</t>
        </is>
      </c>
      <c r="AJ91" s="4" t="n">
        <v>0</v>
      </c>
      <c r="AK91" s="4" t="n"/>
      <c r="AL91" s="6" t="inlineStr">
        <is>
          <t>RETENU_V0.5_REECRIT_CONCRET</t>
        </is>
      </c>
      <c r="AM91" s="6" t="n"/>
      <c r="AN91" s="4" t="inlineStr">
        <is>
          <t>PIP-BANK-0.3</t>
        </is>
      </c>
      <c r="AO91" s="6" t="inlineStr">
        <is>
          <t>PIP-BANK-0.4</t>
        </is>
      </c>
      <c r="AP91" s="8">
        <f>IF(OR(C91="PILOTE",C91="ACTIF"),IF(AND(A91&lt;&gt;"",H91&lt;&gt;"",I91&lt;&gt;"",K91&lt;&gt;"",V91&lt;&gt;"",W91&lt;&gt;""),"OK","A_COMPLETER"),"OK_STRUCTURE")</f>
        <v/>
      </c>
    </row>
    <row r="92" ht="72" customHeight="1" s="34">
      <c r="A92" s="4" t="inlineStr">
        <is>
          <t>PIP-ENV-E-E2-008</t>
        </is>
      </c>
      <c r="B92" s="4" t="inlineStr">
        <is>
          <t>0.2</t>
        </is>
      </c>
      <c r="C92" s="4" t="inlineStr">
        <is>
          <t>PILOTE</t>
        </is>
      </c>
      <c r="D92" s="4" t="inlineStr">
        <is>
          <t>08/09/2026</t>
        </is>
      </c>
      <c r="E92" s="4" t="inlineStr">
        <is>
          <t>08/09/2026</t>
        </is>
      </c>
      <c r="F92" s="4" t="inlineStr">
        <is>
          <t>ENV</t>
        </is>
      </c>
      <c r="G92" s="4" t="inlineStr">
        <is>
          <t>Contexte décrit par ce qu’il permet de faire</t>
        </is>
      </c>
      <c r="H92" s="4" t="inlineStr">
        <is>
          <t>E</t>
        </is>
      </c>
      <c r="I92" s="4" t="inlineStr">
        <is>
          <t>E2</t>
        </is>
      </c>
      <c r="J92" s="6" t="inlineStr">
        <is>
          <t>S</t>
        </is>
      </c>
      <c r="K92" s="6" t="inlineStr">
        <is>
          <t>Travailler dans un contexte où il faut régulièrement présenter, promouvoir ou faire accepter des propositions.</t>
        </is>
      </c>
      <c r="L92" s="4" t="inlineStr">
        <is>
          <t>Cela ne m’attire pas du tout</t>
        </is>
      </c>
      <c r="M92" s="4" t="inlineStr">
        <is>
          <t>Cela m’attire peu</t>
        </is>
      </c>
      <c r="N92" s="4" t="inlineStr">
        <is>
          <t>Je suis partagé(e) / sans préférence marquée</t>
        </is>
      </c>
      <c r="O92" s="4" t="inlineStr">
        <is>
          <t>Cela m’attire</t>
        </is>
      </c>
      <c r="P92" s="4" t="inlineStr">
        <is>
          <t>Cela m’attire beaucoup</t>
        </is>
      </c>
      <c r="Q92" s="4" t="n">
        <v>1</v>
      </c>
      <c r="R92" s="4" t="n">
        <v>2</v>
      </c>
      <c r="S92" s="4" t="n">
        <v>3</v>
      </c>
      <c r="T92" s="4" t="n">
        <v>4</v>
      </c>
      <c r="U92" s="4" t="n">
        <v>5</v>
      </c>
      <c r="V92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2" s="6" t="inlineStr">
        <is>
          <t>L’item relève de E2 — Convaincre / vendre / promouvoir : Présenter une proposition et obtenir l’adhésion d’un client, public ou partenaire.</t>
        </is>
      </c>
      <c r="X92" s="6" t="inlineStr">
        <is>
          <t>Revue méthodologique V0.3 : surveiller compréhension du vocabulaire, désirabilité sociale, effet de prestige/statut au pilote.</t>
        </is>
      </c>
      <c r="Y92" s="6" t="inlineStr">
        <is>
          <t>FAIBLE</t>
        </is>
      </c>
      <c r="Z92" s="6" t="inlineStr">
        <is>
          <t>FAIBLE</t>
        </is>
      </c>
      <c r="AA92" s="6" t="inlineStr">
        <is>
          <t>FAIBLE</t>
        </is>
      </c>
      <c r="AB92" s="6" t="inlineStr">
        <is>
          <t>FAIBLE</t>
        </is>
      </c>
      <c r="AC92" s="6" t="inlineStr">
        <is>
          <t>MOYEN</t>
        </is>
      </c>
      <c r="AD92" s="6" t="inlineStr">
        <is>
          <t>FAIBLE</t>
        </is>
      </c>
      <c r="AE92" s="6" t="inlineStr">
        <is>
          <t>FAIBLE</t>
        </is>
      </c>
      <c r="AF92" s="6" t="inlineStr">
        <is>
          <t>MOYEN</t>
        </is>
      </c>
      <c r="AG92" s="6" t="inlineStr">
        <is>
          <t>FAIBLE</t>
        </is>
      </c>
      <c r="AH92" s="6" t="inlineStr">
        <is>
          <t>MOYEN</t>
        </is>
      </c>
      <c r="AI92" s="6" t="inlineStr">
        <is>
          <t>FAIBLE</t>
        </is>
      </c>
      <c r="AJ92" s="4" t="n">
        <v>0</v>
      </c>
      <c r="AK92" s="4" t="n"/>
      <c r="AL92" s="6" t="inlineStr">
        <is>
          <t>RETIRE_BANQUE72_HISTORIQUE_CONSERVE</t>
        </is>
      </c>
      <c r="AM92" s="6" t="inlineStr">
        <is>
          <t>Réduction méthodologique 120→72 : doublon de facette / priorité aux activités professionnelles observables et aux items à plus faible risque.</t>
        </is>
      </c>
      <c r="AN92" s="4" t="inlineStr">
        <is>
          <t>PIP-BANK-0.3</t>
        </is>
      </c>
      <c r="AO92" s="6" t="inlineStr">
        <is>
          <t>PIP-BANK-0.3</t>
        </is>
      </c>
      <c r="AP92" s="8">
        <f>IF(OR(C92="PILOTE",C92="ACTIF"),IF(AND(A92&lt;&gt;"",H92&lt;&gt;"",I92&lt;&gt;"",K92&lt;&gt;"",V92&lt;&gt;"",W92&lt;&gt;""),"OK","A_COMPLETER"),"OK_STRUCTURE")</f>
        <v/>
      </c>
    </row>
    <row r="93" ht="72" customHeight="1" s="34">
      <c r="A93" s="4" t="inlineStr">
        <is>
          <t>PIP-ACT-E-E3-009</t>
        </is>
      </c>
      <c r="B93" s="4" t="inlineStr">
        <is>
          <t>0.2</t>
        </is>
      </c>
      <c r="C93" s="4" t="inlineStr">
        <is>
          <t>PILOTE</t>
        </is>
      </c>
      <c r="D93" s="4" t="inlineStr">
        <is>
          <t>08/09/2026</t>
        </is>
      </c>
      <c r="E93" s="4" t="inlineStr">
        <is>
          <t>08/09/2026</t>
        </is>
      </c>
      <c r="F93" s="4" t="inlineStr">
        <is>
          <t>ACT</t>
        </is>
      </c>
      <c r="G93" s="4" t="inlineStr">
        <is>
          <t>Verbe d’action + objet/contexte</t>
        </is>
      </c>
      <c r="H93" s="4" t="inlineStr">
        <is>
          <t>E</t>
        </is>
      </c>
      <c r="I93" s="4" t="inlineStr">
        <is>
          <t>E3</t>
        </is>
      </c>
      <c r="J93" s="6" t="inlineStr">
        <is>
          <t>S,C</t>
        </is>
      </c>
      <c r="K93" s="6" t="inlineStr">
        <is>
          <t>Négocier les conditions d’un accord entre plusieurs parties.</t>
        </is>
      </c>
      <c r="L93" s="4" t="inlineStr">
        <is>
          <t>Cela ne m’attire pas du tout</t>
        </is>
      </c>
      <c r="M93" s="4" t="inlineStr">
        <is>
          <t>Cela m’attire peu</t>
        </is>
      </c>
      <c r="N93" s="4" t="inlineStr">
        <is>
          <t>Je suis partagé(e) / sans préférence marquée</t>
        </is>
      </c>
      <c r="O93" s="4" t="inlineStr">
        <is>
          <t>Cela m’attire</t>
        </is>
      </c>
      <c r="P93" s="4" t="inlineStr">
        <is>
          <t>Cela m’attire beaucoup</t>
        </is>
      </c>
      <c r="Q93" s="4" t="n">
        <v>1</v>
      </c>
      <c r="R93" s="4" t="n">
        <v>2</v>
      </c>
      <c r="S93" s="4" t="n">
        <v>3</v>
      </c>
      <c r="T93" s="4" t="n">
        <v>4</v>
      </c>
      <c r="U93" s="4" t="n">
        <v>5</v>
      </c>
      <c r="V93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3" s="6" t="inlineStr">
        <is>
          <t>L’item relève de E3 — Négocier / obtenir un accord : Confronter des intérêts, rechercher des compromis et conclure des accords.</t>
        </is>
      </c>
      <c r="X93" s="6" t="inlineStr">
        <is>
          <t>Revue méthodologique V0.3 : surveiller compréhension du vocabulaire, familiarité avec le contexte professionnel, désirabilité sociale, effet de prestige/statut au pilote.</t>
        </is>
      </c>
      <c r="Y93" s="6" t="inlineStr">
        <is>
          <t>FAIBLE</t>
        </is>
      </c>
      <c r="Z93" s="6" t="inlineStr">
        <is>
          <t>FAIBLE</t>
        </is>
      </c>
      <c r="AA93" s="6" t="inlineStr">
        <is>
          <t>FAIBLE</t>
        </is>
      </c>
      <c r="AB93" s="6" t="inlineStr">
        <is>
          <t>FAIBLE</t>
        </is>
      </c>
      <c r="AC93" s="6" t="inlineStr">
        <is>
          <t>MOYEN</t>
        </is>
      </c>
      <c r="AD93" s="6" t="inlineStr">
        <is>
          <t>FAIBLE</t>
        </is>
      </c>
      <c r="AE93" s="6" t="inlineStr">
        <is>
          <t>FAIBLE</t>
        </is>
      </c>
      <c r="AF93" s="6" t="inlineStr">
        <is>
          <t>MOYEN</t>
        </is>
      </c>
      <c r="AG93" s="6" t="inlineStr">
        <is>
          <t>MOYEN</t>
        </is>
      </c>
      <c r="AH93" s="6" t="inlineStr">
        <is>
          <t>MOYEN</t>
        </is>
      </c>
      <c r="AI93" s="6" t="inlineStr">
        <is>
          <t>FAIBLE</t>
        </is>
      </c>
      <c r="AJ93" s="4" t="n">
        <v>0</v>
      </c>
      <c r="AK93" s="4" t="n"/>
      <c r="AL93" s="6" t="inlineStr">
        <is>
          <t>RETENU_V0.5_REECRIT_CONCRET</t>
        </is>
      </c>
      <c r="AM93" s="6" t="n"/>
      <c r="AN93" s="4" t="inlineStr">
        <is>
          <t>PIP-BANK-0.3</t>
        </is>
      </c>
      <c r="AO93" s="6" t="inlineStr">
        <is>
          <t>PIP-BANK-0.4</t>
        </is>
      </c>
      <c r="AP93" s="8">
        <f>IF(OR(C93="PILOTE",C93="ACTIF"),IF(AND(A93&lt;&gt;"",H93&lt;&gt;"",I93&lt;&gt;"",K93&lt;&gt;"",V93&lt;&gt;"",W93&lt;&gt;""),"OK","A_COMPLETER"),"OK_STRUCTURE")</f>
        <v/>
      </c>
    </row>
    <row r="94" ht="72" customHeight="1" s="34">
      <c r="A94" s="4" t="inlineStr">
        <is>
          <t>PIP-ACT-E-E3-010</t>
        </is>
      </c>
      <c r="B94" s="4" t="inlineStr">
        <is>
          <t>0.2</t>
        </is>
      </c>
      <c r="C94" s="4" t="inlineStr">
        <is>
          <t>PILOTE</t>
        </is>
      </c>
      <c r="D94" s="4" t="inlineStr">
        <is>
          <t>08/09/2026</t>
        </is>
      </c>
      <c r="E94" s="4" t="inlineStr">
        <is>
          <t>08/09/2026</t>
        </is>
      </c>
      <c r="F94" s="4" t="inlineStr">
        <is>
          <t>ACT</t>
        </is>
      </c>
      <c r="G94" s="4" t="inlineStr">
        <is>
          <t>Verbe d’action + objet/contexte</t>
        </is>
      </c>
      <c r="H94" s="4" t="inlineStr">
        <is>
          <t>E</t>
        </is>
      </c>
      <c r="I94" s="4" t="inlineStr">
        <is>
          <t>E3</t>
        </is>
      </c>
      <c r="J94" s="6" t="inlineStr">
        <is>
          <t>S,C</t>
        </is>
      </c>
      <c r="K94" s="6" t="inlineStr">
        <is>
          <t>Chercher un compromis lorsque des personnes défendent des intérêts différents.</t>
        </is>
      </c>
      <c r="L94" s="4" t="inlineStr">
        <is>
          <t>Cela ne m’attire pas du tout</t>
        </is>
      </c>
      <c r="M94" s="4" t="inlineStr">
        <is>
          <t>Cela m’attire peu</t>
        </is>
      </c>
      <c r="N94" s="4" t="inlineStr">
        <is>
          <t>Je suis partagé(e) / sans préférence marquée</t>
        </is>
      </c>
      <c r="O94" s="4" t="inlineStr">
        <is>
          <t>Cela m’attire</t>
        </is>
      </c>
      <c r="P94" s="4" t="inlineStr">
        <is>
          <t>Cela m’attire beaucoup</t>
        </is>
      </c>
      <c r="Q94" s="4" t="n">
        <v>1</v>
      </c>
      <c r="R94" s="4" t="n">
        <v>2</v>
      </c>
      <c r="S94" s="4" t="n">
        <v>3</v>
      </c>
      <c r="T94" s="4" t="n">
        <v>4</v>
      </c>
      <c r="U94" s="4" t="n">
        <v>5</v>
      </c>
      <c r="V94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4" s="6" t="inlineStr">
        <is>
          <t>L’item relève de E3 — Négocier / obtenir un accord : Confronter des intérêts, rechercher des compromis et conclure des accords.</t>
        </is>
      </c>
      <c r="X94" s="6" t="inlineStr">
        <is>
          <t>Revue méthodologique V0.3 : surveiller compréhension du vocabulaire, désirabilité sociale, effet de prestige/statut, frontière avec S au pilote.</t>
        </is>
      </c>
      <c r="Y94" s="6" t="inlineStr">
        <is>
          <t>FAIBLE</t>
        </is>
      </c>
      <c r="Z94" s="6" t="inlineStr">
        <is>
          <t>FAIBLE</t>
        </is>
      </c>
      <c r="AA94" s="6" t="inlineStr">
        <is>
          <t>FAIBLE</t>
        </is>
      </c>
      <c r="AB94" s="6" t="inlineStr">
        <is>
          <t>FAIBLE</t>
        </is>
      </c>
      <c r="AC94" s="6" t="inlineStr">
        <is>
          <t>MOYEN</t>
        </is>
      </c>
      <c r="AD94" s="6" t="inlineStr">
        <is>
          <t>FAIBLE</t>
        </is>
      </c>
      <c r="AE94" s="6" t="inlineStr">
        <is>
          <t>FAIBLE</t>
        </is>
      </c>
      <c r="AF94" s="6" t="inlineStr">
        <is>
          <t>MOYEN</t>
        </is>
      </c>
      <c r="AG94" s="6" t="inlineStr">
        <is>
          <t>FAIBLE</t>
        </is>
      </c>
      <c r="AH94" s="6" t="inlineStr">
        <is>
          <t>MOYEN</t>
        </is>
      </c>
      <c r="AI94" s="6" t="inlineStr">
        <is>
          <t>MOYEN</t>
        </is>
      </c>
      <c r="AJ94" s="4" t="n">
        <v>0</v>
      </c>
      <c r="AK94" s="4" t="n"/>
      <c r="AL94" s="6" t="inlineStr">
        <is>
          <t>RETENU_V0.5_REECRIT_CONCRET</t>
        </is>
      </c>
      <c r="AM94" s="6" t="n"/>
      <c r="AN94" s="4" t="inlineStr">
        <is>
          <t>PIP-BANK-0.3</t>
        </is>
      </c>
      <c r="AO94" s="6" t="inlineStr">
        <is>
          <t>PIP-BANK-0.4</t>
        </is>
      </c>
      <c r="AP94" s="8">
        <f>IF(OR(C94="PILOTE",C94="ACTIF"),IF(AND(A94&lt;&gt;"",H94&lt;&gt;"",I94&lt;&gt;"",K94&lt;&gt;"",V94&lt;&gt;"",W94&lt;&gt;""),"OK","A_COMPLETER"),"OK_STRUCTURE")</f>
        <v/>
      </c>
    </row>
    <row r="95" ht="72" customHeight="1" s="34">
      <c r="A95" s="4" t="inlineStr">
        <is>
          <t>PIP-SIT-E-E3-011</t>
        </is>
      </c>
      <c r="B95" s="4" t="inlineStr">
        <is>
          <t>0.2</t>
        </is>
      </c>
      <c r="C95" s="4" t="inlineStr">
        <is>
          <t>PILOTE</t>
        </is>
      </c>
      <c r="D95" s="4" t="inlineStr">
        <is>
          <t>08/09/2026</t>
        </is>
      </c>
      <c r="E95" s="4" t="inlineStr">
        <is>
          <t>08/09/2026</t>
        </is>
      </c>
      <c r="F95" s="4" t="inlineStr">
        <is>
          <t>SIT</t>
        </is>
      </c>
      <c r="G95" s="4" t="inlineStr">
        <is>
          <t>Situation courte avec enjeu central</t>
        </is>
      </c>
      <c r="H95" s="4" t="inlineStr">
        <is>
          <t>E</t>
        </is>
      </c>
      <c r="I95" s="4" t="inlineStr">
        <is>
          <t>E3</t>
        </is>
      </c>
      <c r="J95" s="6" t="inlineStr">
        <is>
          <t>S,C</t>
        </is>
      </c>
      <c r="K95" s="6" t="inlineStr">
        <is>
          <t>Conduire une discussion où chacun a des attentes différentes afin d’aboutir à un accord.</t>
        </is>
      </c>
      <c r="L95" s="4" t="inlineStr">
        <is>
          <t>Cela ne m’attire pas du tout</t>
        </is>
      </c>
      <c r="M95" s="4" t="inlineStr">
        <is>
          <t>Cela m’attire peu</t>
        </is>
      </c>
      <c r="N95" s="4" t="inlineStr">
        <is>
          <t>Je suis partagé(e) / sans préférence marquée</t>
        </is>
      </c>
      <c r="O95" s="4" t="inlineStr">
        <is>
          <t>Cela m’attire</t>
        </is>
      </c>
      <c r="P95" s="4" t="inlineStr">
        <is>
          <t>Cela m’attire beaucoup</t>
        </is>
      </c>
      <c r="Q95" s="4" t="n">
        <v>1</v>
      </c>
      <c r="R95" s="4" t="n">
        <v>2</v>
      </c>
      <c r="S95" s="4" t="n">
        <v>3</v>
      </c>
      <c r="T95" s="4" t="n">
        <v>4</v>
      </c>
      <c r="U95" s="4" t="n">
        <v>5</v>
      </c>
      <c r="V95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5" s="6" t="inlineStr">
        <is>
          <t>L’item relève de E3 — Négocier / obtenir un accord : Confronter des intérêts, rechercher des compromis et conclure des accords.</t>
        </is>
      </c>
      <c r="X95" s="6" t="inlineStr">
        <is>
          <t>Revue méthodologique V0.3 : surveiller compréhension du vocabulaire, familiarité avec le contexte professionnel, désirabilité sociale, effet de prestige/statut au pilote.</t>
        </is>
      </c>
      <c r="Y95" s="6" t="inlineStr">
        <is>
          <t>FAIBLE</t>
        </is>
      </c>
      <c r="Z95" s="6" t="inlineStr">
        <is>
          <t>FAIBLE</t>
        </is>
      </c>
      <c r="AA95" s="6" t="inlineStr">
        <is>
          <t>FAIBLE</t>
        </is>
      </c>
      <c r="AB95" s="6" t="inlineStr">
        <is>
          <t>FAIBLE</t>
        </is>
      </c>
      <c r="AC95" s="6" t="inlineStr">
        <is>
          <t>MOYEN</t>
        </is>
      </c>
      <c r="AD95" s="6" t="inlineStr">
        <is>
          <t>FAIBLE</t>
        </is>
      </c>
      <c r="AE95" s="6" t="inlineStr">
        <is>
          <t>FAIBLE</t>
        </is>
      </c>
      <c r="AF95" s="6" t="inlineStr">
        <is>
          <t>MOYEN</t>
        </is>
      </c>
      <c r="AG95" s="6" t="inlineStr">
        <is>
          <t>MOYEN</t>
        </is>
      </c>
      <c r="AH95" s="6" t="inlineStr">
        <is>
          <t>MOYEN</t>
        </is>
      </c>
      <c r="AI95" s="6" t="inlineStr">
        <is>
          <t>FAIBLE</t>
        </is>
      </c>
      <c r="AJ95" s="4" t="n">
        <v>0</v>
      </c>
      <c r="AK95" s="4" t="n"/>
      <c r="AL95" s="6" t="inlineStr">
        <is>
          <t>RETIRE_BANQUE72_HISTORIQUE_CONSERVE</t>
        </is>
      </c>
      <c r="AM95" s="6" t="inlineStr">
        <is>
          <t>Réduction méthodologique 120→72 : doublon de facette / priorité aux activités professionnelles observables et aux items à plus faible risque.</t>
        </is>
      </c>
      <c r="AN95" s="4" t="inlineStr">
        <is>
          <t>PIP-BANK-0.3</t>
        </is>
      </c>
      <c r="AO95" s="6" t="inlineStr">
        <is>
          <t>PIP-BANK-0.3</t>
        </is>
      </c>
      <c r="AP95" s="8">
        <f>IF(OR(C95="PILOTE",C95="ACTIF"),IF(AND(A95&lt;&gt;"",H95&lt;&gt;"",I95&lt;&gt;"",K95&lt;&gt;"",V95&lt;&gt;"",W95&lt;&gt;""),"OK","A_COMPLETER"),"OK_STRUCTURE")</f>
        <v/>
      </c>
    </row>
    <row r="96" ht="72" customHeight="1" s="34">
      <c r="A96" s="4" t="inlineStr">
        <is>
          <t>PIP-ENV-E-E3-012</t>
        </is>
      </c>
      <c r="B96" s="4" t="inlineStr">
        <is>
          <t>0.2</t>
        </is>
      </c>
      <c r="C96" s="4" t="inlineStr">
        <is>
          <t>PILOTE</t>
        </is>
      </c>
      <c r="D96" s="4" t="inlineStr">
        <is>
          <t>08/09/2026</t>
        </is>
      </c>
      <c r="E96" s="4" t="inlineStr">
        <is>
          <t>08/09/2026</t>
        </is>
      </c>
      <c r="F96" s="4" t="inlineStr">
        <is>
          <t>ENV</t>
        </is>
      </c>
      <c r="G96" s="4" t="inlineStr">
        <is>
          <t>Contexte décrit par ce qu’il permet de faire</t>
        </is>
      </c>
      <c r="H96" s="4" t="inlineStr">
        <is>
          <t>E</t>
        </is>
      </c>
      <c r="I96" s="4" t="inlineStr">
        <is>
          <t>E3</t>
        </is>
      </c>
      <c r="J96" s="6" t="inlineStr">
        <is>
          <t>S,C</t>
        </is>
      </c>
      <c r="K96" s="6" t="inlineStr">
        <is>
          <t>Évoluer dans un contexte où la négociation et la recherche d’accords occupent une place importante.</t>
        </is>
      </c>
      <c r="L96" s="4" t="inlineStr">
        <is>
          <t>Cela ne m’attire pas du tout</t>
        </is>
      </c>
      <c r="M96" s="4" t="inlineStr">
        <is>
          <t>Cela m’attire peu</t>
        </is>
      </c>
      <c r="N96" s="4" t="inlineStr">
        <is>
          <t>Je suis partagé(e) / sans préférence marquée</t>
        </is>
      </c>
      <c r="O96" s="4" t="inlineStr">
        <is>
          <t>Cela m’attire</t>
        </is>
      </c>
      <c r="P96" s="4" t="inlineStr">
        <is>
          <t>Cela m’attire beaucoup</t>
        </is>
      </c>
      <c r="Q96" s="4" t="n">
        <v>1</v>
      </c>
      <c r="R96" s="4" t="n">
        <v>2</v>
      </c>
      <c r="S96" s="4" t="n">
        <v>3</v>
      </c>
      <c r="T96" s="4" t="n">
        <v>4</v>
      </c>
      <c r="U96" s="4" t="n">
        <v>5</v>
      </c>
      <c r="V96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6" s="6" t="inlineStr">
        <is>
          <t>L’item relève de E3 — Négocier / obtenir un accord : Confronter des intérêts, rechercher des compromis et conclure des accords.</t>
        </is>
      </c>
      <c r="X96" s="6" t="inlineStr">
        <is>
          <t>Revue méthodologique V0.3 : surveiller compréhension du vocabulaire, familiarité avec le contexte professionnel, désirabilité sociale, effet de prestige/statut au pilote.</t>
        </is>
      </c>
      <c r="Y96" s="6" t="inlineStr">
        <is>
          <t>FAIBLE</t>
        </is>
      </c>
      <c r="Z96" s="6" t="inlineStr">
        <is>
          <t>FAIBLE</t>
        </is>
      </c>
      <c r="AA96" s="6" t="inlineStr">
        <is>
          <t>FAIBLE</t>
        </is>
      </c>
      <c r="AB96" s="6" t="inlineStr">
        <is>
          <t>FAIBLE</t>
        </is>
      </c>
      <c r="AC96" s="6" t="inlineStr">
        <is>
          <t>MOYEN</t>
        </is>
      </c>
      <c r="AD96" s="6" t="inlineStr">
        <is>
          <t>FAIBLE</t>
        </is>
      </c>
      <c r="AE96" s="6" t="inlineStr">
        <is>
          <t>FAIBLE</t>
        </is>
      </c>
      <c r="AF96" s="6" t="inlineStr">
        <is>
          <t>MOYEN</t>
        </is>
      </c>
      <c r="AG96" s="6" t="inlineStr">
        <is>
          <t>MOYEN</t>
        </is>
      </c>
      <c r="AH96" s="6" t="inlineStr">
        <is>
          <t>MOYEN</t>
        </is>
      </c>
      <c r="AI96" s="6" t="inlineStr">
        <is>
          <t>FAIBLE</t>
        </is>
      </c>
      <c r="AJ96" s="4" t="n">
        <v>0</v>
      </c>
      <c r="AK96" s="4" t="n"/>
      <c r="AL96" s="6" t="inlineStr">
        <is>
          <t>RETIRE_BANQUE72_HISTORIQUE_CONSERVE</t>
        </is>
      </c>
      <c r="AM96" s="6" t="inlineStr">
        <is>
          <t>Réduction méthodologique 120→72 : doublon de facette / priorité aux activités professionnelles observables et aux items à plus faible risque.</t>
        </is>
      </c>
      <c r="AN96" s="4" t="inlineStr">
        <is>
          <t>PIP-BANK-0.3</t>
        </is>
      </c>
      <c r="AO96" s="6" t="inlineStr">
        <is>
          <t>PIP-BANK-0.3</t>
        </is>
      </c>
      <c r="AP96" s="8">
        <f>IF(OR(C96="PILOTE",C96="ACTIF"),IF(AND(A96&lt;&gt;"",H96&lt;&gt;"",I96&lt;&gt;"",K96&lt;&gt;"",V96&lt;&gt;"",W96&lt;&gt;""),"OK","A_COMPLETER"),"OK_STRUCTURE")</f>
        <v/>
      </c>
    </row>
    <row r="97" ht="72" customHeight="1" s="34">
      <c r="A97" s="4" t="inlineStr">
        <is>
          <t>PIP-ACT-E-E4-013</t>
        </is>
      </c>
      <c r="B97" s="4" t="inlineStr">
        <is>
          <t>0.2</t>
        </is>
      </c>
      <c r="C97" s="4" t="inlineStr">
        <is>
          <t>PILOTE</t>
        </is>
      </c>
      <c r="D97" s="4" t="inlineStr">
        <is>
          <t>08/09/2026</t>
        </is>
      </c>
      <c r="E97" s="4" t="inlineStr">
        <is>
          <t>08/09/2026</t>
        </is>
      </c>
      <c r="F97" s="4" t="inlineStr">
        <is>
          <t>ACT</t>
        </is>
      </c>
      <c r="G97" s="4" t="inlineStr">
        <is>
          <t>Verbe d’action + objet/contexte</t>
        </is>
      </c>
      <c r="H97" s="4" t="inlineStr">
        <is>
          <t>E</t>
        </is>
      </c>
      <c r="I97" s="4" t="inlineStr">
        <is>
          <t>E4</t>
        </is>
      </c>
      <c r="J97" s="6" t="inlineStr">
        <is>
          <t>C,S</t>
        </is>
      </c>
      <c r="K97" s="6" t="inlineStr">
        <is>
          <t>Coordonner le travail de plusieurs personnes pour faire avancer un projet.</t>
        </is>
      </c>
      <c r="L97" s="4" t="inlineStr">
        <is>
          <t>Cela ne m’attire pas du tout</t>
        </is>
      </c>
      <c r="M97" s="4" t="inlineStr">
        <is>
          <t>Cela m’attire peu</t>
        </is>
      </c>
      <c r="N97" s="4" t="inlineStr">
        <is>
          <t>Je suis partagé(e) / sans préférence marquée</t>
        </is>
      </c>
      <c r="O97" s="4" t="inlineStr">
        <is>
          <t>Cela m’attire</t>
        </is>
      </c>
      <c r="P97" s="4" t="inlineStr">
        <is>
          <t>Cela m’attire beaucoup</t>
        </is>
      </c>
      <c r="Q97" s="4" t="n">
        <v>1</v>
      </c>
      <c r="R97" s="4" t="n">
        <v>2</v>
      </c>
      <c r="S97" s="4" t="n">
        <v>3</v>
      </c>
      <c r="T97" s="4" t="n">
        <v>4</v>
      </c>
      <c r="U97" s="4" t="n">
        <v>5</v>
      </c>
      <c r="V97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7" s="6" t="inlineStr">
        <is>
          <t>L’item relève de E4 — Diriger / manager / décider : Assumer la conduite d’un projet ou collectif, décider et orienter l’action.</t>
        </is>
      </c>
      <c r="X97" s="6" t="inlineStr">
        <is>
          <t>Revue méthodologique V0.3 : surveiller compréhension du vocabulaire, désirabilité sociale, effet de prestige/statut, frontière avec S au pilote.</t>
        </is>
      </c>
      <c r="Y97" s="6" t="inlineStr">
        <is>
          <t>FAIBLE</t>
        </is>
      </c>
      <c r="Z97" s="6" t="inlineStr">
        <is>
          <t>FAIBLE</t>
        </is>
      </c>
      <c r="AA97" s="6" t="inlineStr">
        <is>
          <t>FAIBLE</t>
        </is>
      </c>
      <c r="AB97" s="6" t="inlineStr">
        <is>
          <t>FAIBLE</t>
        </is>
      </c>
      <c r="AC97" s="6" t="inlineStr">
        <is>
          <t>MOYEN</t>
        </is>
      </c>
      <c r="AD97" s="6" t="inlineStr">
        <is>
          <t>FAIBLE</t>
        </is>
      </c>
      <c r="AE97" s="6" t="inlineStr">
        <is>
          <t>FAIBLE</t>
        </is>
      </c>
      <c r="AF97" s="6" t="inlineStr">
        <is>
          <t>MOYEN</t>
        </is>
      </c>
      <c r="AG97" s="6" t="inlineStr">
        <is>
          <t>FAIBLE</t>
        </is>
      </c>
      <c r="AH97" s="6" t="inlineStr">
        <is>
          <t>MOYEN</t>
        </is>
      </c>
      <c r="AI97" s="6" t="inlineStr">
        <is>
          <t>MOYEN</t>
        </is>
      </c>
      <c r="AJ97" s="4" t="n">
        <v>0</v>
      </c>
      <c r="AK97" s="4" t="n"/>
      <c r="AL97" s="6" t="inlineStr">
        <is>
          <t>RETENU_V0.5_REECRIT_CONCRET</t>
        </is>
      </c>
      <c r="AM97" s="6" t="n"/>
      <c r="AN97" s="4" t="inlineStr">
        <is>
          <t>PIP-BANK-0.3</t>
        </is>
      </c>
      <c r="AO97" s="6" t="inlineStr">
        <is>
          <t>PIP-BANK-0.4</t>
        </is>
      </c>
      <c r="AP97" s="8">
        <f>IF(OR(C97="PILOTE",C97="ACTIF"),IF(AND(A97&lt;&gt;"",H97&lt;&gt;"",I97&lt;&gt;"",K97&lt;&gt;"",V97&lt;&gt;"",W97&lt;&gt;""),"OK","A_COMPLETER"),"OK_STRUCTURE")</f>
        <v/>
      </c>
    </row>
    <row r="98" ht="72" customHeight="1" s="34">
      <c r="A98" s="4" t="inlineStr">
        <is>
          <t>PIP-ACT-E-E4-014</t>
        </is>
      </c>
      <c r="B98" s="4" t="inlineStr">
        <is>
          <t>0.2</t>
        </is>
      </c>
      <c r="C98" s="4" t="inlineStr">
        <is>
          <t>PILOTE</t>
        </is>
      </c>
      <c r="D98" s="4" t="inlineStr">
        <is>
          <t>08/09/2026</t>
        </is>
      </c>
      <c r="E98" s="4" t="inlineStr">
        <is>
          <t>08/09/2026</t>
        </is>
      </c>
      <c r="F98" s="4" t="inlineStr">
        <is>
          <t>ACT</t>
        </is>
      </c>
      <c r="G98" s="4" t="inlineStr">
        <is>
          <t>Verbe d’action + objet/contexte</t>
        </is>
      </c>
      <c r="H98" s="4" t="inlineStr">
        <is>
          <t>E</t>
        </is>
      </c>
      <c r="I98" s="4" t="inlineStr">
        <is>
          <t>E4</t>
        </is>
      </c>
      <c r="J98" s="6" t="inlineStr">
        <is>
          <t>C,S</t>
        </is>
      </c>
      <c r="K98" s="6" t="inlineStr">
        <is>
          <t>Prendre des décisions qui orientent l’action d’une équipe ou d’un projet.</t>
        </is>
      </c>
      <c r="L98" s="4" t="inlineStr">
        <is>
          <t>Cela ne m’attire pas du tout</t>
        </is>
      </c>
      <c r="M98" s="4" t="inlineStr">
        <is>
          <t>Cela m’attire peu</t>
        </is>
      </c>
      <c r="N98" s="4" t="inlineStr">
        <is>
          <t>Je suis partagé(e) / sans préférence marquée</t>
        </is>
      </c>
      <c r="O98" s="4" t="inlineStr">
        <is>
          <t>Cela m’attire</t>
        </is>
      </c>
      <c r="P98" s="4" t="inlineStr">
        <is>
          <t>Cela m’attire beaucoup</t>
        </is>
      </c>
      <c r="Q98" s="4" t="n">
        <v>1</v>
      </c>
      <c r="R98" s="4" t="n">
        <v>2</v>
      </c>
      <c r="S98" s="4" t="n">
        <v>3</v>
      </c>
      <c r="T98" s="4" t="n">
        <v>4</v>
      </c>
      <c r="U98" s="4" t="n">
        <v>5</v>
      </c>
      <c r="V98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8" s="6" t="inlineStr">
        <is>
          <t>L’item relève de E4 — Diriger / manager / décider : Assumer la conduite d’un projet ou collectif, décider et orienter l’action.</t>
        </is>
      </c>
      <c r="X98" s="6" t="inlineStr">
        <is>
          <t>Revue méthodologique V0.3 : surveiller compréhension du vocabulaire, désirabilité sociale, effet de prestige/statut au pilote.</t>
        </is>
      </c>
      <c r="Y98" s="6" t="inlineStr">
        <is>
          <t>FAIBLE</t>
        </is>
      </c>
      <c r="Z98" s="6" t="inlineStr">
        <is>
          <t>FAIBLE</t>
        </is>
      </c>
      <c r="AA98" s="6" t="inlineStr">
        <is>
          <t>FAIBLE</t>
        </is>
      </c>
      <c r="AB98" s="6" t="inlineStr">
        <is>
          <t>FAIBLE</t>
        </is>
      </c>
      <c r="AC98" s="6" t="inlineStr">
        <is>
          <t>MOYEN</t>
        </is>
      </c>
      <c r="AD98" s="6" t="inlineStr">
        <is>
          <t>FAIBLE</t>
        </is>
      </c>
      <c r="AE98" s="6" t="inlineStr">
        <is>
          <t>FAIBLE</t>
        </is>
      </c>
      <c r="AF98" s="6" t="inlineStr">
        <is>
          <t>MOYEN</t>
        </is>
      </c>
      <c r="AG98" s="6" t="inlineStr">
        <is>
          <t>FAIBLE</t>
        </is>
      </c>
      <c r="AH98" s="6" t="inlineStr">
        <is>
          <t>MOYEN</t>
        </is>
      </c>
      <c r="AI98" s="6" t="inlineStr">
        <is>
          <t>FAIBLE</t>
        </is>
      </c>
      <c r="AJ98" s="4" t="n">
        <v>0</v>
      </c>
      <c r="AK98" s="4" t="n"/>
      <c r="AL98" s="6" t="inlineStr">
        <is>
          <t>RETENU_V0.5_REECRIT_CONCRET</t>
        </is>
      </c>
      <c r="AM98" s="6" t="n"/>
      <c r="AN98" s="4" t="inlineStr">
        <is>
          <t>PIP-BANK-0.3</t>
        </is>
      </c>
      <c r="AO98" s="6" t="inlineStr">
        <is>
          <t>PIP-BANK-0.4</t>
        </is>
      </c>
      <c r="AP98" s="8">
        <f>IF(OR(C98="PILOTE",C98="ACTIF"),IF(AND(A98&lt;&gt;"",H98&lt;&gt;"",I98&lt;&gt;"",K98&lt;&gt;"",V98&lt;&gt;"",W98&lt;&gt;""),"OK","A_COMPLETER"),"OK_STRUCTURE")</f>
        <v/>
      </c>
    </row>
    <row r="99" ht="72" customHeight="1" s="34">
      <c r="A99" s="4" t="inlineStr">
        <is>
          <t>PIP-SIT-E-E4-015</t>
        </is>
      </c>
      <c r="B99" s="4" t="inlineStr">
        <is>
          <t>0.2</t>
        </is>
      </c>
      <c r="C99" s="4" t="inlineStr">
        <is>
          <t>PILOTE</t>
        </is>
      </c>
      <c r="D99" s="4" t="inlineStr">
        <is>
          <t>08/09/2026</t>
        </is>
      </c>
      <c r="E99" s="4" t="inlineStr">
        <is>
          <t>08/09/2026</t>
        </is>
      </c>
      <c r="F99" s="4" t="inlineStr">
        <is>
          <t>SIT</t>
        </is>
      </c>
      <c r="G99" s="4" t="inlineStr">
        <is>
          <t>Situation courte avec enjeu central</t>
        </is>
      </c>
      <c r="H99" s="4" t="inlineStr">
        <is>
          <t>E</t>
        </is>
      </c>
      <c r="I99" s="4" t="inlineStr">
        <is>
          <t>E4</t>
        </is>
      </c>
      <c r="J99" s="6" t="inlineStr">
        <is>
          <t>C,S</t>
        </is>
      </c>
      <c r="K99" s="6" t="inlineStr">
        <is>
          <t>Arbitrer entre plusieurs priorités lorsque le groupe attend une décision pour continuer.</t>
        </is>
      </c>
      <c r="L99" s="4" t="inlineStr">
        <is>
          <t>Cela ne m’attire pas du tout</t>
        </is>
      </c>
      <c r="M99" s="4" t="inlineStr">
        <is>
          <t>Cela m’attire peu</t>
        </is>
      </c>
      <c r="N99" s="4" t="inlineStr">
        <is>
          <t>Je suis partagé(e) / sans préférence marquée</t>
        </is>
      </c>
      <c r="O99" s="4" t="inlineStr">
        <is>
          <t>Cela m’attire</t>
        </is>
      </c>
      <c r="P99" s="4" t="inlineStr">
        <is>
          <t>Cela m’attire beaucoup</t>
        </is>
      </c>
      <c r="Q99" s="4" t="n">
        <v>1</v>
      </c>
      <c r="R99" s="4" t="n">
        <v>2</v>
      </c>
      <c r="S99" s="4" t="n">
        <v>3</v>
      </c>
      <c r="T99" s="4" t="n">
        <v>4</v>
      </c>
      <c r="U99" s="4" t="n">
        <v>5</v>
      </c>
      <c r="V99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9" s="6" t="inlineStr">
        <is>
          <t>L’item relève de E4 — Diriger / manager / décider : Assumer la conduite d’un projet ou collectif, décider et orienter l’action.</t>
        </is>
      </c>
      <c r="X99" s="6" t="inlineStr">
        <is>
          <t>Revue méthodologique V0.3 : surveiller compréhension du vocabulaire, désirabilité sociale, effet de prestige/statut au pilote.</t>
        </is>
      </c>
      <c r="Y99" s="6" t="inlineStr">
        <is>
          <t>FAIBLE</t>
        </is>
      </c>
      <c r="Z99" s="6" t="inlineStr">
        <is>
          <t>FAIBLE</t>
        </is>
      </c>
      <c r="AA99" s="6" t="inlineStr">
        <is>
          <t>FAIBLE</t>
        </is>
      </c>
      <c r="AB99" s="6" t="inlineStr">
        <is>
          <t>FAIBLE</t>
        </is>
      </c>
      <c r="AC99" s="6" t="inlineStr">
        <is>
          <t>MOYEN</t>
        </is>
      </c>
      <c r="AD99" s="6" t="inlineStr">
        <is>
          <t>FAIBLE</t>
        </is>
      </c>
      <c r="AE99" s="6" t="inlineStr">
        <is>
          <t>FAIBLE</t>
        </is>
      </c>
      <c r="AF99" s="6" t="inlineStr">
        <is>
          <t>MOYEN</t>
        </is>
      </c>
      <c r="AG99" s="6" t="inlineStr">
        <is>
          <t>FAIBLE</t>
        </is>
      </c>
      <c r="AH99" s="6" t="inlineStr">
        <is>
          <t>MOYEN</t>
        </is>
      </c>
      <c r="AI99" s="6" t="inlineStr">
        <is>
          <t>FAIBLE</t>
        </is>
      </c>
      <c r="AJ99" s="4" t="n">
        <v>0</v>
      </c>
      <c r="AK99" s="4" t="n"/>
      <c r="AL99" s="6" t="inlineStr">
        <is>
          <t>RETIRE_BANQUE72_HISTORIQUE_CONSERVE</t>
        </is>
      </c>
      <c r="AM99" s="6" t="inlineStr">
        <is>
          <t>Réduction méthodologique 120→72 : doublon de facette / priorité aux activités professionnelles observables et aux items à plus faible risque.</t>
        </is>
      </c>
      <c r="AN99" s="4" t="inlineStr">
        <is>
          <t>PIP-BANK-0.3</t>
        </is>
      </c>
      <c r="AO99" s="6" t="inlineStr">
        <is>
          <t>PIP-BANK-0.3</t>
        </is>
      </c>
      <c r="AP99" s="8">
        <f>IF(OR(C99="PILOTE",C99="ACTIF"),IF(AND(A99&lt;&gt;"",H99&lt;&gt;"",I99&lt;&gt;"",K99&lt;&gt;"",V99&lt;&gt;"",W99&lt;&gt;""),"OK","A_COMPLETER"),"OK_STRUCTURE")</f>
        <v/>
      </c>
    </row>
    <row r="100" ht="72" customHeight="1" s="34">
      <c r="A100" s="4" t="inlineStr">
        <is>
          <t>PIP-ENV-E-E4-016</t>
        </is>
      </c>
      <c r="B100" s="4" t="inlineStr">
        <is>
          <t>0.2</t>
        </is>
      </c>
      <c r="C100" s="4" t="inlineStr">
        <is>
          <t>PILOTE</t>
        </is>
      </c>
      <c r="D100" s="4" t="inlineStr">
        <is>
          <t>08/09/2026</t>
        </is>
      </c>
      <c r="E100" s="4" t="inlineStr">
        <is>
          <t>08/09/2026</t>
        </is>
      </c>
      <c r="F100" s="4" t="inlineStr">
        <is>
          <t>ENV</t>
        </is>
      </c>
      <c r="G100" s="4" t="inlineStr">
        <is>
          <t>Contexte décrit par ce qu’il permet de faire</t>
        </is>
      </c>
      <c r="H100" s="4" t="inlineStr">
        <is>
          <t>E</t>
        </is>
      </c>
      <c r="I100" s="4" t="inlineStr">
        <is>
          <t>E4</t>
        </is>
      </c>
      <c r="J100" s="6" t="inlineStr">
        <is>
          <t>C,S</t>
        </is>
      </c>
      <c r="K100" s="6" t="inlineStr">
        <is>
          <t>Travailler dans un contexte où l’on assume régulièrement la responsabilité de décisions et de coordination.</t>
        </is>
      </c>
      <c r="L100" s="4" t="inlineStr">
        <is>
          <t>Cela ne m’attire pas du tout</t>
        </is>
      </c>
      <c r="M100" s="4" t="inlineStr">
        <is>
          <t>Cela m’attire peu</t>
        </is>
      </c>
      <c r="N100" s="4" t="inlineStr">
        <is>
          <t>Je suis partagé(e) / sans préférence marquée</t>
        </is>
      </c>
      <c r="O100" s="4" t="inlineStr">
        <is>
          <t>Cela m’attire</t>
        </is>
      </c>
      <c r="P100" s="4" t="inlineStr">
        <is>
          <t>Cela m’attire beaucoup</t>
        </is>
      </c>
      <c r="Q100" s="4" t="n">
        <v>1</v>
      </c>
      <c r="R100" s="4" t="n">
        <v>2</v>
      </c>
      <c r="S100" s="4" t="n">
        <v>3</v>
      </c>
      <c r="T100" s="4" t="n">
        <v>4</v>
      </c>
      <c r="U100" s="4" t="n">
        <v>5</v>
      </c>
      <c r="V100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100" s="6" t="inlineStr">
        <is>
          <t>L’item relève de E4 — Diriger / manager / décider : Assumer la conduite d’un projet ou collectif, décider et orienter l’action.</t>
        </is>
      </c>
      <c r="X100" s="6" t="inlineStr">
        <is>
          <t>Revue méthodologique V0.3 : surveiller compréhension du vocabulaire, désirabilité sociale, effet de prestige/statut au pilote.</t>
        </is>
      </c>
      <c r="Y100" s="6" t="inlineStr">
        <is>
          <t>FAIBLE</t>
        </is>
      </c>
      <c r="Z100" s="6" t="inlineStr">
        <is>
          <t>FAIBLE</t>
        </is>
      </c>
      <c r="AA100" s="6" t="inlineStr">
        <is>
          <t>FAIBLE</t>
        </is>
      </c>
      <c r="AB100" s="6" t="inlineStr">
        <is>
          <t>FAIBLE</t>
        </is>
      </c>
      <c r="AC100" s="6" t="inlineStr">
        <is>
          <t>MOYEN</t>
        </is>
      </c>
      <c r="AD100" s="6" t="inlineStr">
        <is>
          <t>FAIBLE</t>
        </is>
      </c>
      <c r="AE100" s="6" t="inlineStr">
        <is>
          <t>FAIBLE</t>
        </is>
      </c>
      <c r="AF100" s="6" t="inlineStr">
        <is>
          <t>MOYEN</t>
        </is>
      </c>
      <c r="AG100" s="6" t="inlineStr">
        <is>
          <t>FAIBLE</t>
        </is>
      </c>
      <c r="AH100" s="6" t="inlineStr">
        <is>
          <t>MOYEN</t>
        </is>
      </c>
      <c r="AI100" s="6" t="inlineStr">
        <is>
          <t>FAIBLE</t>
        </is>
      </c>
      <c r="AJ100" s="4" t="n">
        <v>0</v>
      </c>
      <c r="AK100" s="4" t="n"/>
      <c r="AL100" s="6" t="inlineStr">
        <is>
          <t>RETIRE_BANQUE72_HISTORIQUE_CONSERVE</t>
        </is>
      </c>
      <c r="AM100" s="6" t="inlineStr">
        <is>
          <t>Réduction méthodologique 120→72 : doublon de facette / priorité aux activités professionnelles observables et aux items à plus faible risque.</t>
        </is>
      </c>
      <c r="AN100" s="4" t="inlineStr">
        <is>
          <t>PIP-BANK-0.3</t>
        </is>
      </c>
      <c r="AO100" s="6" t="inlineStr">
        <is>
          <t>PIP-BANK-0.3</t>
        </is>
      </c>
      <c r="AP100" s="8">
        <f>IF(OR(C100="PILOTE",C100="ACTIF"),IF(AND(A100&lt;&gt;"",H100&lt;&gt;"",I100&lt;&gt;"",K100&lt;&gt;"",V100&lt;&gt;"",W100&lt;&gt;""),"OK","A_COMPLETER"),"OK_STRUCTURE")</f>
        <v/>
      </c>
    </row>
    <row r="101" ht="72" customHeight="1" s="34">
      <c r="A101" s="4" t="inlineStr">
        <is>
          <t>PIP-ACT-E-E5-017</t>
        </is>
      </c>
      <c r="B101" s="4" t="inlineStr">
        <is>
          <t>0.2</t>
        </is>
      </c>
      <c r="C101" s="4" t="inlineStr">
        <is>
          <t>PILOTE</t>
        </is>
      </c>
      <c r="D101" s="4" t="inlineStr">
        <is>
          <t>08/09/2026</t>
        </is>
      </c>
      <c r="E101" s="4" t="inlineStr">
        <is>
          <t>08/09/2026</t>
        </is>
      </c>
      <c r="F101" s="4" t="inlineStr">
        <is>
          <t>ACT</t>
        </is>
      </c>
      <c r="G101" s="4" t="inlineStr">
        <is>
          <t>Verbe d’action + objet/contexte</t>
        </is>
      </c>
      <c r="H101" s="4" t="inlineStr">
        <is>
          <t>E</t>
        </is>
      </c>
      <c r="I101" s="4" t="inlineStr">
        <is>
          <t>E5</t>
        </is>
      </c>
      <c r="J101" s="6" t="inlineStr">
        <is>
          <t>S,A</t>
        </is>
      </c>
      <c r="K101" s="6" t="inlineStr">
        <is>
          <t>Prendre la parole pour représenter une organisation, un projet ou une cause.</t>
        </is>
      </c>
      <c r="L101" s="4" t="inlineStr">
        <is>
          <t>Cela ne m’attire pas du tout</t>
        </is>
      </c>
      <c r="M101" s="4" t="inlineStr">
        <is>
          <t>Cela m’attire peu</t>
        </is>
      </c>
      <c r="N101" s="4" t="inlineStr">
        <is>
          <t>Je suis partagé(e) / sans préférence marquée</t>
        </is>
      </c>
      <c r="O101" s="4" t="inlineStr">
        <is>
          <t>Cela m’attire</t>
        </is>
      </c>
      <c r="P101" s="4" t="inlineStr">
        <is>
          <t>Cela m’attire beaucoup</t>
        </is>
      </c>
      <c r="Q101" s="4" t="n">
        <v>1</v>
      </c>
      <c r="R101" s="4" t="n">
        <v>2</v>
      </c>
      <c r="S101" s="4" t="n">
        <v>3</v>
      </c>
      <c r="T101" s="4" t="n">
        <v>4</v>
      </c>
      <c r="U101" s="4" t="n">
        <v>5</v>
      </c>
      <c r="V101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101" s="6" t="inlineStr">
        <is>
          <t>L’item relève de E5 — Influencer / représenter / mobiliser : Prendre la parole, représenter une position, créer de l’adhésion ou mobiliser.</t>
        </is>
      </c>
      <c r="X101" s="6" t="inlineStr">
        <is>
          <t>Revue méthodologique V0.3 : surveiller compréhension du vocabulaire, désirabilité sociale, effet de prestige/statut au pilote.</t>
        </is>
      </c>
      <c r="Y101" s="6" t="inlineStr">
        <is>
          <t>FAIBLE</t>
        </is>
      </c>
      <c r="Z101" s="6" t="inlineStr">
        <is>
          <t>FAIBLE</t>
        </is>
      </c>
      <c r="AA101" s="6" t="inlineStr">
        <is>
          <t>FAIBLE</t>
        </is>
      </c>
      <c r="AB101" s="6" t="inlineStr">
        <is>
          <t>FAIBLE</t>
        </is>
      </c>
      <c r="AC101" s="6" t="inlineStr">
        <is>
          <t>MOYEN</t>
        </is>
      </c>
      <c r="AD101" s="6" t="inlineStr">
        <is>
          <t>FAIBLE</t>
        </is>
      </c>
      <c r="AE101" s="6" t="inlineStr">
        <is>
          <t>FAIBLE</t>
        </is>
      </c>
      <c r="AF101" s="6" t="inlineStr">
        <is>
          <t>MOYEN</t>
        </is>
      </c>
      <c r="AG101" s="6" t="inlineStr">
        <is>
          <t>FAIBLE</t>
        </is>
      </c>
      <c r="AH101" s="6" t="inlineStr">
        <is>
          <t>MOYEN</t>
        </is>
      </c>
      <c r="AI101" s="6" t="inlineStr">
        <is>
          <t>FAIBLE</t>
        </is>
      </c>
      <c r="AJ101" s="4" t="n">
        <v>0</v>
      </c>
      <c r="AK101" s="4" t="n"/>
      <c r="AL101" s="6" t="inlineStr">
        <is>
          <t>RETENU_V0.5_REECRIT_CONCRET</t>
        </is>
      </c>
      <c r="AM101" s="6" t="n"/>
      <c r="AN101" s="4" t="inlineStr">
        <is>
          <t>PIP-BANK-0.3</t>
        </is>
      </c>
      <c r="AO101" s="6" t="inlineStr">
        <is>
          <t>PIP-BANK-0.4</t>
        </is>
      </c>
      <c r="AP101" s="8">
        <f>IF(OR(C101="PILOTE",C101="ACTIF"),IF(AND(A101&lt;&gt;"",H101&lt;&gt;"",I101&lt;&gt;"",K101&lt;&gt;"",V101&lt;&gt;"",W101&lt;&gt;""),"OK","A_COMPLETER"),"OK_STRUCTURE")</f>
        <v/>
      </c>
    </row>
    <row r="102" ht="72" customHeight="1" s="34">
      <c r="A102" s="4" t="inlineStr">
        <is>
          <t>PIP-ACT-E-E5-018</t>
        </is>
      </c>
      <c r="B102" s="4" t="inlineStr">
        <is>
          <t>0.2</t>
        </is>
      </c>
      <c r="C102" s="4" t="inlineStr">
        <is>
          <t>PILOTE</t>
        </is>
      </c>
      <c r="D102" s="4" t="inlineStr">
        <is>
          <t>08/09/2026</t>
        </is>
      </c>
      <c r="E102" s="4" t="inlineStr">
        <is>
          <t>08/09/2026</t>
        </is>
      </c>
      <c r="F102" s="4" t="inlineStr">
        <is>
          <t>ACT</t>
        </is>
      </c>
      <c r="G102" s="4" t="inlineStr">
        <is>
          <t>Verbe d’action + objet/contexte</t>
        </is>
      </c>
      <c r="H102" s="4" t="inlineStr">
        <is>
          <t>E</t>
        </is>
      </c>
      <c r="I102" s="4" t="inlineStr">
        <is>
          <t>E5</t>
        </is>
      </c>
      <c r="J102" s="6" t="inlineStr">
        <is>
          <t>S,A</t>
        </is>
      </c>
      <c r="K102" s="6" t="inlineStr">
        <is>
          <t>Mobiliser plusieurs personnes autour d’un objectif commun.</t>
        </is>
      </c>
      <c r="L102" s="4" t="inlineStr">
        <is>
          <t>Cela ne m’attire pas du tout</t>
        </is>
      </c>
      <c r="M102" s="4" t="inlineStr">
        <is>
          <t>Cela m’attire peu</t>
        </is>
      </c>
      <c r="N102" s="4" t="inlineStr">
        <is>
          <t>Je suis partagé(e) / sans préférence marquée</t>
        </is>
      </c>
      <c r="O102" s="4" t="inlineStr">
        <is>
          <t>Cela m’attire</t>
        </is>
      </c>
      <c r="P102" s="4" t="inlineStr">
        <is>
          <t>Cela m’attire beaucoup</t>
        </is>
      </c>
      <c r="Q102" s="4" t="n">
        <v>1</v>
      </c>
      <c r="R102" s="4" t="n">
        <v>2</v>
      </c>
      <c r="S102" s="4" t="n">
        <v>3</v>
      </c>
      <c r="T102" s="4" t="n">
        <v>4</v>
      </c>
      <c r="U102" s="4" t="n">
        <v>5</v>
      </c>
      <c r="V102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102" s="6" t="inlineStr">
        <is>
          <t>L’item relève de E5 — Influencer / représenter / mobiliser : Prendre la parole, représenter une position, créer de l’adhésion ou mobiliser.</t>
        </is>
      </c>
      <c r="X102" s="6" t="inlineStr">
        <is>
          <t>Revue méthodologique V0.3 : surveiller compréhension du vocabulaire, désirabilité sociale, effet de prestige/statut au pilote.</t>
        </is>
      </c>
      <c r="Y102" s="6" t="inlineStr">
        <is>
          <t>FAIBLE</t>
        </is>
      </c>
      <c r="Z102" s="6" t="inlineStr">
        <is>
          <t>FAIBLE</t>
        </is>
      </c>
      <c r="AA102" s="6" t="inlineStr">
        <is>
          <t>FAIBLE</t>
        </is>
      </c>
      <c r="AB102" s="6" t="inlineStr">
        <is>
          <t>FAIBLE</t>
        </is>
      </c>
      <c r="AC102" s="6" t="inlineStr">
        <is>
          <t>MOYEN</t>
        </is>
      </c>
      <c r="AD102" s="6" t="inlineStr">
        <is>
          <t>FAIBLE</t>
        </is>
      </c>
      <c r="AE102" s="6" t="inlineStr">
        <is>
          <t>FAIBLE</t>
        </is>
      </c>
      <c r="AF102" s="6" t="inlineStr">
        <is>
          <t>MOYEN</t>
        </is>
      </c>
      <c r="AG102" s="6" t="inlineStr">
        <is>
          <t>FAIBLE</t>
        </is>
      </c>
      <c r="AH102" s="6" t="inlineStr">
        <is>
          <t>MOYEN</t>
        </is>
      </c>
      <c r="AI102" s="6" t="inlineStr">
        <is>
          <t>FAIBLE</t>
        </is>
      </c>
      <c r="AJ102" s="4" t="n">
        <v>0</v>
      </c>
      <c r="AK102" s="4" t="n"/>
      <c r="AL102" s="6" t="inlineStr">
        <is>
          <t>RETENU_V0.5_REECRIT_CONCRET</t>
        </is>
      </c>
      <c r="AM102" s="6" t="n"/>
      <c r="AN102" s="4" t="inlineStr">
        <is>
          <t>PIP-BANK-0.3</t>
        </is>
      </c>
      <c r="AO102" s="6" t="inlineStr">
        <is>
          <t>PIP-BANK-0.4</t>
        </is>
      </c>
      <c r="AP102" s="8">
        <f>IF(OR(C102="PILOTE",C102="ACTIF"),IF(AND(A102&lt;&gt;"",H102&lt;&gt;"",I102&lt;&gt;"",K102&lt;&gt;"",V102&lt;&gt;"",W102&lt;&gt;""),"OK","A_COMPLETER"),"OK_STRUCTURE")</f>
        <v/>
      </c>
    </row>
    <row r="103" ht="72" customHeight="1" s="34">
      <c r="A103" s="4" t="inlineStr">
        <is>
          <t>PIP-SIT-E-E5-019</t>
        </is>
      </c>
      <c r="B103" s="4" t="inlineStr">
        <is>
          <t>0.2</t>
        </is>
      </c>
      <c r="C103" s="4" t="inlineStr">
        <is>
          <t>PILOTE</t>
        </is>
      </c>
      <c r="D103" s="4" t="inlineStr">
        <is>
          <t>08/09/2026</t>
        </is>
      </c>
      <c r="E103" s="4" t="inlineStr">
        <is>
          <t>08/09/2026</t>
        </is>
      </c>
      <c r="F103" s="4" t="inlineStr">
        <is>
          <t>SIT</t>
        </is>
      </c>
      <c r="G103" s="4" t="inlineStr">
        <is>
          <t>Situation courte avec enjeu central</t>
        </is>
      </c>
      <c r="H103" s="4" t="inlineStr">
        <is>
          <t>E</t>
        </is>
      </c>
      <c r="I103" s="4" t="inlineStr">
        <is>
          <t>E5</t>
        </is>
      </c>
      <c r="J103" s="6" t="inlineStr">
        <is>
          <t>S,A</t>
        </is>
      </c>
      <c r="K103" s="6" t="inlineStr">
        <is>
          <t>Faire adhérer un groupe à une orientation et l’encourager à se mettre en action.</t>
        </is>
      </c>
      <c r="L103" s="4" t="inlineStr">
        <is>
          <t>Cela ne m’attire pas du tout</t>
        </is>
      </c>
      <c r="M103" s="4" t="inlineStr">
        <is>
          <t>Cela m’attire peu</t>
        </is>
      </c>
      <c r="N103" s="4" t="inlineStr">
        <is>
          <t>Je suis partagé(e) / sans préférence marquée</t>
        </is>
      </c>
      <c r="O103" s="4" t="inlineStr">
        <is>
          <t>Cela m’attire</t>
        </is>
      </c>
      <c r="P103" s="4" t="inlineStr">
        <is>
          <t>Cela m’attire beaucoup</t>
        </is>
      </c>
      <c r="Q103" s="4" t="n">
        <v>1</v>
      </c>
      <c r="R103" s="4" t="n">
        <v>2</v>
      </c>
      <c r="S103" s="4" t="n">
        <v>3</v>
      </c>
      <c r="T103" s="4" t="n">
        <v>4</v>
      </c>
      <c r="U103" s="4" t="n">
        <v>5</v>
      </c>
      <c r="V103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103" s="6" t="inlineStr">
        <is>
          <t>L’item relève de E5 — Influencer / représenter / mobiliser : Prendre la parole, représenter une position, créer de l’adhésion ou mobiliser.</t>
        </is>
      </c>
      <c r="X103" s="6" t="inlineStr">
        <is>
          <t>Revue méthodologique V0.3 : surveiller compréhension du vocabulaire, désirabilité sociale, effet de prestige/statut au pilote.</t>
        </is>
      </c>
      <c r="Y103" s="6" t="inlineStr">
        <is>
          <t>FAIBLE</t>
        </is>
      </c>
      <c r="Z103" s="6" t="inlineStr">
        <is>
          <t>FAIBLE</t>
        </is>
      </c>
      <c r="AA103" s="6" t="inlineStr">
        <is>
          <t>FAIBLE</t>
        </is>
      </c>
      <c r="AB103" s="6" t="inlineStr">
        <is>
          <t>FAIBLE</t>
        </is>
      </c>
      <c r="AC103" s="6" t="inlineStr">
        <is>
          <t>MOYEN</t>
        </is>
      </c>
      <c r="AD103" s="6" t="inlineStr">
        <is>
          <t>FAIBLE</t>
        </is>
      </c>
      <c r="AE103" s="6" t="inlineStr">
        <is>
          <t>FAIBLE</t>
        </is>
      </c>
      <c r="AF103" s="6" t="inlineStr">
        <is>
          <t>MOYEN</t>
        </is>
      </c>
      <c r="AG103" s="6" t="inlineStr">
        <is>
          <t>FAIBLE</t>
        </is>
      </c>
      <c r="AH103" s="6" t="inlineStr">
        <is>
          <t>MOYEN</t>
        </is>
      </c>
      <c r="AI103" s="6" t="inlineStr">
        <is>
          <t>FAIBLE</t>
        </is>
      </c>
      <c r="AJ103" s="4" t="n">
        <v>0</v>
      </c>
      <c r="AK103" s="4" t="n"/>
      <c r="AL103" s="6" t="inlineStr">
        <is>
          <t>RETIRE_BANQUE72_HISTORIQUE_CONSERVE</t>
        </is>
      </c>
      <c r="AM103" s="6" t="inlineStr">
        <is>
          <t>Réduction méthodologique 120→72 : doublon de facette / priorité aux activités professionnelles observables et aux items à plus faible risque.</t>
        </is>
      </c>
      <c r="AN103" s="4" t="inlineStr">
        <is>
          <t>PIP-BANK-0.3</t>
        </is>
      </c>
      <c r="AO103" s="6" t="inlineStr">
        <is>
          <t>PIP-BANK-0.3</t>
        </is>
      </c>
      <c r="AP103" s="8">
        <f>IF(OR(C103="PILOTE",C103="ACTIF"),IF(AND(A103&lt;&gt;"",H103&lt;&gt;"",I103&lt;&gt;"",K103&lt;&gt;"",V103&lt;&gt;"",W103&lt;&gt;""),"OK","A_COMPLETER"),"OK_STRUCTURE")</f>
        <v/>
      </c>
    </row>
    <row r="104" ht="72" customHeight="1" s="34">
      <c r="A104" s="4" t="inlineStr">
        <is>
          <t>PIP-ENV-E-E5-020</t>
        </is>
      </c>
      <c r="B104" s="4" t="inlineStr">
        <is>
          <t>0.2</t>
        </is>
      </c>
      <c r="C104" s="4" t="inlineStr">
        <is>
          <t>PILOTE</t>
        </is>
      </c>
      <c r="D104" s="4" t="inlineStr">
        <is>
          <t>08/09/2026</t>
        </is>
      </c>
      <c r="E104" s="4" t="inlineStr">
        <is>
          <t>08/09/2026</t>
        </is>
      </c>
      <c r="F104" s="4" t="inlineStr">
        <is>
          <t>ENV</t>
        </is>
      </c>
      <c r="G104" s="4" t="inlineStr">
        <is>
          <t>Contexte décrit par ce qu’il permet de faire</t>
        </is>
      </c>
      <c r="H104" s="4" t="inlineStr">
        <is>
          <t>E</t>
        </is>
      </c>
      <c r="I104" s="4" t="inlineStr">
        <is>
          <t>E5</t>
        </is>
      </c>
      <c r="J104" s="6" t="inlineStr">
        <is>
          <t>S,A</t>
        </is>
      </c>
      <c r="K104" s="6" t="inlineStr">
        <is>
          <t>Évoluer dans un contexte où l’on représente des positions, prend la parole et cherche à mobiliser des personnes.</t>
        </is>
      </c>
      <c r="L104" s="4" t="inlineStr">
        <is>
          <t>Cela ne m’attire pas du tout</t>
        </is>
      </c>
      <c r="M104" s="4" t="inlineStr">
        <is>
          <t>Cela m’attire peu</t>
        </is>
      </c>
      <c r="N104" s="4" t="inlineStr">
        <is>
          <t>Je suis partagé(e) / sans préférence marquée</t>
        </is>
      </c>
      <c r="O104" s="4" t="inlineStr">
        <is>
          <t>Cela m’attire</t>
        </is>
      </c>
      <c r="P104" s="4" t="inlineStr">
        <is>
          <t>Cela m’attire beaucoup</t>
        </is>
      </c>
      <c r="Q104" s="4" t="n">
        <v>1</v>
      </c>
      <c r="R104" s="4" t="n">
        <v>2</v>
      </c>
      <c r="S104" s="4" t="n">
        <v>3</v>
      </c>
      <c r="T104" s="4" t="n">
        <v>4</v>
      </c>
      <c r="U104" s="4" t="n">
        <v>5</v>
      </c>
      <c r="V104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104" s="6" t="inlineStr">
        <is>
          <t>L’item relève de E5 — Influencer / représenter / mobiliser : Prendre la parole, représenter une position, créer de l’adhésion ou mobiliser.</t>
        </is>
      </c>
      <c r="X104" s="6" t="inlineStr">
        <is>
          <t>Revue méthodologique V0.3 : surveiller compréhension du vocabulaire, désirabilité sociale, effet de prestige/statut au pilote.</t>
        </is>
      </c>
      <c r="Y104" s="6" t="inlineStr">
        <is>
          <t>FAIBLE</t>
        </is>
      </c>
      <c r="Z104" s="6" t="inlineStr">
        <is>
          <t>FAIBLE</t>
        </is>
      </c>
      <c r="AA104" s="6" t="inlineStr">
        <is>
          <t>FAIBLE</t>
        </is>
      </c>
      <c r="AB104" s="6" t="inlineStr">
        <is>
          <t>FAIBLE</t>
        </is>
      </c>
      <c r="AC104" s="6" t="inlineStr">
        <is>
          <t>MOYEN</t>
        </is>
      </c>
      <c r="AD104" s="6" t="inlineStr">
        <is>
          <t>FAIBLE</t>
        </is>
      </c>
      <c r="AE104" s="6" t="inlineStr">
        <is>
          <t>FAIBLE</t>
        </is>
      </c>
      <c r="AF104" s="6" t="inlineStr">
        <is>
          <t>MOYEN</t>
        </is>
      </c>
      <c r="AG104" s="6" t="inlineStr">
        <is>
          <t>FAIBLE</t>
        </is>
      </c>
      <c r="AH104" s="6" t="inlineStr">
        <is>
          <t>MOYEN</t>
        </is>
      </c>
      <c r="AI104" s="6" t="inlineStr">
        <is>
          <t>FAIBLE</t>
        </is>
      </c>
      <c r="AJ104" s="4" t="n">
        <v>0</v>
      </c>
      <c r="AK104" s="4" t="n"/>
      <c r="AL104" s="6" t="inlineStr">
        <is>
          <t>RETIRE_BANQUE72_HISTORIQUE_CONSERVE</t>
        </is>
      </c>
      <c r="AM104" s="6" t="inlineStr">
        <is>
          <t>Réduction méthodologique 120→72 : doublon de facette / priorité aux activités professionnelles observables et aux items à plus faible risque.</t>
        </is>
      </c>
      <c r="AN104" s="4" t="inlineStr">
        <is>
          <t>PIP-BANK-0.3</t>
        </is>
      </c>
      <c r="AO104" s="6" t="inlineStr">
        <is>
          <t>PIP-BANK-0.3</t>
        </is>
      </c>
      <c r="AP104" s="8">
        <f>IF(OR(C104="PILOTE",C104="ACTIF"),IF(AND(A104&lt;&gt;"",H104&lt;&gt;"",I104&lt;&gt;"",K104&lt;&gt;"",V104&lt;&gt;"",W104&lt;&gt;""),"OK","A_COMPLETER"),"OK_STRUCTURE")</f>
        <v/>
      </c>
    </row>
    <row r="105" ht="72" customHeight="1" s="34">
      <c r="A105" s="4" t="inlineStr">
        <is>
          <t>PIP-ACT-C-C1-001</t>
        </is>
      </c>
      <c r="B105" s="4" t="inlineStr">
        <is>
          <t>0.2</t>
        </is>
      </c>
      <c r="C105" s="4" t="inlineStr">
        <is>
          <t>PILOTE</t>
        </is>
      </c>
      <c r="D105" s="4" t="inlineStr">
        <is>
          <t>08/09/2026</t>
        </is>
      </c>
      <c r="E105" s="4" t="inlineStr">
        <is>
          <t>08/09/2026</t>
        </is>
      </c>
      <c r="F105" s="4" t="inlineStr">
        <is>
          <t>ACT</t>
        </is>
      </c>
      <c r="G105" s="4" t="inlineStr">
        <is>
          <t>Verbe d’action + objet/contexte</t>
        </is>
      </c>
      <c r="H105" s="4" t="inlineStr">
        <is>
          <t>C</t>
        </is>
      </c>
      <c r="I105" s="4" t="inlineStr">
        <is>
          <t>C1</t>
        </is>
      </c>
      <c r="J105" s="6" t="inlineStr">
        <is>
          <t>I</t>
        </is>
      </c>
      <c r="K105" s="6" t="inlineStr">
        <is>
          <t>Organiser des informations pour qu’elles soient faciles à retrouver et à utiliser.</t>
        </is>
      </c>
      <c r="L105" s="4" t="inlineStr">
        <is>
          <t>Cela ne m’attire pas du tout</t>
        </is>
      </c>
      <c r="M105" s="4" t="inlineStr">
        <is>
          <t>Cela m’attire peu</t>
        </is>
      </c>
      <c r="N105" s="4" t="inlineStr">
        <is>
          <t>Je suis partagé(e) / sans préférence marquée</t>
        </is>
      </c>
      <c r="O105" s="4" t="inlineStr">
        <is>
          <t>Cela m’attire</t>
        </is>
      </c>
      <c r="P105" s="4" t="inlineStr">
        <is>
          <t>Cela m’attire beaucoup</t>
        </is>
      </c>
      <c r="Q105" s="4" t="n">
        <v>1</v>
      </c>
      <c r="R105" s="4" t="n">
        <v>2</v>
      </c>
      <c r="S105" s="4" t="n">
        <v>3</v>
      </c>
      <c r="T105" s="4" t="n">
        <v>4</v>
      </c>
      <c r="U105" s="4" t="n">
        <v>5</v>
      </c>
      <c r="V105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05" s="6" t="inlineStr">
        <is>
          <t>L’item relève de C1 — Organiser / classer / structurer : Mettre de l’ordre dans des informations, documents, ressources ou données.</t>
        </is>
      </c>
      <c r="X105" s="6" t="inlineStr">
        <is>
          <t>Revue méthodologique V0.3 : surveiller compréhension du vocabulaire, désirabilité sociale au pilote.</t>
        </is>
      </c>
      <c r="Y105" s="6" t="inlineStr">
        <is>
          <t>FAIBLE</t>
        </is>
      </c>
      <c r="Z105" s="6" t="inlineStr">
        <is>
          <t>FAIBLE</t>
        </is>
      </c>
      <c r="AA105" s="6" t="inlineStr">
        <is>
          <t>FAIBLE</t>
        </is>
      </c>
      <c r="AB105" s="6" t="inlineStr">
        <is>
          <t>FAIBLE</t>
        </is>
      </c>
      <c r="AC105" s="6" t="inlineStr">
        <is>
          <t>MOYEN</t>
        </is>
      </c>
      <c r="AD105" s="6" t="inlineStr">
        <is>
          <t>FAIBLE</t>
        </is>
      </c>
      <c r="AE105" s="6" t="inlineStr">
        <is>
          <t>FAIBLE</t>
        </is>
      </c>
      <c r="AF105" s="6" t="inlineStr">
        <is>
          <t>FAIBLE</t>
        </is>
      </c>
      <c r="AG105" s="6" t="inlineStr">
        <is>
          <t>FAIBLE</t>
        </is>
      </c>
      <c r="AH105" s="6" t="inlineStr">
        <is>
          <t>MOYEN</t>
        </is>
      </c>
      <c r="AI105" s="6" t="inlineStr">
        <is>
          <t>FAIBLE</t>
        </is>
      </c>
      <c r="AJ105" s="4" t="n">
        <v>0</v>
      </c>
      <c r="AK105" s="4" t="n"/>
      <c r="AL105" s="6" t="inlineStr">
        <is>
          <t>RETENU_V0.5_REECRIT_CONCRET</t>
        </is>
      </c>
      <c r="AM105" s="6" t="n"/>
      <c r="AN105" s="4" t="inlineStr">
        <is>
          <t>PIP-BANK-0.3</t>
        </is>
      </c>
      <c r="AO105" s="6" t="inlineStr">
        <is>
          <t>PIP-BANK-0.4</t>
        </is>
      </c>
      <c r="AP105" s="8">
        <f>IF(OR(C105="PILOTE",C105="ACTIF"),IF(AND(A105&lt;&gt;"",H105&lt;&gt;"",I105&lt;&gt;"",K105&lt;&gt;"",V105&lt;&gt;"",W105&lt;&gt;""),"OK","A_COMPLETER"),"OK_STRUCTURE")</f>
        <v/>
      </c>
    </row>
    <row r="106" ht="72" customHeight="1" s="34">
      <c r="A106" s="4" t="inlineStr">
        <is>
          <t>PIP-ACT-C-C1-002</t>
        </is>
      </c>
      <c r="B106" s="4" t="inlineStr">
        <is>
          <t>0.2</t>
        </is>
      </c>
      <c r="C106" s="4" t="inlineStr">
        <is>
          <t>PILOTE</t>
        </is>
      </c>
      <c r="D106" s="4" t="inlineStr">
        <is>
          <t>08/09/2026</t>
        </is>
      </c>
      <c r="E106" s="4" t="inlineStr">
        <is>
          <t>08/09/2026</t>
        </is>
      </c>
      <c r="F106" s="4" t="inlineStr">
        <is>
          <t>ACT</t>
        </is>
      </c>
      <c r="G106" s="4" t="inlineStr">
        <is>
          <t>Verbe d’action + objet/contexte</t>
        </is>
      </c>
      <c r="H106" s="4" t="inlineStr">
        <is>
          <t>C</t>
        </is>
      </c>
      <c r="I106" s="4" t="inlineStr">
        <is>
          <t>C1</t>
        </is>
      </c>
      <c r="J106" s="6" t="inlineStr">
        <is>
          <t>I</t>
        </is>
      </c>
      <c r="K106" s="6" t="inlineStr">
        <is>
          <t>Classer des documents ou des données selon une structure claire.</t>
        </is>
      </c>
      <c r="L106" s="4" t="inlineStr">
        <is>
          <t>Cela ne m’attire pas du tout</t>
        </is>
      </c>
      <c r="M106" s="4" t="inlineStr">
        <is>
          <t>Cela m’attire peu</t>
        </is>
      </c>
      <c r="N106" s="4" t="inlineStr">
        <is>
          <t>Je suis partagé(e) / sans préférence marquée</t>
        </is>
      </c>
      <c r="O106" s="4" t="inlineStr">
        <is>
          <t>Cela m’attire</t>
        </is>
      </c>
      <c r="P106" s="4" t="inlineStr">
        <is>
          <t>Cela m’attire beaucoup</t>
        </is>
      </c>
      <c r="Q106" s="4" t="n">
        <v>1</v>
      </c>
      <c r="R106" s="4" t="n">
        <v>2</v>
      </c>
      <c r="S106" s="4" t="n">
        <v>3</v>
      </c>
      <c r="T106" s="4" t="n">
        <v>4</v>
      </c>
      <c r="U106" s="4" t="n">
        <v>5</v>
      </c>
      <c r="V106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06" s="6" t="inlineStr">
        <is>
          <t>L’item relève de C1 — Organiser / classer / structurer : Mettre de l’ordre dans des informations, documents, ressources ou données.</t>
        </is>
      </c>
      <c r="X106" s="6" t="inlineStr">
        <is>
          <t>Revue méthodologique V0.3 : surveiller compréhension du vocabulaire, désirabilité sociale au pilote.</t>
        </is>
      </c>
      <c r="Y106" s="6" t="inlineStr">
        <is>
          <t>FAIBLE</t>
        </is>
      </c>
      <c r="Z106" s="6" t="inlineStr">
        <is>
          <t>FAIBLE</t>
        </is>
      </c>
      <c r="AA106" s="6" t="inlineStr">
        <is>
          <t>FAIBLE</t>
        </is>
      </c>
      <c r="AB106" s="6" t="inlineStr">
        <is>
          <t>FAIBLE</t>
        </is>
      </c>
      <c r="AC106" s="6" t="inlineStr">
        <is>
          <t>MOYEN</t>
        </is>
      </c>
      <c r="AD106" s="6" t="inlineStr">
        <is>
          <t>FAIBLE</t>
        </is>
      </c>
      <c r="AE106" s="6" t="inlineStr">
        <is>
          <t>FAIBLE</t>
        </is>
      </c>
      <c r="AF106" s="6" t="inlineStr">
        <is>
          <t>FAIBLE</t>
        </is>
      </c>
      <c r="AG106" s="6" t="inlineStr">
        <is>
          <t>FAIBLE</t>
        </is>
      </c>
      <c r="AH106" s="6" t="inlineStr">
        <is>
          <t>MOYEN</t>
        </is>
      </c>
      <c r="AI106" s="6" t="inlineStr">
        <is>
          <t>FAIBLE</t>
        </is>
      </c>
      <c r="AJ106" s="4" t="n">
        <v>0</v>
      </c>
      <c r="AK106" s="4" t="n"/>
      <c r="AL106" s="6" t="inlineStr">
        <is>
          <t>RETENU_V0.5_REECRIT_CONCRET</t>
        </is>
      </c>
      <c r="AM106" s="6" t="n"/>
      <c r="AN106" s="4" t="inlineStr">
        <is>
          <t>PIP-BANK-0.3</t>
        </is>
      </c>
      <c r="AO106" s="6" t="inlineStr">
        <is>
          <t>PIP-BANK-0.4</t>
        </is>
      </c>
      <c r="AP106" s="8">
        <f>IF(OR(C106="PILOTE",C106="ACTIF"),IF(AND(A106&lt;&gt;"",H106&lt;&gt;"",I106&lt;&gt;"",K106&lt;&gt;"",V106&lt;&gt;"",W106&lt;&gt;""),"OK","A_COMPLETER"),"OK_STRUCTURE")</f>
        <v/>
      </c>
    </row>
    <row r="107" ht="72" customHeight="1" s="34">
      <c r="A107" s="4" t="inlineStr">
        <is>
          <t>PIP-SIT-C-C1-003</t>
        </is>
      </c>
      <c r="B107" s="4" t="inlineStr">
        <is>
          <t>0.2</t>
        </is>
      </c>
      <c r="C107" s="4" t="inlineStr">
        <is>
          <t>PILOTE</t>
        </is>
      </c>
      <c r="D107" s="4" t="inlineStr">
        <is>
          <t>08/09/2026</t>
        </is>
      </c>
      <c r="E107" s="4" t="inlineStr">
        <is>
          <t>08/09/2026</t>
        </is>
      </c>
      <c r="F107" s="4" t="inlineStr">
        <is>
          <t>SIT</t>
        </is>
      </c>
      <c r="G107" s="4" t="inlineStr">
        <is>
          <t>Situation courte avec enjeu central</t>
        </is>
      </c>
      <c r="H107" s="4" t="inlineStr">
        <is>
          <t>C</t>
        </is>
      </c>
      <c r="I107" s="4" t="inlineStr">
        <is>
          <t>C1</t>
        </is>
      </c>
      <c r="J107" s="6" t="inlineStr">
        <is>
          <t>I</t>
        </is>
      </c>
      <c r="K107" s="6" t="inlineStr">
        <is>
          <t>Remettre de l’ordre dans un ensemble d’informations dispersées afin qu’il devienne exploitable.</t>
        </is>
      </c>
      <c r="L107" s="4" t="inlineStr">
        <is>
          <t>Cela ne m’attire pas du tout</t>
        </is>
      </c>
      <c r="M107" s="4" t="inlineStr">
        <is>
          <t>Cela m’attire peu</t>
        </is>
      </c>
      <c r="N107" s="4" t="inlineStr">
        <is>
          <t>Je suis partagé(e) / sans préférence marquée</t>
        </is>
      </c>
      <c r="O107" s="4" t="inlineStr">
        <is>
          <t>Cela m’attire</t>
        </is>
      </c>
      <c r="P107" s="4" t="inlineStr">
        <is>
          <t>Cela m’attire beaucoup</t>
        </is>
      </c>
      <c r="Q107" s="4" t="n">
        <v>1</v>
      </c>
      <c r="R107" s="4" t="n">
        <v>2</v>
      </c>
      <c r="S107" s="4" t="n">
        <v>3</v>
      </c>
      <c r="T107" s="4" t="n">
        <v>4</v>
      </c>
      <c r="U107" s="4" t="n">
        <v>5</v>
      </c>
      <c r="V107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07" s="6" t="inlineStr">
        <is>
          <t>L’item relève de C1 — Organiser / classer / structurer : Mettre de l’ordre dans des informations, documents, ressources ou données.</t>
        </is>
      </c>
      <c r="X107" s="6" t="inlineStr">
        <is>
          <t>Revue méthodologique V0.3 : surveiller compréhension du vocabulaire, désirabilité sociale au pilote.</t>
        </is>
      </c>
      <c r="Y107" s="6" t="inlineStr">
        <is>
          <t>FAIBLE</t>
        </is>
      </c>
      <c r="Z107" s="6" t="inlineStr">
        <is>
          <t>FAIBLE</t>
        </is>
      </c>
      <c r="AA107" s="6" t="inlineStr">
        <is>
          <t>FAIBLE</t>
        </is>
      </c>
      <c r="AB107" s="6" t="inlineStr">
        <is>
          <t>FAIBLE</t>
        </is>
      </c>
      <c r="AC107" s="6" t="inlineStr">
        <is>
          <t>MOYEN</t>
        </is>
      </c>
      <c r="AD107" s="6" t="inlineStr">
        <is>
          <t>FAIBLE</t>
        </is>
      </c>
      <c r="AE107" s="6" t="inlineStr">
        <is>
          <t>FAIBLE</t>
        </is>
      </c>
      <c r="AF107" s="6" t="inlineStr">
        <is>
          <t>FAIBLE</t>
        </is>
      </c>
      <c r="AG107" s="6" t="inlineStr">
        <is>
          <t>FAIBLE</t>
        </is>
      </c>
      <c r="AH107" s="6" t="inlineStr">
        <is>
          <t>MOYEN</t>
        </is>
      </c>
      <c r="AI107" s="6" t="inlineStr">
        <is>
          <t>FAIBLE</t>
        </is>
      </c>
      <c r="AJ107" s="4" t="n">
        <v>0</v>
      </c>
      <c r="AK107" s="4" t="n"/>
      <c r="AL107" s="6" t="inlineStr">
        <is>
          <t>RETENU_V0.5_REECRIT_CONCRET</t>
        </is>
      </c>
      <c r="AM107" s="6" t="n"/>
      <c r="AN107" s="4" t="inlineStr">
        <is>
          <t>PIP-BANK-0.3</t>
        </is>
      </c>
      <c r="AO107" s="6" t="inlineStr">
        <is>
          <t>PIP-BANK-0.4</t>
        </is>
      </c>
      <c r="AP107" s="8">
        <f>IF(OR(C107="PILOTE",C107="ACTIF"),IF(AND(A107&lt;&gt;"",H107&lt;&gt;"",I107&lt;&gt;"",K107&lt;&gt;"",V107&lt;&gt;"",W107&lt;&gt;""),"OK","A_COMPLETER"),"OK_STRUCTURE")</f>
        <v/>
      </c>
    </row>
    <row r="108" ht="72" customHeight="1" s="34">
      <c r="A108" s="4" t="inlineStr">
        <is>
          <t>PIP-ENV-C-C1-004</t>
        </is>
      </c>
      <c r="B108" s="4" t="inlineStr">
        <is>
          <t>0.2</t>
        </is>
      </c>
      <c r="C108" s="4" t="inlineStr">
        <is>
          <t>PILOTE</t>
        </is>
      </c>
      <c r="D108" s="4" t="inlineStr">
        <is>
          <t>08/09/2026</t>
        </is>
      </c>
      <c r="E108" s="4" t="inlineStr">
        <is>
          <t>08/09/2026</t>
        </is>
      </c>
      <c r="F108" s="4" t="inlineStr">
        <is>
          <t>ENV</t>
        </is>
      </c>
      <c r="G108" s="4" t="inlineStr">
        <is>
          <t>Contexte décrit par ce qu’il permet de faire</t>
        </is>
      </c>
      <c r="H108" s="4" t="inlineStr">
        <is>
          <t>C</t>
        </is>
      </c>
      <c r="I108" s="4" t="inlineStr">
        <is>
          <t>C1</t>
        </is>
      </c>
      <c r="J108" s="6" t="inlineStr">
        <is>
          <t>I</t>
        </is>
      </c>
      <c r="K108" s="6" t="inlineStr">
        <is>
          <t>Travailler dans un contexte où l’organisation claire des informations et des ressources est essentielle au bon fonctionnement.</t>
        </is>
      </c>
      <c r="L108" s="4" t="inlineStr">
        <is>
          <t>Cela ne m’attire pas du tout</t>
        </is>
      </c>
      <c r="M108" s="4" t="inlineStr">
        <is>
          <t>Cela m’attire peu</t>
        </is>
      </c>
      <c r="N108" s="4" t="inlineStr">
        <is>
          <t>Je suis partagé(e) / sans préférence marquée</t>
        </is>
      </c>
      <c r="O108" s="4" t="inlineStr">
        <is>
          <t>Cela m’attire</t>
        </is>
      </c>
      <c r="P108" s="4" t="inlineStr">
        <is>
          <t>Cela m’attire beaucoup</t>
        </is>
      </c>
      <c r="Q108" s="4" t="n">
        <v>1</v>
      </c>
      <c r="R108" s="4" t="n">
        <v>2</v>
      </c>
      <c r="S108" s="4" t="n">
        <v>3</v>
      </c>
      <c r="T108" s="4" t="n">
        <v>4</v>
      </c>
      <c r="U108" s="4" t="n">
        <v>5</v>
      </c>
      <c r="V108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08" s="6" t="inlineStr">
        <is>
          <t>L’item relève de C1 — Organiser / classer / structurer : Mettre de l’ordre dans des informations, documents, ressources ou données.</t>
        </is>
      </c>
      <c r="X108" s="6" t="inlineStr">
        <is>
          <t>Revue méthodologique V0.3 : surveiller compréhension du vocabulaire, désirabilité sociale au pilote.</t>
        </is>
      </c>
      <c r="Y108" s="6" t="inlineStr">
        <is>
          <t>FAIBLE</t>
        </is>
      </c>
      <c r="Z108" s="6" t="inlineStr">
        <is>
          <t>FAIBLE</t>
        </is>
      </c>
      <c r="AA108" s="6" t="inlineStr">
        <is>
          <t>FAIBLE</t>
        </is>
      </c>
      <c r="AB108" s="6" t="inlineStr">
        <is>
          <t>FAIBLE</t>
        </is>
      </c>
      <c r="AC108" s="6" t="inlineStr">
        <is>
          <t>MOYEN</t>
        </is>
      </c>
      <c r="AD108" s="6" t="inlineStr">
        <is>
          <t>FAIBLE</t>
        </is>
      </c>
      <c r="AE108" s="6" t="inlineStr">
        <is>
          <t>FAIBLE</t>
        </is>
      </c>
      <c r="AF108" s="6" t="inlineStr">
        <is>
          <t>FAIBLE</t>
        </is>
      </c>
      <c r="AG108" s="6" t="inlineStr">
        <is>
          <t>FAIBLE</t>
        </is>
      </c>
      <c r="AH108" s="6" t="inlineStr">
        <is>
          <t>MOYEN</t>
        </is>
      </c>
      <c r="AI108" s="6" t="inlineStr">
        <is>
          <t>FAIBLE</t>
        </is>
      </c>
      <c r="AJ108" s="4" t="n">
        <v>0</v>
      </c>
      <c r="AK108" s="4" t="n"/>
      <c r="AL108" s="6" t="inlineStr">
        <is>
          <t>RETIRE_BANQUE72_HISTORIQUE_CONSERVE</t>
        </is>
      </c>
      <c r="AM108" s="6" t="inlineStr">
        <is>
          <t>Réduction méthodologique 120→72 : doublon de facette / priorité aux activités professionnelles observables et aux items à plus faible risque.</t>
        </is>
      </c>
      <c r="AN108" s="4" t="inlineStr">
        <is>
          <t>PIP-BANK-0.3</t>
        </is>
      </c>
      <c r="AO108" s="6" t="inlineStr">
        <is>
          <t>PIP-BANK-0.3</t>
        </is>
      </c>
      <c r="AP108" s="8">
        <f>IF(OR(C108="PILOTE",C108="ACTIF"),IF(AND(A108&lt;&gt;"",H108&lt;&gt;"",I108&lt;&gt;"",K108&lt;&gt;"",V108&lt;&gt;"",W108&lt;&gt;""),"OK","A_COMPLETER"),"OK_STRUCTURE")</f>
        <v/>
      </c>
    </row>
    <row r="109" ht="72" customHeight="1" s="34">
      <c r="A109" s="4" t="inlineStr">
        <is>
          <t>PIP-ACT-C-C2-005</t>
        </is>
      </c>
      <c r="B109" s="4" t="inlineStr">
        <is>
          <t>0.2</t>
        </is>
      </c>
      <c r="C109" s="4" t="inlineStr">
        <is>
          <t>PILOTE</t>
        </is>
      </c>
      <c r="D109" s="4" t="inlineStr">
        <is>
          <t>08/09/2026</t>
        </is>
      </c>
      <c r="E109" s="4" t="inlineStr">
        <is>
          <t>08/09/2026</t>
        </is>
      </c>
      <c r="F109" s="4" t="inlineStr">
        <is>
          <t>ACT</t>
        </is>
      </c>
      <c r="G109" s="4" t="inlineStr">
        <is>
          <t>Verbe d’action + objet/contexte</t>
        </is>
      </c>
      <c r="H109" s="4" t="inlineStr">
        <is>
          <t>C</t>
        </is>
      </c>
      <c r="I109" s="4" t="inlineStr">
        <is>
          <t>C2</t>
        </is>
      </c>
      <c r="J109" s="6" t="inlineStr">
        <is>
          <t>I</t>
        </is>
      </c>
      <c r="K109" s="6" t="inlineStr">
        <is>
          <t>Enregistrer avec précision des informations dans un dossier ou un système.</t>
        </is>
      </c>
      <c r="L109" s="4" t="inlineStr">
        <is>
          <t>Cela ne m’attire pas du tout</t>
        </is>
      </c>
      <c r="M109" s="4" t="inlineStr">
        <is>
          <t>Cela m’attire peu</t>
        </is>
      </c>
      <c r="N109" s="4" t="inlineStr">
        <is>
          <t>Je suis partagé(e) / sans préférence marquée</t>
        </is>
      </c>
      <c r="O109" s="4" t="inlineStr">
        <is>
          <t>Cela m’attire</t>
        </is>
      </c>
      <c r="P109" s="4" t="inlineStr">
        <is>
          <t>Cela m’attire beaucoup</t>
        </is>
      </c>
      <c r="Q109" s="4" t="n">
        <v>1</v>
      </c>
      <c r="R109" s="4" t="n">
        <v>2</v>
      </c>
      <c r="S109" s="4" t="n">
        <v>3</v>
      </c>
      <c r="T109" s="4" t="n">
        <v>4</v>
      </c>
      <c r="U109" s="4" t="n">
        <v>5</v>
      </c>
      <c r="V109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09" s="6" t="inlineStr">
        <is>
          <t>L’item relève de C2 — Enregistrer / saisir / tenir à jour : Consigner, actualiser et maintenir des informations ou enregistrements.</t>
        </is>
      </c>
      <c r="X109" s="6" t="inlineStr">
        <is>
          <t>Revue méthodologique V0.3 : surveiller compréhension du vocabulaire, familiarité avec le contexte professionnel, désirabilité sociale au pilote.</t>
        </is>
      </c>
      <c r="Y109" s="6" t="inlineStr">
        <is>
          <t>FAIBLE</t>
        </is>
      </c>
      <c r="Z109" s="6" t="inlineStr">
        <is>
          <t>FAIBLE</t>
        </is>
      </c>
      <c r="AA109" s="6" t="inlineStr">
        <is>
          <t>FAIBLE</t>
        </is>
      </c>
      <c r="AB109" s="6" t="inlineStr">
        <is>
          <t>FAIBLE</t>
        </is>
      </c>
      <c r="AC109" s="6" t="inlineStr">
        <is>
          <t>MOYEN</t>
        </is>
      </c>
      <c r="AD109" s="6" t="inlineStr">
        <is>
          <t>FAIBLE</t>
        </is>
      </c>
      <c r="AE109" s="6" t="inlineStr">
        <is>
          <t>FAIBLE</t>
        </is>
      </c>
      <c r="AF109" s="6" t="inlineStr">
        <is>
          <t>FAIBLE</t>
        </is>
      </c>
      <c r="AG109" s="6" t="inlineStr">
        <is>
          <t>MOYEN</t>
        </is>
      </c>
      <c r="AH109" s="6" t="inlineStr">
        <is>
          <t>MOYEN</t>
        </is>
      </c>
      <c r="AI109" s="6" t="inlineStr">
        <is>
          <t>FAIBLE</t>
        </is>
      </c>
      <c r="AJ109" s="4" t="n">
        <v>0</v>
      </c>
      <c r="AK109" s="4" t="n"/>
      <c r="AL109" s="6" t="inlineStr">
        <is>
          <t>RETENU_V0.5_REECRIT_CONCRET</t>
        </is>
      </c>
      <c r="AM109" s="6" t="n"/>
      <c r="AN109" s="4" t="inlineStr">
        <is>
          <t>PIP-BANK-0.3</t>
        </is>
      </c>
      <c r="AO109" s="6" t="inlineStr">
        <is>
          <t>PIP-BANK-0.4</t>
        </is>
      </c>
      <c r="AP109" s="8">
        <f>IF(OR(C109="PILOTE",C109="ACTIF"),IF(AND(A109&lt;&gt;"",H109&lt;&gt;"",I109&lt;&gt;"",K109&lt;&gt;"",V109&lt;&gt;"",W109&lt;&gt;""),"OK","A_COMPLETER"),"OK_STRUCTURE")</f>
        <v/>
      </c>
    </row>
    <row r="110" ht="72" customHeight="1" s="34">
      <c r="A110" s="4" t="inlineStr">
        <is>
          <t>PIP-ACT-C-C2-006</t>
        </is>
      </c>
      <c r="B110" s="4" t="inlineStr">
        <is>
          <t>0.2</t>
        </is>
      </c>
      <c r="C110" s="4" t="inlineStr">
        <is>
          <t>PILOTE</t>
        </is>
      </c>
      <c r="D110" s="4" t="inlineStr">
        <is>
          <t>08/09/2026</t>
        </is>
      </c>
      <c r="E110" s="4" t="inlineStr">
        <is>
          <t>08/09/2026</t>
        </is>
      </c>
      <c r="F110" s="4" t="inlineStr">
        <is>
          <t>ACT</t>
        </is>
      </c>
      <c r="G110" s="4" t="inlineStr">
        <is>
          <t>Verbe d’action + objet/contexte</t>
        </is>
      </c>
      <c r="H110" s="4" t="inlineStr">
        <is>
          <t>C</t>
        </is>
      </c>
      <c r="I110" s="4" t="inlineStr">
        <is>
          <t>C2</t>
        </is>
      </c>
      <c r="J110" s="6" t="inlineStr">
        <is>
          <t>I</t>
        </is>
      </c>
      <c r="K110" s="6" t="inlineStr">
        <is>
          <t>Mettre régulièrement à jour des données pour qu’elles restent fiables.</t>
        </is>
      </c>
      <c r="L110" s="4" t="inlineStr">
        <is>
          <t>Cela ne m’attire pas du tout</t>
        </is>
      </c>
      <c r="M110" s="4" t="inlineStr">
        <is>
          <t>Cela m’attire peu</t>
        </is>
      </c>
      <c r="N110" s="4" t="inlineStr">
        <is>
          <t>Je suis partagé(e) / sans préférence marquée</t>
        </is>
      </c>
      <c r="O110" s="4" t="inlineStr">
        <is>
          <t>Cela m’attire</t>
        </is>
      </c>
      <c r="P110" s="4" t="inlineStr">
        <is>
          <t>Cela m’attire beaucoup</t>
        </is>
      </c>
      <c r="Q110" s="4" t="n">
        <v>1</v>
      </c>
      <c r="R110" s="4" t="n">
        <v>2</v>
      </c>
      <c r="S110" s="4" t="n">
        <v>3</v>
      </c>
      <c r="T110" s="4" t="n">
        <v>4</v>
      </c>
      <c r="U110" s="4" t="n">
        <v>5</v>
      </c>
      <c r="V110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0" s="6" t="inlineStr">
        <is>
          <t>L’item relève de C2 — Enregistrer / saisir / tenir à jour : Consigner, actualiser et maintenir des informations ou enregistrements.</t>
        </is>
      </c>
      <c r="X110" s="6" t="inlineStr">
        <is>
          <t>Revue méthodologique V0.3 : surveiller compréhension du vocabulaire, désirabilité sociale au pilote.</t>
        </is>
      </c>
      <c r="Y110" s="6" t="inlineStr">
        <is>
          <t>FAIBLE</t>
        </is>
      </c>
      <c r="Z110" s="6" t="inlineStr">
        <is>
          <t>FAIBLE</t>
        </is>
      </c>
      <c r="AA110" s="6" t="inlineStr">
        <is>
          <t>FAIBLE</t>
        </is>
      </c>
      <c r="AB110" s="6" t="inlineStr">
        <is>
          <t>FAIBLE</t>
        </is>
      </c>
      <c r="AC110" s="6" t="inlineStr">
        <is>
          <t>MOYEN</t>
        </is>
      </c>
      <c r="AD110" s="6" t="inlineStr">
        <is>
          <t>FAIBLE</t>
        </is>
      </c>
      <c r="AE110" s="6" t="inlineStr">
        <is>
          <t>FAIBLE</t>
        </is>
      </c>
      <c r="AF110" s="6" t="inlineStr">
        <is>
          <t>FAIBLE</t>
        </is>
      </c>
      <c r="AG110" s="6" t="inlineStr">
        <is>
          <t>FAIBLE</t>
        </is>
      </c>
      <c r="AH110" s="6" t="inlineStr">
        <is>
          <t>MOYEN</t>
        </is>
      </c>
      <c r="AI110" s="6" t="inlineStr">
        <is>
          <t>FAIBLE</t>
        </is>
      </c>
      <c r="AJ110" s="4" t="n">
        <v>0</v>
      </c>
      <c r="AK110" s="4" t="n"/>
      <c r="AL110" s="6" t="inlineStr">
        <is>
          <t>RETENU_V0.5_REECRIT_CONCRET</t>
        </is>
      </c>
      <c r="AM110" s="6" t="n"/>
      <c r="AN110" s="4" t="inlineStr">
        <is>
          <t>PIP-BANK-0.3</t>
        </is>
      </c>
      <c r="AO110" s="6" t="inlineStr">
        <is>
          <t>PIP-BANK-0.4</t>
        </is>
      </c>
      <c r="AP110" s="8">
        <f>IF(OR(C110="PILOTE",C110="ACTIF"),IF(AND(A110&lt;&gt;"",H110&lt;&gt;"",I110&lt;&gt;"",K110&lt;&gt;"",V110&lt;&gt;"",W110&lt;&gt;""),"OK","A_COMPLETER"),"OK_STRUCTURE")</f>
        <v/>
      </c>
    </row>
    <row r="111" ht="72" customHeight="1" s="34">
      <c r="A111" s="4" t="inlineStr">
        <is>
          <t>PIP-SIT-C-C2-007</t>
        </is>
      </c>
      <c r="B111" s="4" t="inlineStr">
        <is>
          <t>0.2</t>
        </is>
      </c>
      <c r="C111" s="4" t="inlineStr">
        <is>
          <t>PILOTE</t>
        </is>
      </c>
      <c r="D111" s="4" t="inlineStr">
        <is>
          <t>08/09/2026</t>
        </is>
      </c>
      <c r="E111" s="4" t="inlineStr">
        <is>
          <t>08/09/2026</t>
        </is>
      </c>
      <c r="F111" s="4" t="inlineStr">
        <is>
          <t>SIT</t>
        </is>
      </c>
      <c r="G111" s="4" t="inlineStr">
        <is>
          <t>Situation courte avec enjeu central</t>
        </is>
      </c>
      <c r="H111" s="4" t="inlineStr">
        <is>
          <t>C</t>
        </is>
      </c>
      <c r="I111" s="4" t="inlineStr">
        <is>
          <t>C2</t>
        </is>
      </c>
      <c r="J111" s="6" t="inlineStr">
        <is>
          <t>I</t>
        </is>
      </c>
      <c r="K111" s="6" t="inlineStr">
        <is>
          <t>Reprendre un ensemble d’informations incomplètes et les mettre à jour de manière méthodique.</t>
        </is>
      </c>
      <c r="L111" s="4" t="inlineStr">
        <is>
          <t>Cela ne m’attire pas du tout</t>
        </is>
      </c>
      <c r="M111" s="4" t="inlineStr">
        <is>
          <t>Cela m’attire peu</t>
        </is>
      </c>
      <c r="N111" s="4" t="inlineStr">
        <is>
          <t>Je suis partagé(e) / sans préférence marquée</t>
        </is>
      </c>
      <c r="O111" s="4" t="inlineStr">
        <is>
          <t>Cela m’attire</t>
        </is>
      </c>
      <c r="P111" s="4" t="inlineStr">
        <is>
          <t>Cela m’attire beaucoup</t>
        </is>
      </c>
      <c r="Q111" s="4" t="n">
        <v>1</v>
      </c>
      <c r="R111" s="4" t="n">
        <v>2</v>
      </c>
      <c r="S111" s="4" t="n">
        <v>3</v>
      </c>
      <c r="T111" s="4" t="n">
        <v>4</v>
      </c>
      <c r="U111" s="4" t="n">
        <v>5</v>
      </c>
      <c r="V111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1" s="6" t="inlineStr">
        <is>
          <t>L’item relève de C2 — Enregistrer / saisir / tenir à jour : Consigner, actualiser et maintenir des informations ou enregistrements.</t>
        </is>
      </c>
      <c r="X111" s="6" t="inlineStr">
        <is>
          <t>Revue méthodologique V0.3 : surveiller compréhension du vocabulaire, désirabilité sociale au pilote.</t>
        </is>
      </c>
      <c r="Y111" s="6" t="inlineStr">
        <is>
          <t>FAIBLE</t>
        </is>
      </c>
      <c r="Z111" s="6" t="inlineStr">
        <is>
          <t>FAIBLE</t>
        </is>
      </c>
      <c r="AA111" s="6" t="inlineStr">
        <is>
          <t>FAIBLE</t>
        </is>
      </c>
      <c r="AB111" s="6" t="inlineStr">
        <is>
          <t>FAIBLE</t>
        </is>
      </c>
      <c r="AC111" s="6" t="inlineStr">
        <is>
          <t>MOYEN</t>
        </is>
      </c>
      <c r="AD111" s="6" t="inlineStr">
        <is>
          <t>FAIBLE</t>
        </is>
      </c>
      <c r="AE111" s="6" t="inlineStr">
        <is>
          <t>FAIBLE</t>
        </is>
      </c>
      <c r="AF111" s="6" t="inlineStr">
        <is>
          <t>FAIBLE</t>
        </is>
      </c>
      <c r="AG111" s="6" t="inlineStr">
        <is>
          <t>FAIBLE</t>
        </is>
      </c>
      <c r="AH111" s="6" t="inlineStr">
        <is>
          <t>MOYEN</t>
        </is>
      </c>
      <c r="AI111" s="6" t="inlineStr">
        <is>
          <t>FAIBLE</t>
        </is>
      </c>
      <c r="AJ111" s="4" t="n">
        <v>0</v>
      </c>
      <c r="AK111" s="4" t="n"/>
      <c r="AL111" s="6" t="inlineStr">
        <is>
          <t>RETENU_V0.5_REECRIT_CONCRET</t>
        </is>
      </c>
      <c r="AM111" s="6" t="n"/>
      <c r="AN111" s="4" t="inlineStr">
        <is>
          <t>PIP-BANK-0.3</t>
        </is>
      </c>
      <c r="AO111" s="6" t="inlineStr">
        <is>
          <t>PIP-BANK-0.4</t>
        </is>
      </c>
      <c r="AP111" s="8">
        <f>IF(OR(C111="PILOTE",C111="ACTIF"),IF(AND(A111&lt;&gt;"",H111&lt;&gt;"",I111&lt;&gt;"",K111&lt;&gt;"",V111&lt;&gt;"",W111&lt;&gt;""),"OK","A_COMPLETER"),"OK_STRUCTURE")</f>
        <v/>
      </c>
    </row>
    <row r="112" ht="72" customHeight="1" s="34">
      <c r="A112" s="4" t="inlineStr">
        <is>
          <t>PIP-ENV-C-C2-008</t>
        </is>
      </c>
      <c r="B112" s="4" t="inlineStr">
        <is>
          <t>0.2</t>
        </is>
      </c>
      <c r="C112" s="4" t="inlineStr">
        <is>
          <t>PILOTE</t>
        </is>
      </c>
      <c r="D112" s="4" t="inlineStr">
        <is>
          <t>08/09/2026</t>
        </is>
      </c>
      <c r="E112" s="4" t="inlineStr">
        <is>
          <t>08/09/2026</t>
        </is>
      </c>
      <c r="F112" s="4" t="inlineStr">
        <is>
          <t>ENV</t>
        </is>
      </c>
      <c r="G112" s="4" t="inlineStr">
        <is>
          <t>Contexte décrit par ce qu’il permet de faire</t>
        </is>
      </c>
      <c r="H112" s="4" t="inlineStr">
        <is>
          <t>C</t>
        </is>
      </c>
      <c r="I112" s="4" t="inlineStr">
        <is>
          <t>C2</t>
        </is>
      </c>
      <c r="J112" s="6" t="inlineStr">
        <is>
          <t>I</t>
        </is>
      </c>
      <c r="K112" s="6" t="inlineStr">
        <is>
          <t>Évoluer dans un contexte où la tenue à jour et la traçabilité des informations occupent une place importante.</t>
        </is>
      </c>
      <c r="L112" s="4" t="inlineStr">
        <is>
          <t>Cela ne m’attire pas du tout</t>
        </is>
      </c>
      <c r="M112" s="4" t="inlineStr">
        <is>
          <t>Cela m’attire peu</t>
        </is>
      </c>
      <c r="N112" s="4" t="inlineStr">
        <is>
          <t>Je suis partagé(e) / sans préférence marquée</t>
        </is>
      </c>
      <c r="O112" s="4" t="inlineStr">
        <is>
          <t>Cela m’attire</t>
        </is>
      </c>
      <c r="P112" s="4" t="inlineStr">
        <is>
          <t>Cela m’attire beaucoup</t>
        </is>
      </c>
      <c r="Q112" s="4" t="n">
        <v>1</v>
      </c>
      <c r="R112" s="4" t="n">
        <v>2</v>
      </c>
      <c r="S112" s="4" t="n">
        <v>3</v>
      </c>
      <c r="T112" s="4" t="n">
        <v>4</v>
      </c>
      <c r="U112" s="4" t="n">
        <v>5</v>
      </c>
      <c r="V112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2" s="6" t="inlineStr">
        <is>
          <t>L’item relève de C2 — Enregistrer / saisir / tenir à jour : Consigner, actualiser et maintenir des informations ou enregistrements.</t>
        </is>
      </c>
      <c r="X112" s="6" t="inlineStr">
        <is>
          <t>Revue méthodologique V0.3 : surveiller compréhension du vocabulaire, désirabilité sociale au pilote.</t>
        </is>
      </c>
      <c r="Y112" s="6" t="inlineStr">
        <is>
          <t>FAIBLE</t>
        </is>
      </c>
      <c r="Z112" s="6" t="inlineStr">
        <is>
          <t>FAIBLE</t>
        </is>
      </c>
      <c r="AA112" s="6" t="inlineStr">
        <is>
          <t>FAIBLE</t>
        </is>
      </c>
      <c r="AB112" s="6" t="inlineStr">
        <is>
          <t>FAIBLE</t>
        </is>
      </c>
      <c r="AC112" s="6" t="inlineStr">
        <is>
          <t>MOYEN</t>
        </is>
      </c>
      <c r="AD112" s="6" t="inlineStr">
        <is>
          <t>FAIBLE</t>
        </is>
      </c>
      <c r="AE112" s="6" t="inlineStr">
        <is>
          <t>FAIBLE</t>
        </is>
      </c>
      <c r="AF112" s="6" t="inlineStr">
        <is>
          <t>FAIBLE</t>
        </is>
      </c>
      <c r="AG112" s="6" t="inlineStr">
        <is>
          <t>FAIBLE</t>
        </is>
      </c>
      <c r="AH112" s="6" t="inlineStr">
        <is>
          <t>MOYEN</t>
        </is>
      </c>
      <c r="AI112" s="6" t="inlineStr">
        <is>
          <t>FAIBLE</t>
        </is>
      </c>
      <c r="AJ112" s="4" t="n">
        <v>0</v>
      </c>
      <c r="AK112" s="4" t="n"/>
      <c r="AL112" s="6" t="inlineStr">
        <is>
          <t>RETIRE_BANQUE72_HISTORIQUE_CONSERVE</t>
        </is>
      </c>
      <c r="AM112" s="6" t="inlineStr">
        <is>
          <t>Réduction méthodologique 120→72 : doublon de facette / priorité aux activités professionnelles observables et aux items à plus faible risque.</t>
        </is>
      </c>
      <c r="AN112" s="4" t="inlineStr">
        <is>
          <t>PIP-BANK-0.3</t>
        </is>
      </c>
      <c r="AO112" s="6" t="inlineStr">
        <is>
          <t>PIP-BANK-0.3</t>
        </is>
      </c>
      <c r="AP112" s="8">
        <f>IF(OR(C112="PILOTE",C112="ACTIF"),IF(AND(A112&lt;&gt;"",H112&lt;&gt;"",I112&lt;&gt;"",K112&lt;&gt;"",V112&lt;&gt;"",W112&lt;&gt;""),"OK","A_COMPLETER"),"OK_STRUCTURE")</f>
        <v/>
      </c>
    </row>
    <row r="113" ht="72" customHeight="1" s="34">
      <c r="A113" s="4" t="inlineStr">
        <is>
          <t>PIP-ACT-C-C3-009</t>
        </is>
      </c>
      <c r="B113" s="4" t="inlineStr">
        <is>
          <t>0.2</t>
        </is>
      </c>
      <c r="C113" s="4" t="inlineStr">
        <is>
          <t>PILOTE</t>
        </is>
      </c>
      <c r="D113" s="4" t="inlineStr">
        <is>
          <t>08/09/2026</t>
        </is>
      </c>
      <c r="E113" s="4" t="inlineStr">
        <is>
          <t>08/09/2026</t>
        </is>
      </c>
      <c r="F113" s="4" t="inlineStr">
        <is>
          <t>ACT</t>
        </is>
      </c>
      <c r="G113" s="4" t="inlineStr">
        <is>
          <t>Verbe d’action + objet/contexte</t>
        </is>
      </c>
      <c r="H113" s="4" t="inlineStr">
        <is>
          <t>C</t>
        </is>
      </c>
      <c r="I113" s="4" t="inlineStr">
        <is>
          <t>C3</t>
        </is>
      </c>
      <c r="J113" s="6" t="inlineStr">
        <is>
          <t>I</t>
        </is>
      </c>
      <c r="K113" s="6" t="inlineStr">
        <is>
          <t>Vérifier l’exactitude d’informations avant qu’elles soient utilisées.</t>
        </is>
      </c>
      <c r="L113" s="4" t="inlineStr">
        <is>
          <t>Cela ne m’attire pas du tout</t>
        </is>
      </c>
      <c r="M113" s="4" t="inlineStr">
        <is>
          <t>Cela m’attire peu</t>
        </is>
      </c>
      <c r="N113" s="4" t="inlineStr">
        <is>
          <t>Je suis partagé(e) / sans préférence marquée</t>
        </is>
      </c>
      <c r="O113" s="4" t="inlineStr">
        <is>
          <t>Cela m’attire</t>
        </is>
      </c>
      <c r="P113" s="4" t="inlineStr">
        <is>
          <t>Cela m’attire beaucoup</t>
        </is>
      </c>
      <c r="Q113" s="4" t="n">
        <v>1</v>
      </c>
      <c r="R113" s="4" t="n">
        <v>2</v>
      </c>
      <c r="S113" s="4" t="n">
        <v>3</v>
      </c>
      <c r="T113" s="4" t="n">
        <v>4</v>
      </c>
      <c r="U113" s="4" t="n">
        <v>5</v>
      </c>
      <c r="V113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3" s="6" t="inlineStr">
        <is>
          <t>L’item relève de C3 — Vérifier / contrôler / fiabiliser : Contrôler exactitude, complétude ou conformité et repérer les écarts.</t>
        </is>
      </c>
      <c r="X113" s="6" t="inlineStr">
        <is>
          <t>Revue méthodologique V0.3 : surveiller compréhension du vocabulaire, désirabilité sociale au pilote.</t>
        </is>
      </c>
      <c r="Y113" s="6" t="inlineStr">
        <is>
          <t>FAIBLE</t>
        </is>
      </c>
      <c r="Z113" s="6" t="inlineStr">
        <is>
          <t>FAIBLE</t>
        </is>
      </c>
      <c r="AA113" s="6" t="inlineStr">
        <is>
          <t>FAIBLE</t>
        </is>
      </c>
      <c r="AB113" s="6" t="inlineStr">
        <is>
          <t>FAIBLE</t>
        </is>
      </c>
      <c r="AC113" s="6" t="inlineStr">
        <is>
          <t>MOYEN</t>
        </is>
      </c>
      <c r="AD113" s="6" t="inlineStr">
        <is>
          <t>FAIBLE</t>
        </is>
      </c>
      <c r="AE113" s="6" t="inlineStr">
        <is>
          <t>FAIBLE</t>
        </is>
      </c>
      <c r="AF113" s="6" t="inlineStr">
        <is>
          <t>FAIBLE</t>
        </is>
      </c>
      <c r="AG113" s="6" t="inlineStr">
        <is>
          <t>FAIBLE</t>
        </is>
      </c>
      <c r="AH113" s="6" t="inlineStr">
        <is>
          <t>MOYEN</t>
        </is>
      </c>
      <c r="AI113" s="6" t="inlineStr">
        <is>
          <t>FAIBLE</t>
        </is>
      </c>
      <c r="AJ113" s="4" t="n">
        <v>0</v>
      </c>
      <c r="AK113" s="4" t="n"/>
      <c r="AL113" s="6" t="inlineStr">
        <is>
          <t>RETENU_V0.5_REECRIT_CONCRET</t>
        </is>
      </c>
      <c r="AM113" s="6" t="n"/>
      <c r="AN113" s="4" t="inlineStr">
        <is>
          <t>PIP-BANK-0.3</t>
        </is>
      </c>
      <c r="AO113" s="6" t="inlineStr">
        <is>
          <t>PIP-BANK-0.4</t>
        </is>
      </c>
      <c r="AP113" s="8">
        <f>IF(OR(C113="PILOTE",C113="ACTIF"),IF(AND(A113&lt;&gt;"",H113&lt;&gt;"",I113&lt;&gt;"",K113&lt;&gt;"",V113&lt;&gt;"",W113&lt;&gt;""),"OK","A_COMPLETER"),"OK_STRUCTURE")</f>
        <v/>
      </c>
    </row>
    <row r="114" ht="72" customHeight="1" s="34">
      <c r="A114" s="4" t="inlineStr">
        <is>
          <t>PIP-ACT-C-C3-010</t>
        </is>
      </c>
      <c r="B114" s="4" t="inlineStr">
        <is>
          <t>0.2</t>
        </is>
      </c>
      <c r="C114" s="4" t="inlineStr">
        <is>
          <t>PILOTE</t>
        </is>
      </c>
      <c r="D114" s="4" t="inlineStr">
        <is>
          <t>08/09/2026</t>
        </is>
      </c>
      <c r="E114" s="4" t="inlineStr">
        <is>
          <t>08/09/2026</t>
        </is>
      </c>
      <c r="F114" s="4" t="inlineStr">
        <is>
          <t>ACT</t>
        </is>
      </c>
      <c r="G114" s="4" t="inlineStr">
        <is>
          <t>Verbe d’action + objet/contexte</t>
        </is>
      </c>
      <c r="H114" s="4" t="inlineStr">
        <is>
          <t>C</t>
        </is>
      </c>
      <c r="I114" s="4" t="inlineStr">
        <is>
          <t>C3</t>
        </is>
      </c>
      <c r="J114" s="6" t="inlineStr">
        <is>
          <t>I</t>
        </is>
      </c>
      <c r="K114" s="6" t="inlineStr">
        <is>
          <t>Comparer plusieurs données pour repérer une erreur ou une incohérence.</t>
        </is>
      </c>
      <c r="L114" s="4" t="inlineStr">
        <is>
          <t>Cela ne m’attire pas du tout</t>
        </is>
      </c>
      <c r="M114" s="4" t="inlineStr">
        <is>
          <t>Cela m’attire peu</t>
        </is>
      </c>
      <c r="N114" s="4" t="inlineStr">
        <is>
          <t>Je suis partagé(e) / sans préférence marquée</t>
        </is>
      </c>
      <c r="O114" s="4" t="inlineStr">
        <is>
          <t>Cela m’attire</t>
        </is>
      </c>
      <c r="P114" s="4" t="inlineStr">
        <is>
          <t>Cela m’attire beaucoup</t>
        </is>
      </c>
      <c r="Q114" s="4" t="n">
        <v>1</v>
      </c>
      <c r="R114" s="4" t="n">
        <v>2</v>
      </c>
      <c r="S114" s="4" t="n">
        <v>3</v>
      </c>
      <c r="T114" s="4" t="n">
        <v>4</v>
      </c>
      <c r="U114" s="4" t="n">
        <v>5</v>
      </c>
      <c r="V114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4" s="6" t="inlineStr">
        <is>
          <t>L’item relève de C3 — Vérifier / contrôler / fiabiliser : Contrôler exactitude, complétude ou conformité et repérer les écarts.</t>
        </is>
      </c>
      <c r="X114" s="6" t="inlineStr">
        <is>
          <t>Revue méthodologique V0.3 : surveiller compréhension du vocabulaire, désirabilité sociale, frontière avec I au pilote.</t>
        </is>
      </c>
      <c r="Y114" s="6" t="inlineStr">
        <is>
          <t>FAIBLE</t>
        </is>
      </c>
      <c r="Z114" s="6" t="inlineStr">
        <is>
          <t>FAIBLE</t>
        </is>
      </c>
      <c r="AA114" s="6" t="inlineStr">
        <is>
          <t>FAIBLE</t>
        </is>
      </c>
      <c r="AB114" s="6" t="inlineStr">
        <is>
          <t>FAIBLE</t>
        </is>
      </c>
      <c r="AC114" s="6" t="inlineStr">
        <is>
          <t>MOYEN</t>
        </is>
      </c>
      <c r="AD114" s="6" t="inlineStr">
        <is>
          <t>FAIBLE</t>
        </is>
      </c>
      <c r="AE114" s="6" t="inlineStr">
        <is>
          <t>FAIBLE</t>
        </is>
      </c>
      <c r="AF114" s="6" t="inlineStr">
        <is>
          <t>FAIBLE</t>
        </is>
      </c>
      <c r="AG114" s="6" t="inlineStr">
        <is>
          <t>FAIBLE</t>
        </is>
      </c>
      <c r="AH114" s="6" t="inlineStr">
        <is>
          <t>MOYEN</t>
        </is>
      </c>
      <c r="AI114" s="6" t="inlineStr">
        <is>
          <t>MOYEN</t>
        </is>
      </c>
      <c r="AJ114" s="4" t="n">
        <v>0</v>
      </c>
      <c r="AK114" s="4" t="n"/>
      <c r="AL114" s="6" t="inlineStr">
        <is>
          <t>RETENU_V0.5_REECRIT_CONCRET</t>
        </is>
      </c>
      <c r="AM114" s="6" t="n"/>
      <c r="AN114" s="4" t="inlineStr">
        <is>
          <t>PIP-BANK-0.3</t>
        </is>
      </c>
      <c r="AO114" s="6" t="inlineStr">
        <is>
          <t>PIP-BANK-0.4</t>
        </is>
      </c>
      <c r="AP114" s="8">
        <f>IF(OR(C114="PILOTE",C114="ACTIF"),IF(AND(A114&lt;&gt;"",H114&lt;&gt;"",I114&lt;&gt;"",K114&lt;&gt;"",V114&lt;&gt;"",W114&lt;&gt;""),"OK","A_COMPLETER"),"OK_STRUCTURE")</f>
        <v/>
      </c>
    </row>
    <row r="115" ht="72" customHeight="1" s="34">
      <c r="A115" s="4" t="inlineStr">
        <is>
          <t>PIP-SIT-C-C3-011</t>
        </is>
      </c>
      <c r="B115" s="4" t="inlineStr">
        <is>
          <t>0.2</t>
        </is>
      </c>
      <c r="C115" s="4" t="inlineStr">
        <is>
          <t>PILOTE</t>
        </is>
      </c>
      <c r="D115" s="4" t="inlineStr">
        <is>
          <t>08/09/2026</t>
        </is>
      </c>
      <c r="E115" s="4" t="inlineStr">
        <is>
          <t>08/09/2026</t>
        </is>
      </c>
      <c r="F115" s="4" t="inlineStr">
        <is>
          <t>SIT</t>
        </is>
      </c>
      <c r="G115" s="4" t="inlineStr">
        <is>
          <t>Situation courte avec enjeu central</t>
        </is>
      </c>
      <c r="H115" s="4" t="inlineStr">
        <is>
          <t>C</t>
        </is>
      </c>
      <c r="I115" s="4" t="inlineStr">
        <is>
          <t>C3</t>
        </is>
      </c>
      <c r="J115" s="6" t="inlineStr">
        <is>
          <t>I</t>
        </is>
      </c>
      <c r="K115" s="6" t="inlineStr">
        <is>
          <t>Contrôler un dossier afin de s’assurer que toutes les informations nécessaires sont présentes et exactes.</t>
        </is>
      </c>
      <c r="L115" s="4" t="inlineStr">
        <is>
          <t>Cela ne m’attire pas du tout</t>
        </is>
      </c>
      <c r="M115" s="4" t="inlineStr">
        <is>
          <t>Cela m’attire peu</t>
        </is>
      </c>
      <c r="N115" s="4" t="inlineStr">
        <is>
          <t>Je suis partagé(e) / sans préférence marquée</t>
        </is>
      </c>
      <c r="O115" s="4" t="inlineStr">
        <is>
          <t>Cela m’attire</t>
        </is>
      </c>
      <c r="P115" s="4" t="inlineStr">
        <is>
          <t>Cela m’attire beaucoup</t>
        </is>
      </c>
      <c r="Q115" s="4" t="n">
        <v>1</v>
      </c>
      <c r="R115" s="4" t="n">
        <v>2</v>
      </c>
      <c r="S115" s="4" t="n">
        <v>3</v>
      </c>
      <c r="T115" s="4" t="n">
        <v>4</v>
      </c>
      <c r="U115" s="4" t="n">
        <v>5</v>
      </c>
      <c r="V115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5" s="6" t="inlineStr">
        <is>
          <t>L’item relève de C3 — Vérifier / contrôler / fiabiliser : Contrôler exactitude, complétude ou conformité et repérer les écarts.</t>
        </is>
      </c>
      <c r="X115" s="6" t="inlineStr">
        <is>
          <t>Revue méthodologique V0.3 : surveiller compréhension du vocabulaire, familiarité avec le contexte professionnel, désirabilité sociale au pilote.</t>
        </is>
      </c>
      <c r="Y115" s="6" t="inlineStr">
        <is>
          <t>FAIBLE</t>
        </is>
      </c>
      <c r="Z115" s="6" t="inlineStr">
        <is>
          <t>FAIBLE</t>
        </is>
      </c>
      <c r="AA115" s="6" t="inlineStr">
        <is>
          <t>FAIBLE</t>
        </is>
      </c>
      <c r="AB115" s="6" t="inlineStr">
        <is>
          <t>FAIBLE</t>
        </is>
      </c>
      <c r="AC115" s="6" t="inlineStr">
        <is>
          <t>MOYEN</t>
        </is>
      </c>
      <c r="AD115" s="6" t="inlineStr">
        <is>
          <t>FAIBLE</t>
        </is>
      </c>
      <c r="AE115" s="6" t="inlineStr">
        <is>
          <t>FAIBLE</t>
        </is>
      </c>
      <c r="AF115" s="6" t="inlineStr">
        <is>
          <t>FAIBLE</t>
        </is>
      </c>
      <c r="AG115" s="6" t="inlineStr">
        <is>
          <t>MOYEN</t>
        </is>
      </c>
      <c r="AH115" s="6" t="inlineStr">
        <is>
          <t>MOYEN</t>
        </is>
      </c>
      <c r="AI115" s="6" t="inlineStr">
        <is>
          <t>FAIBLE</t>
        </is>
      </c>
      <c r="AJ115" s="4" t="n">
        <v>0</v>
      </c>
      <c r="AK115" s="4" t="n"/>
      <c r="AL115" s="6" t="inlineStr">
        <is>
          <t>RETIRE_BANQUE72_HISTORIQUE_CONSERVE</t>
        </is>
      </c>
      <c r="AM115" s="6" t="inlineStr">
        <is>
          <t>Réduction méthodologique 120→72 : doublon de facette / priorité aux activités professionnelles observables et aux items à plus faible risque.</t>
        </is>
      </c>
      <c r="AN115" s="4" t="inlineStr">
        <is>
          <t>PIP-BANK-0.3</t>
        </is>
      </c>
      <c r="AO115" s="6" t="inlineStr">
        <is>
          <t>PIP-BANK-0.3</t>
        </is>
      </c>
      <c r="AP115" s="8">
        <f>IF(OR(C115="PILOTE",C115="ACTIF"),IF(AND(A115&lt;&gt;"",H115&lt;&gt;"",I115&lt;&gt;"",K115&lt;&gt;"",V115&lt;&gt;"",W115&lt;&gt;""),"OK","A_COMPLETER"),"OK_STRUCTURE")</f>
        <v/>
      </c>
    </row>
    <row r="116" ht="72" customHeight="1" s="34">
      <c r="A116" s="4" t="inlineStr">
        <is>
          <t>PIP-ENV-C-C3-012</t>
        </is>
      </c>
      <c r="B116" s="4" t="inlineStr">
        <is>
          <t>0.2</t>
        </is>
      </c>
      <c r="C116" s="4" t="inlineStr">
        <is>
          <t>PILOTE</t>
        </is>
      </c>
      <c r="D116" s="4" t="inlineStr">
        <is>
          <t>08/09/2026</t>
        </is>
      </c>
      <c r="E116" s="4" t="inlineStr">
        <is>
          <t>08/09/2026</t>
        </is>
      </c>
      <c r="F116" s="4" t="inlineStr">
        <is>
          <t>ENV</t>
        </is>
      </c>
      <c r="G116" s="4" t="inlineStr">
        <is>
          <t>Contexte décrit par ce qu’il permet de faire</t>
        </is>
      </c>
      <c r="H116" s="4" t="inlineStr">
        <is>
          <t>C</t>
        </is>
      </c>
      <c r="I116" s="4" t="inlineStr">
        <is>
          <t>C3</t>
        </is>
      </c>
      <c r="J116" s="6" t="inlineStr">
        <is>
          <t>I</t>
        </is>
      </c>
      <c r="K116" s="6" t="inlineStr">
        <is>
          <t>Travailler dans un contexte où la fiabilité des données et les vérifications régulières sont importantes.</t>
        </is>
      </c>
      <c r="L116" s="4" t="inlineStr">
        <is>
          <t>Cela ne m’attire pas du tout</t>
        </is>
      </c>
      <c r="M116" s="4" t="inlineStr">
        <is>
          <t>Cela m’attire peu</t>
        </is>
      </c>
      <c r="N116" s="4" t="inlineStr">
        <is>
          <t>Je suis partagé(e) / sans préférence marquée</t>
        </is>
      </c>
      <c r="O116" s="4" t="inlineStr">
        <is>
          <t>Cela m’attire</t>
        </is>
      </c>
      <c r="P116" s="4" t="inlineStr">
        <is>
          <t>Cela m’attire beaucoup</t>
        </is>
      </c>
      <c r="Q116" s="4" t="n">
        <v>1</v>
      </c>
      <c r="R116" s="4" t="n">
        <v>2</v>
      </c>
      <c r="S116" s="4" t="n">
        <v>3</v>
      </c>
      <c r="T116" s="4" t="n">
        <v>4</v>
      </c>
      <c r="U116" s="4" t="n">
        <v>5</v>
      </c>
      <c r="V116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6" s="6" t="inlineStr">
        <is>
          <t>L’item relève de C3 — Vérifier / contrôler / fiabiliser : Contrôler exactitude, complétude ou conformité et repérer les écarts.</t>
        </is>
      </c>
      <c r="X116" s="6" t="inlineStr">
        <is>
          <t>Revue méthodologique V0.3 : surveiller compréhension du vocabulaire, désirabilité sociale au pilote.</t>
        </is>
      </c>
      <c r="Y116" s="6" t="inlineStr">
        <is>
          <t>FAIBLE</t>
        </is>
      </c>
      <c r="Z116" s="6" t="inlineStr">
        <is>
          <t>FAIBLE</t>
        </is>
      </c>
      <c r="AA116" s="6" t="inlineStr">
        <is>
          <t>FAIBLE</t>
        </is>
      </c>
      <c r="AB116" s="6" t="inlineStr">
        <is>
          <t>FAIBLE</t>
        </is>
      </c>
      <c r="AC116" s="6" t="inlineStr">
        <is>
          <t>MOYEN</t>
        </is>
      </c>
      <c r="AD116" s="6" t="inlineStr">
        <is>
          <t>FAIBLE</t>
        </is>
      </c>
      <c r="AE116" s="6" t="inlineStr">
        <is>
          <t>FAIBLE</t>
        </is>
      </c>
      <c r="AF116" s="6" t="inlineStr">
        <is>
          <t>FAIBLE</t>
        </is>
      </c>
      <c r="AG116" s="6" t="inlineStr">
        <is>
          <t>FAIBLE</t>
        </is>
      </c>
      <c r="AH116" s="6" t="inlineStr">
        <is>
          <t>MOYEN</t>
        </is>
      </c>
      <c r="AI116" s="6" t="inlineStr">
        <is>
          <t>FAIBLE</t>
        </is>
      </c>
      <c r="AJ116" s="4" t="n">
        <v>0</v>
      </c>
      <c r="AK116" s="4" t="n"/>
      <c r="AL116" s="6" t="inlineStr">
        <is>
          <t>RETIRE_BANQUE72_HISTORIQUE_CONSERVE</t>
        </is>
      </c>
      <c r="AM116" s="6" t="inlineStr">
        <is>
          <t>Réduction méthodologique 120→72 : doublon de facette / priorité aux activités professionnelles observables et aux items à plus faible risque.</t>
        </is>
      </c>
      <c r="AN116" s="4" t="inlineStr">
        <is>
          <t>PIP-BANK-0.3</t>
        </is>
      </c>
      <c r="AO116" s="6" t="inlineStr">
        <is>
          <t>PIP-BANK-0.3</t>
        </is>
      </c>
      <c r="AP116" s="8">
        <f>IF(OR(C116="PILOTE",C116="ACTIF"),IF(AND(A116&lt;&gt;"",H116&lt;&gt;"",I116&lt;&gt;"",K116&lt;&gt;"",V116&lt;&gt;"",W116&lt;&gt;""),"OK","A_COMPLETER"),"OK_STRUCTURE")</f>
        <v/>
      </c>
    </row>
    <row r="117" ht="72" customHeight="1" s="34">
      <c r="A117" s="4" t="inlineStr">
        <is>
          <t>PIP-ACT-C-C4-013</t>
        </is>
      </c>
      <c r="B117" s="4" t="inlineStr">
        <is>
          <t>0.2</t>
        </is>
      </c>
      <c r="C117" s="4" t="inlineStr">
        <is>
          <t>PILOTE</t>
        </is>
      </c>
      <c r="D117" s="4" t="inlineStr">
        <is>
          <t>08/09/2026</t>
        </is>
      </c>
      <c r="E117" s="4" t="inlineStr">
        <is>
          <t>08/09/2026</t>
        </is>
      </c>
      <c r="F117" s="4" t="inlineStr">
        <is>
          <t>ACT</t>
        </is>
      </c>
      <c r="G117" s="4" t="inlineStr">
        <is>
          <t>Verbe d’action + objet/contexte</t>
        </is>
      </c>
      <c r="H117" s="4" t="inlineStr">
        <is>
          <t>C</t>
        </is>
      </c>
      <c r="I117" s="4" t="inlineStr">
        <is>
          <t>C4</t>
        </is>
      </c>
      <c r="J117" s="6" t="inlineStr">
        <is>
          <t>R,I</t>
        </is>
      </c>
      <c r="K117" s="6" t="inlineStr">
        <is>
          <t>Suivre une procédure définie pour réaliser une opération de façon conforme.</t>
        </is>
      </c>
      <c r="L117" s="4" t="inlineStr">
        <is>
          <t>Cela ne m’attire pas du tout</t>
        </is>
      </c>
      <c r="M117" s="4" t="inlineStr">
        <is>
          <t>Cela m’attire peu</t>
        </is>
      </c>
      <c r="N117" s="4" t="inlineStr">
        <is>
          <t>Je suis partagé(e) / sans préférence marquée</t>
        </is>
      </c>
      <c r="O117" s="4" t="inlineStr">
        <is>
          <t>Cela m’attire</t>
        </is>
      </c>
      <c r="P117" s="4" t="inlineStr">
        <is>
          <t>Cela m’attire beaucoup</t>
        </is>
      </c>
      <c r="Q117" s="4" t="n">
        <v>1</v>
      </c>
      <c r="R117" s="4" t="n">
        <v>2</v>
      </c>
      <c r="S117" s="4" t="n">
        <v>3</v>
      </c>
      <c r="T117" s="4" t="n">
        <v>4</v>
      </c>
      <c r="U117" s="4" t="n">
        <v>5</v>
      </c>
      <c r="V117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7" s="6" t="inlineStr">
        <is>
          <t>L’item relève de C4 — Appliquer règles / procédures / conformité : Travailler dans un cadre explicite où règles, procédures ou normes sécurisent le résultat.</t>
        </is>
      </c>
      <c r="X117" s="6" t="inlineStr">
        <is>
          <t>Revue méthodologique V0.3 : surveiller compréhension du vocabulaire, familiarité avec le contexte professionnel, désirabilité sociale au pilote.</t>
        </is>
      </c>
      <c r="Y117" s="6" t="inlineStr">
        <is>
          <t>FAIBLE</t>
        </is>
      </c>
      <c r="Z117" s="6" t="inlineStr">
        <is>
          <t>FAIBLE</t>
        </is>
      </c>
      <c r="AA117" s="6" t="inlineStr">
        <is>
          <t>FAIBLE</t>
        </is>
      </c>
      <c r="AB117" s="6" t="inlineStr">
        <is>
          <t>FAIBLE</t>
        </is>
      </c>
      <c r="AC117" s="6" t="inlineStr">
        <is>
          <t>MOYEN</t>
        </is>
      </c>
      <c r="AD117" s="6" t="inlineStr">
        <is>
          <t>FAIBLE</t>
        </is>
      </c>
      <c r="AE117" s="6" t="inlineStr">
        <is>
          <t>FAIBLE</t>
        </is>
      </c>
      <c r="AF117" s="6" t="inlineStr">
        <is>
          <t>FAIBLE</t>
        </is>
      </c>
      <c r="AG117" s="6" t="inlineStr">
        <is>
          <t>MOYEN</t>
        </is>
      </c>
      <c r="AH117" s="6" t="inlineStr">
        <is>
          <t>MOYEN</t>
        </is>
      </c>
      <c r="AI117" s="6" t="inlineStr">
        <is>
          <t>FAIBLE</t>
        </is>
      </c>
      <c r="AJ117" s="4" t="n">
        <v>0</v>
      </c>
      <c r="AK117" s="4" t="n"/>
      <c r="AL117" s="6" t="inlineStr">
        <is>
          <t>RETENU_V0.5_REECRIT_CONCRET</t>
        </is>
      </c>
      <c r="AM117" s="6" t="n"/>
      <c r="AN117" s="4" t="inlineStr">
        <is>
          <t>PIP-BANK-0.3</t>
        </is>
      </c>
      <c r="AO117" s="6" t="inlineStr">
        <is>
          <t>PIP-BANK-0.4</t>
        </is>
      </c>
      <c r="AP117" s="8">
        <f>IF(OR(C117="PILOTE",C117="ACTIF"),IF(AND(A117&lt;&gt;"",H117&lt;&gt;"",I117&lt;&gt;"",K117&lt;&gt;"",V117&lt;&gt;"",W117&lt;&gt;""),"OK","A_COMPLETER"),"OK_STRUCTURE")</f>
        <v/>
      </c>
    </row>
    <row r="118" ht="72" customHeight="1" s="34">
      <c r="A118" s="4" t="inlineStr">
        <is>
          <t>PIP-ACT-C-C4-014</t>
        </is>
      </c>
      <c r="B118" s="4" t="inlineStr">
        <is>
          <t>0.2</t>
        </is>
      </c>
      <c r="C118" s="4" t="inlineStr">
        <is>
          <t>PILOTE</t>
        </is>
      </c>
      <c r="D118" s="4" t="inlineStr">
        <is>
          <t>08/09/2026</t>
        </is>
      </c>
      <c r="E118" s="4" t="inlineStr">
        <is>
          <t>08/09/2026</t>
        </is>
      </c>
      <c r="F118" s="4" t="inlineStr">
        <is>
          <t>ACT</t>
        </is>
      </c>
      <c r="G118" s="4" t="inlineStr">
        <is>
          <t>Verbe d’action + objet/contexte</t>
        </is>
      </c>
      <c r="H118" s="4" t="inlineStr">
        <is>
          <t>C</t>
        </is>
      </c>
      <c r="I118" s="4" t="inlineStr">
        <is>
          <t>C4</t>
        </is>
      </c>
      <c r="J118" s="6" t="inlineStr">
        <is>
          <t>R,I</t>
        </is>
      </c>
      <c r="K118" s="6" t="inlineStr">
        <is>
          <t>Vérifier qu’une activité respecte des règles ou des critères précis.</t>
        </is>
      </c>
      <c r="L118" s="4" t="inlineStr">
        <is>
          <t>Cela ne m’attire pas du tout</t>
        </is>
      </c>
      <c r="M118" s="4" t="inlineStr">
        <is>
          <t>Cela m’attire peu</t>
        </is>
      </c>
      <c r="N118" s="4" t="inlineStr">
        <is>
          <t>Je suis partagé(e) / sans préférence marquée</t>
        </is>
      </c>
      <c r="O118" s="4" t="inlineStr">
        <is>
          <t>Cela m’attire</t>
        </is>
      </c>
      <c r="P118" s="4" t="inlineStr">
        <is>
          <t>Cela m’attire beaucoup</t>
        </is>
      </c>
      <c r="Q118" s="4" t="n">
        <v>1</v>
      </c>
      <c r="R118" s="4" t="n">
        <v>2</v>
      </c>
      <c r="S118" s="4" t="n">
        <v>3</v>
      </c>
      <c r="T118" s="4" t="n">
        <v>4</v>
      </c>
      <c r="U118" s="4" t="n">
        <v>5</v>
      </c>
      <c r="V118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8" s="6" t="inlineStr">
        <is>
          <t>L’item relève de C4 — Appliquer règles / procédures / conformité : Travailler dans un cadre explicite où règles, procédures ou normes sécurisent le résultat.</t>
        </is>
      </c>
      <c r="X118" s="6" t="inlineStr">
        <is>
          <t>Revue méthodologique V0.3 : surveiller compréhension du vocabulaire, désirabilité sociale au pilote.</t>
        </is>
      </c>
      <c r="Y118" s="6" t="inlineStr">
        <is>
          <t>FAIBLE</t>
        </is>
      </c>
      <c r="Z118" s="6" t="inlineStr">
        <is>
          <t>FAIBLE</t>
        </is>
      </c>
      <c r="AA118" s="6" t="inlineStr">
        <is>
          <t>FAIBLE</t>
        </is>
      </c>
      <c r="AB118" s="6" t="inlineStr">
        <is>
          <t>FAIBLE</t>
        </is>
      </c>
      <c r="AC118" s="6" t="inlineStr">
        <is>
          <t>MOYEN</t>
        </is>
      </c>
      <c r="AD118" s="6" t="inlineStr">
        <is>
          <t>FAIBLE</t>
        </is>
      </c>
      <c r="AE118" s="6" t="inlineStr">
        <is>
          <t>FAIBLE</t>
        </is>
      </c>
      <c r="AF118" s="6" t="inlineStr">
        <is>
          <t>FAIBLE</t>
        </is>
      </c>
      <c r="AG118" s="6" t="inlineStr">
        <is>
          <t>FAIBLE</t>
        </is>
      </c>
      <c r="AH118" s="6" t="inlineStr">
        <is>
          <t>MOYEN</t>
        </is>
      </c>
      <c r="AI118" s="6" t="inlineStr">
        <is>
          <t>FAIBLE</t>
        </is>
      </c>
      <c r="AJ118" s="4" t="n">
        <v>0</v>
      </c>
      <c r="AK118" s="4" t="n"/>
      <c r="AL118" s="6" t="inlineStr">
        <is>
          <t>RETENU_V0.5_REECRIT_CONCRET</t>
        </is>
      </c>
      <c r="AM118" s="6" t="n"/>
      <c r="AN118" s="4" t="inlineStr">
        <is>
          <t>PIP-BANK-0.3</t>
        </is>
      </c>
      <c r="AO118" s="6" t="inlineStr">
        <is>
          <t>PIP-BANK-0.4</t>
        </is>
      </c>
      <c r="AP118" s="8">
        <f>IF(OR(C118="PILOTE",C118="ACTIF"),IF(AND(A118&lt;&gt;"",H118&lt;&gt;"",I118&lt;&gt;"",K118&lt;&gt;"",V118&lt;&gt;"",W118&lt;&gt;""),"OK","A_COMPLETER"),"OK_STRUCTURE")</f>
        <v/>
      </c>
    </row>
    <row r="119" ht="72" customHeight="1" s="34">
      <c r="A119" s="4" t="inlineStr">
        <is>
          <t>PIP-SIT-C-C4-015</t>
        </is>
      </c>
      <c r="B119" s="4" t="inlineStr">
        <is>
          <t>0.2</t>
        </is>
      </c>
      <c r="C119" s="4" t="inlineStr">
        <is>
          <t>PILOTE</t>
        </is>
      </c>
      <c r="D119" s="4" t="inlineStr">
        <is>
          <t>08/09/2026</t>
        </is>
      </c>
      <c r="E119" s="4" t="inlineStr">
        <is>
          <t>08/09/2026</t>
        </is>
      </c>
      <c r="F119" s="4" t="inlineStr">
        <is>
          <t>SIT</t>
        </is>
      </c>
      <c r="G119" s="4" t="inlineStr">
        <is>
          <t>Situation courte avec enjeu central</t>
        </is>
      </c>
      <c r="H119" s="4" t="inlineStr">
        <is>
          <t>C</t>
        </is>
      </c>
      <c r="I119" s="4" t="inlineStr">
        <is>
          <t>C4</t>
        </is>
      </c>
      <c r="J119" s="6" t="inlineStr">
        <is>
          <t>R,I</t>
        </is>
      </c>
      <c r="K119" s="6" t="inlineStr">
        <is>
          <t>Traiter une situation en appliquant méthodiquement les règles prévues pour ce type de cas.</t>
        </is>
      </c>
      <c r="L119" s="4" t="inlineStr">
        <is>
          <t>Cela ne m’attire pas du tout</t>
        </is>
      </c>
      <c r="M119" s="4" t="inlineStr">
        <is>
          <t>Cela m’attire peu</t>
        </is>
      </c>
      <c r="N119" s="4" t="inlineStr">
        <is>
          <t>Je suis partagé(e) / sans préférence marquée</t>
        </is>
      </c>
      <c r="O119" s="4" t="inlineStr">
        <is>
          <t>Cela m’attire</t>
        </is>
      </c>
      <c r="P119" s="4" t="inlineStr">
        <is>
          <t>Cela m’attire beaucoup</t>
        </is>
      </c>
      <c r="Q119" s="4" t="n">
        <v>1</v>
      </c>
      <c r="R119" s="4" t="n">
        <v>2</v>
      </c>
      <c r="S119" s="4" t="n">
        <v>3</v>
      </c>
      <c r="T119" s="4" t="n">
        <v>4</v>
      </c>
      <c r="U119" s="4" t="n">
        <v>5</v>
      </c>
      <c r="V119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9" s="6" t="inlineStr">
        <is>
          <t>L’item relève de C4 — Appliquer règles / procédures / conformité : Travailler dans un cadre explicite où règles, procédures ou normes sécurisent le résultat.</t>
        </is>
      </c>
      <c r="X119" s="6" t="inlineStr">
        <is>
          <t>Revue méthodologique V0.3 : surveiller compréhension du vocabulaire, désirabilité sociale au pilote.</t>
        </is>
      </c>
      <c r="Y119" s="6" t="inlineStr">
        <is>
          <t>FAIBLE</t>
        </is>
      </c>
      <c r="Z119" s="6" t="inlineStr">
        <is>
          <t>FAIBLE</t>
        </is>
      </c>
      <c r="AA119" s="6" t="inlineStr">
        <is>
          <t>FAIBLE</t>
        </is>
      </c>
      <c r="AB119" s="6" t="inlineStr">
        <is>
          <t>FAIBLE</t>
        </is>
      </c>
      <c r="AC119" s="6" t="inlineStr">
        <is>
          <t>MOYEN</t>
        </is>
      </c>
      <c r="AD119" s="6" t="inlineStr">
        <is>
          <t>FAIBLE</t>
        </is>
      </c>
      <c r="AE119" s="6" t="inlineStr">
        <is>
          <t>FAIBLE</t>
        </is>
      </c>
      <c r="AF119" s="6" t="inlineStr">
        <is>
          <t>FAIBLE</t>
        </is>
      </c>
      <c r="AG119" s="6" t="inlineStr">
        <is>
          <t>FAIBLE</t>
        </is>
      </c>
      <c r="AH119" s="6" t="inlineStr">
        <is>
          <t>MOYEN</t>
        </is>
      </c>
      <c r="AI119" s="6" t="inlineStr">
        <is>
          <t>FAIBLE</t>
        </is>
      </c>
      <c r="AJ119" s="4" t="n">
        <v>0</v>
      </c>
      <c r="AK119" s="4" t="n"/>
      <c r="AL119" s="6" t="inlineStr">
        <is>
          <t>RETIRE_BANQUE72_HISTORIQUE_CONSERVE</t>
        </is>
      </c>
      <c r="AM119" s="6" t="inlineStr">
        <is>
          <t>Réduction méthodologique 120→72 : doublon de facette / priorité aux activités professionnelles observables et aux items à plus faible risque.</t>
        </is>
      </c>
      <c r="AN119" s="4" t="inlineStr">
        <is>
          <t>PIP-BANK-0.3</t>
        </is>
      </c>
      <c r="AO119" s="6" t="inlineStr">
        <is>
          <t>PIP-BANK-0.3</t>
        </is>
      </c>
      <c r="AP119" s="8">
        <f>IF(OR(C119="PILOTE",C119="ACTIF"),IF(AND(A119&lt;&gt;"",H119&lt;&gt;"",I119&lt;&gt;"",K119&lt;&gt;"",V119&lt;&gt;"",W119&lt;&gt;""),"OK","A_COMPLETER"),"OK_STRUCTURE")</f>
        <v/>
      </c>
    </row>
    <row r="120" ht="72" customHeight="1" s="34">
      <c r="A120" s="4" t="inlineStr">
        <is>
          <t>PIP-ENV-C-C4-016</t>
        </is>
      </c>
      <c r="B120" s="4" t="inlineStr">
        <is>
          <t>0.2</t>
        </is>
      </c>
      <c r="C120" s="4" t="inlineStr">
        <is>
          <t>PILOTE</t>
        </is>
      </c>
      <c r="D120" s="4" t="inlineStr">
        <is>
          <t>08/09/2026</t>
        </is>
      </c>
      <c r="E120" s="4" t="inlineStr">
        <is>
          <t>08/09/2026</t>
        </is>
      </c>
      <c r="F120" s="4" t="inlineStr">
        <is>
          <t>ENV</t>
        </is>
      </c>
      <c r="G120" s="4" t="inlineStr">
        <is>
          <t>Contexte décrit par ce qu’il permet de faire</t>
        </is>
      </c>
      <c r="H120" s="4" t="inlineStr">
        <is>
          <t>C</t>
        </is>
      </c>
      <c r="I120" s="4" t="inlineStr">
        <is>
          <t>C4</t>
        </is>
      </c>
      <c r="J120" s="6" t="inlineStr">
        <is>
          <t>R,I</t>
        </is>
      </c>
      <c r="K120" s="6" t="inlineStr">
        <is>
          <t>Évoluer dans un contexte où des procédures et des normes claires permettent de sécuriser le travail.</t>
        </is>
      </c>
      <c r="L120" s="4" t="inlineStr">
        <is>
          <t>Cela ne m’attire pas du tout</t>
        </is>
      </c>
      <c r="M120" s="4" t="inlineStr">
        <is>
          <t>Cela m’attire peu</t>
        </is>
      </c>
      <c r="N120" s="4" t="inlineStr">
        <is>
          <t>Je suis partagé(e) / sans préférence marquée</t>
        </is>
      </c>
      <c r="O120" s="4" t="inlineStr">
        <is>
          <t>Cela m’attire</t>
        </is>
      </c>
      <c r="P120" s="4" t="inlineStr">
        <is>
          <t>Cela m’attire beaucoup</t>
        </is>
      </c>
      <c r="Q120" s="4" t="n">
        <v>1</v>
      </c>
      <c r="R120" s="4" t="n">
        <v>2</v>
      </c>
      <c r="S120" s="4" t="n">
        <v>3</v>
      </c>
      <c r="T120" s="4" t="n">
        <v>4</v>
      </c>
      <c r="U120" s="4" t="n">
        <v>5</v>
      </c>
      <c r="V120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20" s="6" t="inlineStr">
        <is>
          <t>L’item relève de C4 — Appliquer règles / procédures / conformité : Travailler dans un cadre explicite où règles, procédures ou normes sécurisent le résultat.</t>
        </is>
      </c>
      <c r="X120" s="6" t="inlineStr">
        <is>
          <t>Revue méthodologique V0.3 : surveiller compréhension du vocabulaire, familiarité avec le contexte professionnel, désirabilité sociale au pilote.</t>
        </is>
      </c>
      <c r="Y120" s="6" t="inlineStr">
        <is>
          <t>FAIBLE</t>
        </is>
      </c>
      <c r="Z120" s="6" t="inlineStr">
        <is>
          <t>FAIBLE</t>
        </is>
      </c>
      <c r="AA120" s="6" t="inlineStr">
        <is>
          <t>FAIBLE</t>
        </is>
      </c>
      <c r="AB120" s="6" t="inlineStr">
        <is>
          <t>FAIBLE</t>
        </is>
      </c>
      <c r="AC120" s="6" t="inlineStr">
        <is>
          <t>MOYEN</t>
        </is>
      </c>
      <c r="AD120" s="6" t="inlineStr">
        <is>
          <t>FAIBLE</t>
        </is>
      </c>
      <c r="AE120" s="6" t="inlineStr">
        <is>
          <t>FAIBLE</t>
        </is>
      </c>
      <c r="AF120" s="6" t="inlineStr">
        <is>
          <t>FAIBLE</t>
        </is>
      </c>
      <c r="AG120" s="6" t="inlineStr">
        <is>
          <t>MOYEN</t>
        </is>
      </c>
      <c r="AH120" s="6" t="inlineStr">
        <is>
          <t>MOYEN</t>
        </is>
      </c>
      <c r="AI120" s="6" t="inlineStr">
        <is>
          <t>FAIBLE</t>
        </is>
      </c>
      <c r="AJ120" s="4" t="n">
        <v>0</v>
      </c>
      <c r="AK120" s="4" t="n"/>
      <c r="AL120" s="6" t="inlineStr">
        <is>
          <t>RETIRE_BANQUE72_HISTORIQUE_CONSERVE</t>
        </is>
      </c>
      <c r="AM120" s="6" t="inlineStr">
        <is>
          <t>Réduction méthodologique 120→72 : doublon de facette / priorité aux activités professionnelles observables et aux items à plus faible risque.</t>
        </is>
      </c>
      <c r="AN120" s="4" t="inlineStr">
        <is>
          <t>PIP-BANK-0.3</t>
        </is>
      </c>
      <c r="AO120" s="6" t="inlineStr">
        <is>
          <t>PIP-BANK-0.3</t>
        </is>
      </c>
      <c r="AP120" s="8">
        <f>IF(OR(C120="PILOTE",C120="ACTIF"),IF(AND(A120&lt;&gt;"",H120&lt;&gt;"",I120&lt;&gt;"",K120&lt;&gt;"",V120&lt;&gt;"",W120&lt;&gt;""),"OK","A_COMPLETER"),"OK_STRUCTURE")</f>
        <v/>
      </c>
    </row>
    <row r="121" ht="72" customHeight="1" s="34">
      <c r="A121" s="4" t="inlineStr">
        <is>
          <t>PIP-ACT-C-C5-017</t>
        </is>
      </c>
      <c r="B121" s="4" t="inlineStr">
        <is>
          <t>0.2</t>
        </is>
      </c>
      <c r="C121" s="4" t="inlineStr">
        <is>
          <t>PILOTE</t>
        </is>
      </c>
      <c r="D121" s="4" t="inlineStr">
        <is>
          <t>08/09/2026</t>
        </is>
      </c>
      <c r="E121" s="4" t="inlineStr">
        <is>
          <t>08/09/2026</t>
        </is>
      </c>
      <c r="F121" s="4" t="inlineStr">
        <is>
          <t>ACT</t>
        </is>
      </c>
      <c r="G121" s="4" t="inlineStr">
        <is>
          <t>Verbe d’action + objet/contexte</t>
        </is>
      </c>
      <c r="H121" s="4" t="inlineStr">
        <is>
          <t>C</t>
        </is>
      </c>
      <c r="I121" s="4" t="inlineStr">
        <is>
          <t>C5</t>
        </is>
      </c>
      <c r="J121" s="6" t="inlineStr">
        <is>
          <t>E</t>
        </is>
      </c>
      <c r="K121" s="6" t="inlineStr">
        <is>
          <t>Suivre l’avancement d’un dossier jusqu’à sa clôture.</t>
        </is>
      </c>
      <c r="L121" s="4" t="inlineStr">
        <is>
          <t>Cela ne m’attire pas du tout</t>
        </is>
      </c>
      <c r="M121" s="4" t="inlineStr">
        <is>
          <t>Cela m’attire peu</t>
        </is>
      </c>
      <c r="N121" s="4" t="inlineStr">
        <is>
          <t>Je suis partagé(e) / sans préférence marquée</t>
        </is>
      </c>
      <c r="O121" s="4" t="inlineStr">
        <is>
          <t>Cela m’attire</t>
        </is>
      </c>
      <c r="P121" s="4" t="inlineStr">
        <is>
          <t>Cela m’attire beaucoup</t>
        </is>
      </c>
      <c r="Q121" s="4" t="n">
        <v>1</v>
      </c>
      <c r="R121" s="4" t="n">
        <v>2</v>
      </c>
      <c r="S121" s="4" t="n">
        <v>3</v>
      </c>
      <c r="T121" s="4" t="n">
        <v>4</v>
      </c>
      <c r="U121" s="4" t="n">
        <v>5</v>
      </c>
      <c r="V121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21" s="6" t="inlineStr">
        <is>
          <t>L’item relève de C5 — Traiter / suivre dossiers, données et opérations : Faire avancer méthodiquement dossiers, données, opérations ou transactions en assurant leur suivi.</t>
        </is>
      </c>
      <c r="X121" s="6" t="inlineStr">
        <is>
          <t>Revue méthodologique V0.3 : surveiller compréhension du vocabulaire, familiarité avec le contexte professionnel, désirabilité sociale au pilote.</t>
        </is>
      </c>
      <c r="Y121" s="6" t="inlineStr">
        <is>
          <t>FAIBLE</t>
        </is>
      </c>
      <c r="Z121" s="6" t="inlineStr">
        <is>
          <t>FAIBLE</t>
        </is>
      </c>
      <c r="AA121" s="6" t="inlineStr">
        <is>
          <t>FAIBLE</t>
        </is>
      </c>
      <c r="AB121" s="6" t="inlineStr">
        <is>
          <t>FAIBLE</t>
        </is>
      </c>
      <c r="AC121" s="6" t="inlineStr">
        <is>
          <t>MOYEN</t>
        </is>
      </c>
      <c r="AD121" s="6" t="inlineStr">
        <is>
          <t>FAIBLE</t>
        </is>
      </c>
      <c r="AE121" s="6" t="inlineStr">
        <is>
          <t>FAIBLE</t>
        </is>
      </c>
      <c r="AF121" s="6" t="inlineStr">
        <is>
          <t>FAIBLE</t>
        </is>
      </c>
      <c r="AG121" s="6" t="inlineStr">
        <is>
          <t>MOYEN</t>
        </is>
      </c>
      <c r="AH121" s="6" t="inlineStr">
        <is>
          <t>MOYEN</t>
        </is>
      </c>
      <c r="AI121" s="6" t="inlineStr">
        <is>
          <t>FAIBLE</t>
        </is>
      </c>
      <c r="AJ121" s="4" t="n">
        <v>0</v>
      </c>
      <c r="AK121" s="4" t="n"/>
      <c r="AL121" s="6" t="inlineStr">
        <is>
          <t>RETENU_V0.5_REECRIT_CONCRET</t>
        </is>
      </c>
      <c r="AM121" s="6" t="n"/>
      <c r="AN121" s="4" t="inlineStr">
        <is>
          <t>PIP-BANK-0.3</t>
        </is>
      </c>
      <c r="AO121" s="6" t="inlineStr">
        <is>
          <t>PIP-BANK-0.4</t>
        </is>
      </c>
      <c r="AP121" s="8">
        <f>IF(OR(C121="PILOTE",C121="ACTIF"),IF(AND(A121&lt;&gt;"",H121&lt;&gt;"",I121&lt;&gt;"",K121&lt;&gt;"",V121&lt;&gt;"",W121&lt;&gt;""),"OK","A_COMPLETER"),"OK_STRUCTURE")</f>
        <v/>
      </c>
    </row>
    <row r="122" ht="72" customHeight="1" s="34">
      <c r="A122" s="4" t="inlineStr">
        <is>
          <t>PIP-ACT-C-C5-018</t>
        </is>
      </c>
      <c r="B122" s="4" t="inlineStr">
        <is>
          <t>0.2</t>
        </is>
      </c>
      <c r="C122" s="4" t="inlineStr">
        <is>
          <t>PILOTE</t>
        </is>
      </c>
      <c r="D122" s="4" t="inlineStr">
        <is>
          <t>08/09/2026</t>
        </is>
      </c>
      <c r="E122" s="4" t="inlineStr">
        <is>
          <t>08/09/2026</t>
        </is>
      </c>
      <c r="F122" s="4" t="inlineStr">
        <is>
          <t>ACT</t>
        </is>
      </c>
      <c r="G122" s="4" t="inlineStr">
        <is>
          <t>Verbe d’action + objet/contexte</t>
        </is>
      </c>
      <c r="H122" s="4" t="inlineStr">
        <is>
          <t>C</t>
        </is>
      </c>
      <c r="I122" s="4" t="inlineStr">
        <is>
          <t>C5</t>
        </is>
      </c>
      <c r="J122" s="6" t="inlineStr">
        <is>
          <t>E</t>
        </is>
      </c>
      <c r="K122" s="6" t="inlineStr">
        <is>
          <t>Planifier et suivre des échéances pour que plusieurs opérations soient réalisées au bon moment.</t>
        </is>
      </c>
      <c r="L122" s="4" t="inlineStr">
        <is>
          <t>Cela ne m’attire pas du tout</t>
        </is>
      </c>
      <c r="M122" s="4" t="inlineStr">
        <is>
          <t>Cela m’attire peu</t>
        </is>
      </c>
      <c r="N122" s="4" t="inlineStr">
        <is>
          <t>Je suis partagé(e) / sans préférence marquée</t>
        </is>
      </c>
      <c r="O122" s="4" t="inlineStr">
        <is>
          <t>Cela m’attire</t>
        </is>
      </c>
      <c r="P122" s="4" t="inlineStr">
        <is>
          <t>Cela m’attire beaucoup</t>
        </is>
      </c>
      <c r="Q122" s="4" t="n">
        <v>1</v>
      </c>
      <c r="R122" s="4" t="n">
        <v>2</v>
      </c>
      <c r="S122" s="4" t="n">
        <v>3</v>
      </c>
      <c r="T122" s="4" t="n">
        <v>4</v>
      </c>
      <c r="U122" s="4" t="n">
        <v>5</v>
      </c>
      <c r="V122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22" s="6" t="inlineStr">
        <is>
          <t>L’item relève de C5 — Traiter / suivre dossiers, données et opérations : Faire avancer méthodiquement dossiers, données, opérations ou transactions en assurant leur suivi.</t>
        </is>
      </c>
      <c r="X122" s="6" t="inlineStr">
        <is>
          <t>Revue méthodologique V0.3 : surveiller compréhension du vocabulaire, désirabilité sociale, frontière avec E au pilote.</t>
        </is>
      </c>
      <c r="Y122" s="6" t="inlineStr">
        <is>
          <t>FAIBLE</t>
        </is>
      </c>
      <c r="Z122" s="6" t="inlineStr">
        <is>
          <t>FAIBLE</t>
        </is>
      </c>
      <c r="AA122" s="6" t="inlineStr">
        <is>
          <t>FAIBLE</t>
        </is>
      </c>
      <c r="AB122" s="6" t="inlineStr">
        <is>
          <t>FAIBLE</t>
        </is>
      </c>
      <c r="AC122" s="6" t="inlineStr">
        <is>
          <t>MOYEN</t>
        </is>
      </c>
      <c r="AD122" s="6" t="inlineStr">
        <is>
          <t>FAIBLE</t>
        </is>
      </c>
      <c r="AE122" s="6" t="inlineStr">
        <is>
          <t>FAIBLE</t>
        </is>
      </c>
      <c r="AF122" s="6" t="inlineStr">
        <is>
          <t>FAIBLE</t>
        </is>
      </c>
      <c r="AG122" s="6" t="inlineStr">
        <is>
          <t>FAIBLE</t>
        </is>
      </c>
      <c r="AH122" s="6" t="inlineStr">
        <is>
          <t>MOYEN</t>
        </is>
      </c>
      <c r="AI122" s="6" t="inlineStr">
        <is>
          <t>MOYEN</t>
        </is>
      </c>
      <c r="AJ122" s="4" t="n">
        <v>0</v>
      </c>
      <c r="AK122" s="4" t="n"/>
      <c r="AL122" s="6" t="inlineStr">
        <is>
          <t>RETENU_V0.5_REECRIT_CONCRET</t>
        </is>
      </c>
      <c r="AM122" s="6" t="n"/>
      <c r="AN122" s="4" t="inlineStr">
        <is>
          <t>PIP-BANK-0.3</t>
        </is>
      </c>
      <c r="AO122" s="6" t="inlineStr">
        <is>
          <t>PIP-BANK-0.4</t>
        </is>
      </c>
      <c r="AP122" s="8">
        <f>IF(OR(C122="PILOTE",C122="ACTIF"),IF(AND(A122&lt;&gt;"",H122&lt;&gt;"",I122&lt;&gt;"",K122&lt;&gt;"",V122&lt;&gt;"",W122&lt;&gt;""),"OK","A_COMPLETER"),"OK_STRUCTURE")</f>
        <v/>
      </c>
    </row>
    <row r="123" ht="72" customHeight="1" s="34">
      <c r="A123" s="4" t="inlineStr">
        <is>
          <t>PIP-SIT-C-C5-019</t>
        </is>
      </c>
      <c r="B123" s="4" t="inlineStr">
        <is>
          <t>0.2</t>
        </is>
      </c>
      <c r="C123" s="4" t="inlineStr">
        <is>
          <t>PILOTE</t>
        </is>
      </c>
      <c r="D123" s="4" t="inlineStr">
        <is>
          <t>08/09/2026</t>
        </is>
      </c>
      <c r="E123" s="4" t="inlineStr">
        <is>
          <t>08/09/2026</t>
        </is>
      </c>
      <c r="F123" s="4" t="inlineStr">
        <is>
          <t>SIT</t>
        </is>
      </c>
      <c r="G123" s="4" t="inlineStr">
        <is>
          <t>Situation courte avec enjeu central</t>
        </is>
      </c>
      <c r="H123" s="4" t="inlineStr">
        <is>
          <t>C</t>
        </is>
      </c>
      <c r="I123" s="4" t="inlineStr">
        <is>
          <t>C5</t>
        </is>
      </c>
      <c r="J123" s="6" t="inlineStr">
        <is>
          <t>E</t>
        </is>
      </c>
      <c r="K123" s="6" t="inlineStr">
        <is>
          <t>Gérer plusieurs dossiers en parallèle en veillant à ce qu’aucune étape ou échéance ne soit oubliée.</t>
        </is>
      </c>
      <c r="L123" s="4" t="inlineStr">
        <is>
          <t>Cela ne m’attire pas du tout</t>
        </is>
      </c>
      <c r="M123" s="4" t="inlineStr">
        <is>
          <t>Cela m’attire peu</t>
        </is>
      </c>
      <c r="N123" s="4" t="inlineStr">
        <is>
          <t>Je suis partagé(e) / sans préférence marquée</t>
        </is>
      </c>
      <c r="O123" s="4" t="inlineStr">
        <is>
          <t>Cela m’attire</t>
        </is>
      </c>
      <c r="P123" s="4" t="inlineStr">
        <is>
          <t>Cela m’attire beaucoup</t>
        </is>
      </c>
      <c r="Q123" s="4" t="n">
        <v>1</v>
      </c>
      <c r="R123" s="4" t="n">
        <v>2</v>
      </c>
      <c r="S123" s="4" t="n">
        <v>3</v>
      </c>
      <c r="T123" s="4" t="n">
        <v>4</v>
      </c>
      <c r="U123" s="4" t="n">
        <v>5</v>
      </c>
      <c r="V123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23" s="6" t="inlineStr">
        <is>
          <t>L’item relève de C5 — Traiter / suivre dossiers, données et opérations : Faire avancer méthodiquement dossiers, données, opérations ou transactions en assurant leur suivi.</t>
        </is>
      </c>
      <c r="X123" s="6" t="inlineStr">
        <is>
          <t>Revue méthodologique V0.3 : surveiller compréhension du vocabulaire, familiarité avec le contexte professionnel, désirabilité sociale au pilote.</t>
        </is>
      </c>
      <c r="Y123" s="6" t="inlineStr">
        <is>
          <t>FAIBLE</t>
        </is>
      </c>
      <c r="Z123" s="6" t="inlineStr">
        <is>
          <t>FAIBLE</t>
        </is>
      </c>
      <c r="AA123" s="6" t="inlineStr">
        <is>
          <t>FAIBLE</t>
        </is>
      </c>
      <c r="AB123" s="6" t="inlineStr">
        <is>
          <t>FAIBLE</t>
        </is>
      </c>
      <c r="AC123" s="6" t="inlineStr">
        <is>
          <t>MOYEN</t>
        </is>
      </c>
      <c r="AD123" s="6" t="inlineStr">
        <is>
          <t>FAIBLE</t>
        </is>
      </c>
      <c r="AE123" s="6" t="inlineStr">
        <is>
          <t>FAIBLE</t>
        </is>
      </c>
      <c r="AF123" s="6" t="inlineStr">
        <is>
          <t>FAIBLE</t>
        </is>
      </c>
      <c r="AG123" s="6" t="inlineStr">
        <is>
          <t>MOYEN</t>
        </is>
      </c>
      <c r="AH123" s="6" t="inlineStr">
        <is>
          <t>MOYEN</t>
        </is>
      </c>
      <c r="AI123" s="6" t="inlineStr">
        <is>
          <t>FAIBLE</t>
        </is>
      </c>
      <c r="AJ123" s="4" t="n">
        <v>0</v>
      </c>
      <c r="AK123" s="4" t="n"/>
      <c r="AL123" s="6" t="inlineStr">
        <is>
          <t>RETIRE_BANQUE72_HISTORIQUE_CONSERVE</t>
        </is>
      </c>
      <c r="AM123" s="6" t="inlineStr">
        <is>
          <t>Réduction méthodologique 120→72 : doublon de facette / priorité aux activités professionnelles observables et aux items à plus faible risque.</t>
        </is>
      </c>
      <c r="AN123" s="4" t="inlineStr">
        <is>
          <t>PIP-BANK-0.3</t>
        </is>
      </c>
      <c r="AO123" s="6" t="inlineStr">
        <is>
          <t>PIP-BANK-0.3</t>
        </is>
      </c>
      <c r="AP123" s="8">
        <f>IF(OR(C123="PILOTE",C123="ACTIF"),IF(AND(A123&lt;&gt;"",H123&lt;&gt;"",I123&lt;&gt;"",K123&lt;&gt;"",V123&lt;&gt;"",W123&lt;&gt;""),"OK","A_COMPLETER"),"OK_STRUCTURE")</f>
        <v/>
      </c>
    </row>
    <row r="124" ht="72" customHeight="1" s="34">
      <c r="A124" s="4" t="inlineStr">
        <is>
          <t>PIP-ENV-C-C5-020</t>
        </is>
      </c>
      <c r="B124" s="4" t="inlineStr">
        <is>
          <t>0.2</t>
        </is>
      </c>
      <c r="C124" s="4" t="inlineStr">
        <is>
          <t>PILOTE</t>
        </is>
      </c>
      <c r="D124" s="4" t="inlineStr">
        <is>
          <t>08/09/2026</t>
        </is>
      </c>
      <c r="E124" s="4" t="inlineStr">
        <is>
          <t>08/09/2026</t>
        </is>
      </c>
      <c r="F124" s="4" t="inlineStr">
        <is>
          <t>ENV</t>
        </is>
      </c>
      <c r="G124" s="4" t="inlineStr">
        <is>
          <t>Contexte décrit par ce qu’il permet de faire</t>
        </is>
      </c>
      <c r="H124" s="4" t="inlineStr">
        <is>
          <t>C</t>
        </is>
      </c>
      <c r="I124" s="4" t="inlineStr">
        <is>
          <t>C5</t>
        </is>
      </c>
      <c r="J124" s="6" t="inlineStr">
        <is>
          <t>E</t>
        </is>
      </c>
      <c r="K124" s="6" t="inlineStr">
        <is>
          <t>Travailler dans un contexte où l’on assure un suivi régulier de dossiers, de données ou d’opérations jusqu’à leur aboutissement.</t>
        </is>
      </c>
      <c r="L124" s="4" t="inlineStr">
        <is>
          <t>Cela ne m’attire pas du tout</t>
        </is>
      </c>
      <c r="M124" s="4" t="inlineStr">
        <is>
          <t>Cela m’attire peu</t>
        </is>
      </c>
      <c r="N124" s="4" t="inlineStr">
        <is>
          <t>Je suis partagé(e) / sans préférence marquée</t>
        </is>
      </c>
      <c r="O124" s="4" t="inlineStr">
        <is>
          <t>Cela m’attire</t>
        </is>
      </c>
      <c r="P124" s="4" t="inlineStr">
        <is>
          <t>Cela m’attire beaucoup</t>
        </is>
      </c>
      <c r="Q124" s="4" t="n">
        <v>1</v>
      </c>
      <c r="R124" s="4" t="n">
        <v>2</v>
      </c>
      <c r="S124" s="4" t="n">
        <v>3</v>
      </c>
      <c r="T124" s="4" t="n">
        <v>4</v>
      </c>
      <c r="U124" s="4" t="n">
        <v>5</v>
      </c>
      <c r="V124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24" s="6" t="inlineStr">
        <is>
          <t>L’item relève de C5 — Traiter / suivre dossiers, données et opérations : Faire avancer méthodiquement dossiers, données, opérations ou transactions en assurant leur suivi.</t>
        </is>
      </c>
      <c r="X124" s="6" t="inlineStr">
        <is>
          <t>Revue méthodologique V0.3 : surveiller compréhension du vocabulaire, familiarité avec le contexte professionnel, désirabilité sociale au pilote.</t>
        </is>
      </c>
      <c r="Y124" s="6" t="inlineStr">
        <is>
          <t>FAIBLE</t>
        </is>
      </c>
      <c r="Z124" s="6" t="inlineStr">
        <is>
          <t>FAIBLE</t>
        </is>
      </c>
      <c r="AA124" s="6" t="inlineStr">
        <is>
          <t>FAIBLE</t>
        </is>
      </c>
      <c r="AB124" s="6" t="inlineStr">
        <is>
          <t>FAIBLE</t>
        </is>
      </c>
      <c r="AC124" s="6" t="inlineStr">
        <is>
          <t>MOYEN</t>
        </is>
      </c>
      <c r="AD124" s="6" t="inlineStr">
        <is>
          <t>FAIBLE</t>
        </is>
      </c>
      <c r="AE124" s="6" t="inlineStr">
        <is>
          <t>FAIBLE</t>
        </is>
      </c>
      <c r="AF124" s="6" t="inlineStr">
        <is>
          <t>FAIBLE</t>
        </is>
      </c>
      <c r="AG124" s="6" t="inlineStr">
        <is>
          <t>MOYEN</t>
        </is>
      </c>
      <c r="AH124" s="6" t="inlineStr">
        <is>
          <t>MOYEN</t>
        </is>
      </c>
      <c r="AI124" s="6" t="inlineStr">
        <is>
          <t>FAIBLE</t>
        </is>
      </c>
      <c r="AJ124" s="4" t="n">
        <v>0</v>
      </c>
      <c r="AK124" s="4" t="n"/>
      <c r="AL124" s="6" t="inlineStr">
        <is>
          <t>RETIRE_BANQUE72_HISTORIQUE_CONSERVE</t>
        </is>
      </c>
      <c r="AM124" s="6" t="inlineStr">
        <is>
          <t>Réduction méthodologique 120→72 : doublon de facette / priorité aux activités professionnelles observables et aux items à plus faible risque.</t>
        </is>
      </c>
      <c r="AN124" s="4" t="inlineStr">
        <is>
          <t>PIP-BANK-0.3</t>
        </is>
      </c>
      <c r="AO124" s="6" t="inlineStr">
        <is>
          <t>PIP-BANK-0.3</t>
        </is>
      </c>
      <c r="AP124" s="8">
        <f>IF(OR(C124="PILOTE",C124="ACTIF"),IF(AND(A124&lt;&gt;"",H124&lt;&gt;"",I124&lt;&gt;"",K124&lt;&gt;"",V124&lt;&gt;"",W124&lt;&gt;""),"OK","A_COMPLETER"),"OK_STRUCTURE")</f>
        <v/>
      </c>
    </row>
  </sheetData>
  <autoFilter ref="A4:AP124"/>
  <mergeCells count="2">
    <mergeCell ref="A2:AP2"/>
    <mergeCell ref="A1:AP1"/>
  </mergeCells>
  <conditionalFormatting sqref="AP5:AP124">
    <cfRule type="expression" priority="1" dxfId="0">
      <formula>AP5="A_COMPLETER"</formula>
    </cfRule>
  </conditionalFormatting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23" customWidth="1" style="34" min="1" max="1"/>
    <col width="10" customWidth="1" style="34" min="2" max="3"/>
    <col width="9" customWidth="1" style="34" min="4" max="4"/>
    <col width="20" customWidth="1" style="34" min="5" max="5"/>
    <col width="56" customWidth="1" style="34" min="6" max="6"/>
    <col width="20" customWidth="1" style="34" min="7" max="7"/>
    <col width="70" customWidth="1" style="34" min="8" max="8"/>
    <col width="55" customWidth="1" style="34" min="9" max="9"/>
    <col width="18" customWidth="1" style="34" min="10" max="10"/>
    <col width="20" customWidth="1" style="34" min="11" max="11"/>
    <col width="25" customWidth="1" style="34" min="12" max="12"/>
    <col width="18" customWidth="1" style="34" min="13" max="13"/>
    <col width="20" customWidth="1" style="34" min="14" max="14"/>
    <col width="32" customWidth="1" style="34" min="15" max="15"/>
  </cols>
  <sheetData>
    <row r="1" ht="19.8" customHeight="1" s="34">
      <c r="A1" s="36" t="inlineStr">
        <is>
          <t>REVUE DE CONTEXTUALISATION — 120 ITEMS PIP RIASEC</t>
        </is>
      </c>
    </row>
    <row r="2">
      <c r="A2" s="37" t="inlineStr">
        <is>
          <t>Objectif : réduire l’ambiguïté de projection sans modifier la formulation source ni introduire de second construit. Les exemples sont des aides de compréhension, jamais des éléments de scoring.</t>
        </is>
      </c>
    </row>
    <row r="4" ht="28.8" customHeight="1" s="34">
      <c r="A4" s="17" t="inlineStr">
        <is>
          <t>item_id</t>
        </is>
      </c>
      <c r="B4" s="17" t="inlineStr">
        <is>
          <t>dimension</t>
        </is>
      </c>
      <c r="C4" s="17" t="inlineStr">
        <is>
          <t>facette</t>
        </is>
      </c>
      <c r="D4" s="17" t="inlineStr">
        <is>
          <t>bloc</t>
        </is>
      </c>
      <c r="E4" s="17" t="inlineStr">
        <is>
          <t>dimension_concurrente</t>
        </is>
      </c>
      <c r="F4" s="17" t="inlineStr">
        <is>
          <t>formulation_source</t>
        </is>
      </c>
      <c r="G4" s="17" t="inlineStr">
        <is>
          <t>niveau_contextualisation</t>
        </is>
      </c>
      <c r="H4" s="17" t="inlineStr">
        <is>
          <t>exemple_concret_propose</t>
        </is>
      </c>
      <c r="I4" s="17" t="inlineStr">
        <is>
          <t>objectif_de_lexemple</t>
        </is>
      </c>
      <c r="J4" s="17" t="inlineStr">
        <is>
          <t>risque_hybridite_source</t>
        </is>
      </c>
      <c r="K4" s="17" t="inlineStr">
        <is>
          <t>risque_desirabilite_source</t>
        </is>
      </c>
      <c r="L4" s="17" t="inlineStr">
        <is>
          <t>risque_familiarite_sectorielle_source</t>
        </is>
      </c>
      <c r="M4" s="17" t="inlineStr">
        <is>
          <t>decision_exemple</t>
        </is>
      </c>
      <c r="N4" s="17" t="inlineStr">
        <is>
          <t>statut_revue</t>
        </is>
      </c>
      <c r="O4" s="17" t="inlineStr">
        <is>
          <t>commentaire_relecteur</t>
        </is>
      </c>
    </row>
    <row r="5" ht="48" customHeight="1" s="34">
      <c r="A5" s="18" t="inlineStr">
        <is>
          <t>PIP-ACT-R-R1-001</t>
        </is>
      </c>
      <c r="B5" s="18" t="inlineStr">
        <is>
          <t>R</t>
        </is>
      </c>
      <c r="C5" s="18" t="inlineStr">
        <is>
          <t>R1</t>
        </is>
      </c>
      <c r="D5" s="18" t="inlineStr">
        <is>
          <t>ACT</t>
        </is>
      </c>
      <c r="E5" s="18" t="inlineStr">
        <is>
          <t>A</t>
        </is>
      </c>
      <c r="F5" s="18" t="inlineStr">
        <is>
          <t>Assembler des éléments pour fabriquer un objet fonctionnel.</t>
        </is>
      </c>
      <c r="G5" s="19" t="inlineStr">
        <is>
          <t>FORTE</t>
        </is>
      </c>
      <c r="H5" s="20" t="inlineStr">
        <is>
          <t>Assembler les pièces d’un petit meuble ou d’un support pour qu’il soit solide et utilisable.</t>
        </is>
      </c>
      <c r="I5" s="21" t="inlineStr">
        <is>
          <t>Ancrer l’item dans une expression typique de R/R1 sans ajouter la dimension concurrente A.</t>
        </is>
      </c>
      <c r="J5" s="18" t="inlineStr">
        <is>
          <t>FAIBLE</t>
        </is>
      </c>
      <c r="K5" s="18" t="inlineStr">
        <is>
          <t>FAIBLE</t>
        </is>
      </c>
      <c r="L5" s="18" t="inlineStr">
        <is>
          <t>MOYEN</t>
        </is>
      </c>
      <c r="M5" s="22" t="inlineStr">
        <is>
          <t>A_VALIDER</t>
        </is>
      </c>
      <c r="N5" s="23" t="inlineStr">
        <is>
          <t>PROPOSITION_V0.4</t>
        </is>
      </c>
      <c r="O5" s="24" t="n"/>
    </row>
    <row r="6" ht="48" customHeight="1" s="34">
      <c r="A6" s="25" t="inlineStr">
        <is>
          <t>PIP-ACT-R-R1-002</t>
        </is>
      </c>
      <c r="B6" s="25" t="inlineStr">
        <is>
          <t>R</t>
        </is>
      </c>
      <c r="C6" s="25" t="inlineStr">
        <is>
          <t>R1</t>
        </is>
      </c>
      <c r="D6" s="25" t="inlineStr">
        <is>
          <t>ACT</t>
        </is>
      </c>
      <c r="E6" s="25" t="inlineStr">
        <is>
          <t>A</t>
        </is>
      </c>
      <c r="F6" s="25" t="inlineStr">
        <is>
          <t>Transformer une matière ou un matériau pour lui donner une forme utile.</t>
        </is>
      </c>
      <c r="G6" s="26" t="inlineStr">
        <is>
          <t>FORTE</t>
        </is>
      </c>
      <c r="H6" s="27" t="inlineStr">
        <is>
          <t>Travailler du bois, du métal ou un autre matériau pour obtenir une pièce ayant une fonction précise.</t>
        </is>
      </c>
      <c r="I6" s="28" t="inlineStr">
        <is>
          <t>Ancrer l’item dans une expression typique de R/R1 sans ajouter la dimension concurrente A.</t>
        </is>
      </c>
      <c r="J6" s="25" t="inlineStr">
        <is>
          <t>FAIBLE</t>
        </is>
      </c>
      <c r="K6" s="25" t="inlineStr">
        <is>
          <t>FAIBLE</t>
        </is>
      </c>
      <c r="L6" s="25" t="inlineStr">
        <is>
          <t>MOYEN</t>
        </is>
      </c>
      <c r="M6" s="29" t="inlineStr">
        <is>
          <t>A_VALIDER</t>
        </is>
      </c>
      <c r="N6" s="30" t="inlineStr">
        <is>
          <t>PROPOSITION_V0.4</t>
        </is>
      </c>
      <c r="O6" s="9" t="n"/>
    </row>
    <row r="7" ht="48" customHeight="1" s="34">
      <c r="A7" s="25" t="inlineStr">
        <is>
          <t>PIP-SIT-R-R1-003</t>
        </is>
      </c>
      <c r="B7" s="25" t="inlineStr">
        <is>
          <t>R</t>
        </is>
      </c>
      <c r="C7" s="25" t="inlineStr">
        <is>
          <t>R1</t>
        </is>
      </c>
      <c r="D7" s="25" t="inlineStr">
        <is>
          <t>SIT</t>
        </is>
      </c>
      <c r="E7" s="25" t="inlineStr">
        <is>
          <t>A</t>
        </is>
      </c>
      <c r="F7" s="25" t="inlineStr">
        <is>
          <t>Prendre en charge la réalisation concrète d’un objet ou d’une structure à partir d’éléments séparés.</t>
        </is>
      </c>
      <c r="G7" s="26" t="inlineStr">
        <is>
          <t>FORTE</t>
        </is>
      </c>
      <c r="H7" s="27" t="inlineStr">
        <is>
          <t>À partir de pièces séparées, réaliser concrètement une étagère, un présentoir ou une petite structure.</t>
        </is>
      </c>
      <c r="I7" s="28" t="inlineStr">
        <is>
          <t>Ancrer l’item dans une expression typique de R/R1 sans ajouter la dimension concurrente A.</t>
        </is>
      </c>
      <c r="J7" s="25" t="inlineStr">
        <is>
          <t>FAIBLE</t>
        </is>
      </c>
      <c r="K7" s="25" t="inlineStr">
        <is>
          <t>FAIBLE</t>
        </is>
      </c>
      <c r="L7" s="25" t="inlineStr">
        <is>
          <t>MOYEN</t>
        </is>
      </c>
      <c r="M7" s="29" t="inlineStr">
        <is>
          <t>A_VALIDER</t>
        </is>
      </c>
      <c r="N7" s="30" t="inlineStr">
        <is>
          <t>PROPOSITION_V0.4</t>
        </is>
      </c>
      <c r="O7" s="9" t="n"/>
    </row>
    <row r="8" ht="48" customHeight="1" s="34">
      <c r="A8" s="25" t="inlineStr">
        <is>
          <t>PIP-ENV-R-R1-004</t>
        </is>
      </c>
      <c r="B8" s="25" t="inlineStr">
        <is>
          <t>R</t>
        </is>
      </c>
      <c r="C8" s="25" t="inlineStr">
        <is>
          <t>R1</t>
        </is>
      </c>
      <c r="D8" s="25" t="inlineStr">
        <is>
          <t>ENV</t>
        </is>
      </c>
      <c r="E8" s="25" t="inlineStr">
        <is>
          <t>A</t>
        </is>
      </c>
      <c r="F8" s="25" t="inlineStr">
        <is>
          <t>Travailler dans un contexte où l’on voit directement le résultat matériel de ce que l’on fabrique ou transforme.</t>
        </is>
      </c>
      <c r="G8" s="26" t="inlineStr">
        <is>
          <t>FORTE</t>
        </is>
      </c>
      <c r="H8" s="27" t="inlineStr">
        <is>
          <t>Évoluer dans un atelier ou un espace de fabrication où l’on voit physiquement ce qui a été produit.</t>
        </is>
      </c>
      <c r="I8" s="28" t="inlineStr">
        <is>
          <t>Ancrer l’item dans une expression typique de R/R1 sans ajouter la dimension concurrente A.</t>
        </is>
      </c>
      <c r="J8" s="25" t="inlineStr">
        <is>
          <t>FAIBLE</t>
        </is>
      </c>
      <c r="K8" s="25" t="inlineStr">
        <is>
          <t>FAIBLE</t>
        </is>
      </c>
      <c r="L8" s="25" t="inlineStr">
        <is>
          <t>MOYEN</t>
        </is>
      </c>
      <c r="M8" s="29" t="inlineStr">
        <is>
          <t>A_VALIDER</t>
        </is>
      </c>
      <c r="N8" s="30" t="inlineStr">
        <is>
          <t>PROPOSITION_V0.4</t>
        </is>
      </c>
      <c r="O8" s="9" t="n"/>
    </row>
    <row r="9" ht="48" customHeight="1" s="34">
      <c r="A9" s="25" t="inlineStr">
        <is>
          <t>PIP-ACT-R-R2-005</t>
        </is>
      </c>
      <c r="B9" s="25" t="inlineStr">
        <is>
          <t>R</t>
        </is>
      </c>
      <c r="C9" s="25" t="inlineStr">
        <is>
          <t>R2</t>
        </is>
      </c>
      <c r="D9" s="25" t="inlineStr">
        <is>
          <t>ACT</t>
        </is>
      </c>
      <c r="E9" s="25" t="inlineStr">
        <is>
          <t>I</t>
        </is>
      </c>
      <c r="F9" s="25" t="inlineStr">
        <is>
          <t>Installer un équipement pour qu’il soit prêt à fonctionner.</t>
        </is>
      </c>
      <c r="G9" s="26" t="inlineStr">
        <is>
          <t>FORTE</t>
        </is>
      </c>
      <c r="H9" s="27" t="inlineStr">
        <is>
          <t>Installer un poste de travail, un appareil ou un équipement puis vérifier qu’il fonctionne.</t>
        </is>
      </c>
      <c r="I9" s="28" t="inlineStr">
        <is>
          <t>Ancrer l’item dans une expression typique de R/R2 sans ajouter la dimension concurrente I.</t>
        </is>
      </c>
      <c r="J9" s="25" t="inlineStr">
        <is>
          <t>FAIBLE</t>
        </is>
      </c>
      <c r="K9" s="25" t="inlineStr">
        <is>
          <t>FAIBLE</t>
        </is>
      </c>
      <c r="L9" s="25" t="inlineStr">
        <is>
          <t>MOYEN</t>
        </is>
      </c>
      <c r="M9" s="29" t="inlineStr">
        <is>
          <t>A_VALIDER</t>
        </is>
      </c>
      <c r="N9" s="30" t="inlineStr">
        <is>
          <t>PROPOSITION_V0.4</t>
        </is>
      </c>
      <c r="O9" s="9" t="n"/>
    </row>
    <row r="10" ht="48" customHeight="1" s="34">
      <c r="A10" s="25" t="inlineStr">
        <is>
          <t>PIP-ACT-R-R2-006</t>
        </is>
      </c>
      <c r="B10" s="25" t="inlineStr">
        <is>
          <t>R</t>
        </is>
      </c>
      <c r="C10" s="25" t="inlineStr">
        <is>
          <t>R2</t>
        </is>
      </c>
      <c r="D10" s="25" t="inlineStr">
        <is>
          <t>ACT</t>
        </is>
      </c>
      <c r="E10" s="25" t="inlineStr">
        <is>
          <t>I</t>
        </is>
      </c>
      <c r="F10" s="25" t="inlineStr">
        <is>
          <t>Réparer un matériel qui ne fonctionne plus correctement.</t>
        </is>
      </c>
      <c r="G10" s="26" t="inlineStr">
        <is>
          <t>FORTE</t>
        </is>
      </c>
      <c r="H10" s="27" t="inlineStr">
        <is>
          <t>Rechercher la panne d’un appareil simple puis intervenir concrètement pour le remettre en service.</t>
        </is>
      </c>
      <c r="I10" s="28" t="inlineStr">
        <is>
          <t>Ancrer l’item dans une expression typique de R/R2 sans ajouter la dimension concurrente I.</t>
        </is>
      </c>
      <c r="J10" s="25" t="inlineStr">
        <is>
          <t>MOYEN</t>
        </is>
      </c>
      <c r="K10" s="25" t="inlineStr">
        <is>
          <t>FAIBLE</t>
        </is>
      </c>
      <c r="L10" s="25" t="inlineStr">
        <is>
          <t>MOYEN</t>
        </is>
      </c>
      <c r="M10" s="29" t="inlineStr">
        <is>
          <t>A_VALIDER</t>
        </is>
      </c>
      <c r="N10" s="30" t="inlineStr">
        <is>
          <t>PROPOSITION_V0.4</t>
        </is>
      </c>
      <c r="O10" s="9" t="n"/>
    </row>
    <row r="11" ht="48" customHeight="1" s="34">
      <c r="A11" s="25" t="inlineStr">
        <is>
          <t>PIP-SIT-R-R2-007</t>
        </is>
      </c>
      <c r="B11" s="25" t="inlineStr">
        <is>
          <t>R</t>
        </is>
      </c>
      <c r="C11" s="25" t="inlineStr">
        <is>
          <t>R2</t>
        </is>
      </c>
      <c r="D11" s="25" t="inlineStr">
        <is>
          <t>SIT</t>
        </is>
      </c>
      <c r="E11" s="25" t="inlineStr">
        <is>
          <t>I</t>
        </is>
      </c>
      <c r="F11" s="25" t="inlineStr">
        <is>
          <t>Intervenir lorsqu’un équipement doit être réglé ou remis en service.</t>
        </is>
      </c>
      <c r="G11" s="26" t="inlineStr">
        <is>
          <t>FORTE</t>
        </is>
      </c>
      <c r="H11" s="27" t="inlineStr">
        <is>
          <t>Un équipement fonctionne mal : le régler, remplacer l’élément défectueux et tester le résultat.</t>
        </is>
      </c>
      <c r="I11" s="28" t="inlineStr">
        <is>
          <t>Ancrer l’item dans une expression typique de R/R2 sans ajouter la dimension concurrente I.</t>
        </is>
      </c>
      <c r="J11" s="25" t="inlineStr">
        <is>
          <t>MOYEN</t>
        </is>
      </c>
      <c r="K11" s="25" t="inlineStr">
        <is>
          <t>FAIBLE</t>
        </is>
      </c>
      <c r="L11" s="25" t="inlineStr">
        <is>
          <t>MOYEN</t>
        </is>
      </c>
      <c r="M11" s="29" t="inlineStr">
        <is>
          <t>A_VALIDER</t>
        </is>
      </c>
      <c r="N11" s="30" t="inlineStr">
        <is>
          <t>PROPOSITION_V0.4</t>
        </is>
      </c>
      <c r="O11" s="9" t="n"/>
    </row>
    <row r="12" ht="48" customHeight="1" s="34">
      <c r="A12" s="25" t="inlineStr">
        <is>
          <t>PIP-ENV-R-R2-008</t>
        </is>
      </c>
      <c r="B12" s="25" t="inlineStr">
        <is>
          <t>R</t>
        </is>
      </c>
      <c r="C12" s="25" t="inlineStr">
        <is>
          <t>R2</t>
        </is>
      </c>
      <c r="D12" s="25" t="inlineStr">
        <is>
          <t>ENV</t>
        </is>
      </c>
      <c r="E12" s="25" t="inlineStr">
        <is>
          <t>I</t>
        </is>
      </c>
      <c r="F12" s="25" t="inlineStr">
        <is>
          <t>Évoluer dans un contexte où une part importante du travail consiste à entretenir et remettre en fonctionnement des équipements.</t>
        </is>
      </c>
      <c r="G12" s="26" t="inlineStr">
        <is>
          <t>FORTE</t>
        </is>
      </c>
      <c r="H12" s="27" t="inlineStr">
        <is>
          <t>Travailler dans un service où l’on entretient régulièrement des équipements et où l’on intervient en cas de panne.</t>
        </is>
      </c>
      <c r="I12" s="28" t="inlineStr">
        <is>
          <t>Ancrer l’item dans une expression typique de R/R2 sans ajouter la dimension concurrente I.</t>
        </is>
      </c>
      <c r="J12" s="25" t="inlineStr">
        <is>
          <t>FAIBLE</t>
        </is>
      </c>
      <c r="K12" s="25" t="inlineStr">
        <is>
          <t>FAIBLE</t>
        </is>
      </c>
      <c r="L12" s="25" t="inlineStr">
        <is>
          <t>MOYEN</t>
        </is>
      </c>
      <c r="M12" s="29" t="inlineStr">
        <is>
          <t>A_VALIDER</t>
        </is>
      </c>
      <c r="N12" s="30" t="inlineStr">
        <is>
          <t>PROPOSITION_V0.4</t>
        </is>
      </c>
      <c r="O12" s="9" t="n"/>
    </row>
    <row r="13" ht="48" customHeight="1" s="34">
      <c r="A13" s="25" t="inlineStr">
        <is>
          <t>PIP-ACT-R-R3-009</t>
        </is>
      </c>
      <c r="B13" s="25" t="inlineStr">
        <is>
          <t>R</t>
        </is>
      </c>
      <c r="C13" s="25" t="inlineStr">
        <is>
          <t>R3</t>
        </is>
      </c>
      <c r="D13" s="25" t="inlineStr">
        <is>
          <t>ACT</t>
        </is>
      </c>
      <c r="E13" s="25" t="inlineStr">
        <is>
          <t>I</t>
        </is>
      </c>
      <c r="F13" s="25" t="inlineStr">
        <is>
          <t>Utiliser des outils pour réaliser une tâche concrète avec précision.</t>
        </is>
      </c>
      <c r="G13" s="26" t="inlineStr">
        <is>
          <t>FORTE</t>
        </is>
      </c>
      <c r="H13" s="27" t="inlineStr">
        <is>
          <t>Utiliser des outils de mesure et des outils manuels pour réaliser un montage avec précision.</t>
        </is>
      </c>
      <c r="I13" s="28" t="inlineStr">
        <is>
          <t>Ancrer l’item dans une expression typique de R/R3 sans ajouter la dimension concurrente I.</t>
        </is>
      </c>
      <c r="J13" s="25" t="inlineStr">
        <is>
          <t>FAIBLE</t>
        </is>
      </c>
      <c r="K13" s="25" t="inlineStr">
        <is>
          <t>FAIBLE</t>
        </is>
      </c>
      <c r="L13" s="25" t="inlineStr">
        <is>
          <t>MOYEN</t>
        </is>
      </c>
      <c r="M13" s="29" t="inlineStr">
        <is>
          <t>A_VALIDER</t>
        </is>
      </c>
      <c r="N13" s="30" t="inlineStr">
        <is>
          <t>PROPOSITION_V0.4</t>
        </is>
      </c>
      <c r="O13" s="9" t="n"/>
    </row>
    <row r="14" ht="48" customHeight="1" s="34">
      <c r="A14" s="25" t="inlineStr">
        <is>
          <t>PIP-ACT-R-R3-010</t>
        </is>
      </c>
      <c r="B14" s="25" t="inlineStr">
        <is>
          <t>R</t>
        </is>
      </c>
      <c r="C14" s="25" t="inlineStr">
        <is>
          <t>R3</t>
        </is>
      </c>
      <c r="D14" s="25" t="inlineStr">
        <is>
          <t>ACT</t>
        </is>
      </c>
      <c r="E14" s="25" t="inlineStr">
        <is>
          <t>I</t>
        </is>
      </c>
      <c r="F14" s="25" t="inlineStr">
        <is>
          <t>Piloter ou régler une machine pour obtenir le résultat attendu.</t>
        </is>
      </c>
      <c r="G14" s="26" t="inlineStr">
        <is>
          <t>FORTE</t>
        </is>
      </c>
      <c r="H14" s="27" t="inlineStr">
        <is>
          <t>Régler une machine ou un équipement pour obtenir une dimension, une forme ou un résultat précis.</t>
        </is>
      </c>
      <c r="I14" s="28" t="inlineStr">
        <is>
          <t>Ancrer l’item dans une expression typique de R/R3 sans ajouter la dimension concurrente I.</t>
        </is>
      </c>
      <c r="J14" s="25" t="inlineStr">
        <is>
          <t>FAIBLE</t>
        </is>
      </c>
      <c r="K14" s="25" t="inlineStr">
        <is>
          <t>FAIBLE</t>
        </is>
      </c>
      <c r="L14" s="25" t="inlineStr">
        <is>
          <t>MOYEN</t>
        </is>
      </c>
      <c r="M14" s="29" t="inlineStr">
        <is>
          <t>A_VALIDER</t>
        </is>
      </c>
      <c r="N14" s="30" t="inlineStr">
        <is>
          <t>PROPOSITION_V0.4</t>
        </is>
      </c>
      <c r="O14" s="9" t="n"/>
    </row>
    <row r="15" ht="48" customHeight="1" s="34">
      <c r="A15" s="25" t="inlineStr">
        <is>
          <t>PIP-SIT-R-R3-011</t>
        </is>
      </c>
      <c r="B15" s="25" t="inlineStr">
        <is>
          <t>R</t>
        </is>
      </c>
      <c r="C15" s="25" t="inlineStr">
        <is>
          <t>R3</t>
        </is>
      </c>
      <c r="D15" s="25" t="inlineStr">
        <is>
          <t>SIT</t>
        </is>
      </c>
      <c r="E15" s="25" t="inlineStr">
        <is>
          <t>I</t>
        </is>
      </c>
      <c r="F15" s="25" t="inlineStr">
        <is>
          <t>Prendre en charge une tâche qui nécessite de manipuler directement un appareil ou un équipement.</t>
        </is>
      </c>
      <c r="G15" s="26" t="inlineStr">
        <is>
          <t>FORTE</t>
        </is>
      </c>
      <c r="H15" s="27" t="inlineStr">
        <is>
          <t>Réaliser une opération qui demande de manipuler directement un appareil, une machine ou un instrument.</t>
        </is>
      </c>
      <c r="I15" s="28" t="inlineStr">
        <is>
          <t>Ancrer l’item dans une expression typique de R/R3 sans ajouter la dimension concurrente I.</t>
        </is>
      </c>
      <c r="J15" s="25" t="inlineStr">
        <is>
          <t>FAIBLE</t>
        </is>
      </c>
      <c r="K15" s="25" t="inlineStr">
        <is>
          <t>FAIBLE</t>
        </is>
      </c>
      <c r="L15" s="25" t="inlineStr">
        <is>
          <t>MOYEN</t>
        </is>
      </c>
      <c r="M15" s="29" t="inlineStr">
        <is>
          <t>A_VALIDER</t>
        </is>
      </c>
      <c r="N15" s="30" t="inlineStr">
        <is>
          <t>PROPOSITION_V0.4</t>
        </is>
      </c>
      <c r="O15" s="9" t="n"/>
    </row>
    <row r="16" ht="48" customHeight="1" s="34">
      <c r="A16" s="25" t="inlineStr">
        <is>
          <t>PIP-ENV-R-R3-012</t>
        </is>
      </c>
      <c r="B16" s="25" t="inlineStr">
        <is>
          <t>R</t>
        </is>
      </c>
      <c r="C16" s="25" t="inlineStr">
        <is>
          <t>R3</t>
        </is>
      </c>
      <c r="D16" s="25" t="inlineStr">
        <is>
          <t>ENV</t>
        </is>
      </c>
      <c r="E16" s="25" t="inlineStr">
        <is>
          <t>I</t>
        </is>
      </c>
      <c r="F16" s="25" t="inlineStr">
        <is>
          <t>Travailler dans un environnement où l’on utilise régulièrement des outils, des instruments ou des machines pour agir sur le réel.</t>
        </is>
      </c>
      <c r="G16" s="26" t="inlineStr">
        <is>
          <t>FORTE</t>
        </is>
      </c>
      <c r="H16" s="27" t="inlineStr">
        <is>
          <t>Travailler dans un environnement où l’usage d’outils, d’instruments ou de machines fait partie du quotidien.</t>
        </is>
      </c>
      <c r="I16" s="28" t="inlineStr">
        <is>
          <t>Ancrer l’item dans une expression typique de R/R3 sans ajouter la dimension concurrente I.</t>
        </is>
      </c>
      <c r="J16" s="25" t="inlineStr">
        <is>
          <t>FAIBLE</t>
        </is>
      </c>
      <c r="K16" s="25" t="inlineStr">
        <is>
          <t>FAIBLE</t>
        </is>
      </c>
      <c r="L16" s="25" t="inlineStr">
        <is>
          <t>MOYEN</t>
        </is>
      </c>
      <c r="M16" s="29" t="inlineStr">
        <is>
          <t>A_VALIDER</t>
        </is>
      </c>
      <c r="N16" s="30" t="inlineStr">
        <is>
          <t>PROPOSITION_V0.4</t>
        </is>
      </c>
      <c r="O16" s="9" t="n"/>
    </row>
    <row r="17" ht="48" customHeight="1" s="34">
      <c r="A17" s="25" t="inlineStr">
        <is>
          <t>PIP-ACT-R-R4-013</t>
        </is>
      </c>
      <c r="B17" s="25" t="inlineStr">
        <is>
          <t>R</t>
        </is>
      </c>
      <c r="C17" s="25" t="inlineStr">
        <is>
          <t>R4</t>
        </is>
      </c>
      <c r="D17" s="25" t="inlineStr">
        <is>
          <t>ACT</t>
        </is>
      </c>
      <c r="E17" s="25" t="inlineStr">
        <is>
          <t>I</t>
        </is>
      </c>
      <c r="F17" s="25" t="inlineStr">
        <is>
          <t>Se rendre sur différents sites pour intervenir directement sur le terrain.</t>
        </is>
      </c>
      <c r="G17" s="26" t="inlineStr">
        <is>
          <t>FORTE</t>
        </is>
      </c>
      <c r="H17" s="27" t="inlineStr">
        <is>
          <t>Se déplacer sur plusieurs sites pour constater une situation et intervenir directement sur place.</t>
        </is>
      </c>
      <c r="I17" s="28" t="inlineStr">
        <is>
          <t>Ancrer l’item dans une expression typique de R/R4 sans ajouter la dimension concurrente I.</t>
        </is>
      </c>
      <c r="J17" s="25" t="inlineStr">
        <is>
          <t>FAIBLE</t>
        </is>
      </c>
      <c r="K17" s="25" t="inlineStr">
        <is>
          <t>FAIBLE</t>
        </is>
      </c>
      <c r="L17" s="25" t="inlineStr">
        <is>
          <t>MOYEN</t>
        </is>
      </c>
      <c r="M17" s="29" t="inlineStr">
        <is>
          <t>A_VALIDER</t>
        </is>
      </c>
      <c r="N17" s="30" t="inlineStr">
        <is>
          <t>PROPOSITION_V0.4</t>
        </is>
      </c>
      <c r="O17" s="9" t="n"/>
    </row>
    <row r="18" ht="48" customHeight="1" s="34">
      <c r="A18" s="25" t="inlineStr">
        <is>
          <t>PIP-ACT-R-R4-014</t>
        </is>
      </c>
      <c r="B18" s="25" t="inlineStr">
        <is>
          <t>R</t>
        </is>
      </c>
      <c r="C18" s="25" t="inlineStr">
        <is>
          <t>R4</t>
        </is>
      </c>
      <c r="D18" s="25" t="inlineStr">
        <is>
          <t>ACT</t>
        </is>
      </c>
      <c r="E18" s="25" t="inlineStr">
        <is>
          <t>I</t>
        </is>
      </c>
      <c r="F18" s="25" t="inlineStr">
        <is>
          <t>Réaliser une activité professionnelle principalement en extérieur.</t>
        </is>
      </c>
      <c r="G18" s="26" t="inlineStr">
        <is>
          <t>FORTE</t>
        </is>
      </c>
      <c r="H18" s="27" t="inlineStr">
        <is>
          <t>Passer l’essentiel de sa journée de travail dehors, sur un chantier, un site naturel ou un espace extérieur.</t>
        </is>
      </c>
      <c r="I18" s="28" t="inlineStr">
        <is>
          <t>Ancrer l’item dans une expression typique de R/R4 sans ajouter la dimension concurrente I.</t>
        </is>
      </c>
      <c r="J18" s="25" t="inlineStr">
        <is>
          <t>FAIBLE</t>
        </is>
      </c>
      <c r="K18" s="25" t="inlineStr">
        <is>
          <t>FAIBLE</t>
        </is>
      </c>
      <c r="L18" s="25" t="inlineStr">
        <is>
          <t>MOYEN</t>
        </is>
      </c>
      <c r="M18" s="29" t="inlineStr">
        <is>
          <t>A_VALIDER</t>
        </is>
      </c>
      <c r="N18" s="30" t="inlineStr">
        <is>
          <t>PROPOSITION_V0.4</t>
        </is>
      </c>
      <c r="O18" s="9" t="n"/>
    </row>
    <row r="19" ht="48" customHeight="1" s="34">
      <c r="A19" s="25" t="inlineStr">
        <is>
          <t>PIP-SIT-R-R4-015</t>
        </is>
      </c>
      <c r="B19" s="25" t="inlineStr">
        <is>
          <t>R</t>
        </is>
      </c>
      <c r="C19" s="25" t="inlineStr">
        <is>
          <t>R4</t>
        </is>
      </c>
      <c r="D19" s="25" t="inlineStr">
        <is>
          <t>SIT</t>
        </is>
      </c>
      <c r="E19" s="25" t="inlineStr">
        <is>
          <t>I</t>
        </is>
      </c>
      <c r="F19" s="25" t="inlineStr">
        <is>
          <t>Intervenir sur place lorsqu’une situation concrète doit être traitée directement plutôt qu’à distance.</t>
        </is>
      </c>
      <c r="G19" s="26" t="inlineStr">
        <is>
          <t>FORTE</t>
        </is>
      </c>
      <c r="H19" s="27" t="inlineStr">
        <is>
          <t>Un problème apparaît sur un site : aller sur place pour observer la situation et agir immédiatement.</t>
        </is>
      </c>
      <c r="I19" s="28" t="inlineStr">
        <is>
          <t>Ancrer l’item dans une expression typique de R/R4 sans ajouter la dimension concurrente I.</t>
        </is>
      </c>
      <c r="J19" s="25" t="inlineStr">
        <is>
          <t>FAIBLE</t>
        </is>
      </c>
      <c r="K19" s="25" t="inlineStr">
        <is>
          <t>FAIBLE</t>
        </is>
      </c>
      <c r="L19" s="25" t="inlineStr">
        <is>
          <t>MOYEN</t>
        </is>
      </c>
      <c r="M19" s="29" t="inlineStr">
        <is>
          <t>A_VALIDER</t>
        </is>
      </c>
      <c r="N19" s="30" t="inlineStr">
        <is>
          <t>PROPOSITION_V0.4</t>
        </is>
      </c>
      <c r="O19" s="9" t="n"/>
    </row>
    <row r="20" ht="48" customHeight="1" s="34">
      <c r="A20" s="25" t="inlineStr">
        <is>
          <t>PIP-ENV-R-R4-016</t>
        </is>
      </c>
      <c r="B20" s="25" t="inlineStr">
        <is>
          <t>R</t>
        </is>
      </c>
      <c r="C20" s="25" t="inlineStr">
        <is>
          <t>R4</t>
        </is>
      </c>
      <c r="D20" s="25" t="inlineStr">
        <is>
          <t>ENV</t>
        </is>
      </c>
      <c r="E20" s="25" t="inlineStr">
        <is>
          <t>I</t>
        </is>
      </c>
      <c r="F20" s="25" t="inlineStr">
        <is>
          <t>Travailler dans un contexte où l’activité se déroule souvent sur le terrain, au contact direct de l’environnement réel.</t>
        </is>
      </c>
      <c r="G20" s="26" t="inlineStr">
        <is>
          <t>FORTE</t>
        </is>
      </c>
      <c r="H20" s="27" t="inlineStr">
        <is>
          <t>Exercer un métier où l’on est souvent sur le terrain plutôt que derrière un bureau.</t>
        </is>
      </c>
      <c r="I20" s="28" t="inlineStr">
        <is>
          <t>Ancrer l’item dans une expression typique de R/R4 sans ajouter la dimension concurrente I.</t>
        </is>
      </c>
      <c r="J20" s="25" t="inlineStr">
        <is>
          <t>FAIBLE</t>
        </is>
      </c>
      <c r="K20" s="25" t="inlineStr">
        <is>
          <t>FAIBLE</t>
        </is>
      </c>
      <c r="L20" s="25" t="inlineStr">
        <is>
          <t>MOYEN</t>
        </is>
      </c>
      <c r="M20" s="29" t="inlineStr">
        <is>
          <t>A_VALIDER</t>
        </is>
      </c>
      <c r="N20" s="30" t="inlineStr">
        <is>
          <t>PROPOSITION_V0.4</t>
        </is>
      </c>
      <c r="O20" s="9" t="n"/>
    </row>
    <row r="21" ht="48" customHeight="1" s="34">
      <c r="A21" s="25" t="inlineStr">
        <is>
          <t>PIP-ACT-R-R5-017</t>
        </is>
      </c>
      <c r="B21" s="25" t="inlineStr">
        <is>
          <t>R</t>
        </is>
      </c>
      <c r="C21" s="25" t="inlineStr">
        <is>
          <t>R5</t>
        </is>
      </c>
      <c r="D21" s="25" t="inlineStr">
        <is>
          <t>ACT</t>
        </is>
      </c>
      <c r="E21" s="25" t="inlineStr">
        <is>
          <t>S,I</t>
        </is>
      </c>
      <c r="F21" s="25" t="inlineStr">
        <is>
          <t>S’occuper concrètement de plantes ou d’animaux dans le cadre du travail.</t>
        </is>
      </c>
      <c r="G21" s="26" t="inlineStr">
        <is>
          <t>FORTE</t>
        </is>
      </c>
      <c r="H21" s="27" t="inlineStr">
        <is>
          <t>S’occuper concrètement de cultures, de plantes ou d’animaux : nourrir, entretenir, surveiller leur état.</t>
        </is>
      </c>
      <c r="I21" s="28" t="inlineStr">
        <is>
          <t>Ancrer l’item dans une expression typique de R/R5 sans ajouter la dimension concurrente S,I.</t>
        </is>
      </c>
      <c r="J21" s="25" t="inlineStr">
        <is>
          <t>MOYEN</t>
        </is>
      </c>
      <c r="K21" s="25" t="inlineStr">
        <is>
          <t>FAIBLE</t>
        </is>
      </c>
      <c r="L21" s="25" t="inlineStr">
        <is>
          <t>MOYEN</t>
        </is>
      </c>
      <c r="M21" s="29" t="inlineStr">
        <is>
          <t>A_VALIDER</t>
        </is>
      </c>
      <c r="N21" s="30" t="inlineStr">
        <is>
          <t>PROPOSITION_V0.4</t>
        </is>
      </c>
      <c r="O21" s="9" t="n"/>
    </row>
    <row r="22" ht="48" customHeight="1" s="34">
      <c r="A22" s="25" t="inlineStr">
        <is>
          <t>PIP-ACT-R-R5-018</t>
        </is>
      </c>
      <c r="B22" s="25" t="inlineStr">
        <is>
          <t>R</t>
        </is>
      </c>
      <c r="C22" s="25" t="inlineStr">
        <is>
          <t>R5</t>
        </is>
      </c>
      <c r="D22" s="25" t="inlineStr">
        <is>
          <t>ACT</t>
        </is>
      </c>
      <c r="E22" s="25" t="inlineStr">
        <is>
          <t>S,I</t>
        </is>
      </c>
      <c r="F22" s="25" t="inlineStr">
        <is>
          <t>Manipuler des matériaux ou des produits pour réaliser une tâche physique utile.</t>
        </is>
      </c>
      <c r="G22" s="26" t="inlineStr">
        <is>
          <t>FORTE</t>
        </is>
      </c>
      <c r="H22" s="27" t="inlineStr">
        <is>
          <t>Manipuler des matériaux, déplacer des éléments ou préparer physiquement des produits pour réaliser une opération utile.</t>
        </is>
      </c>
      <c r="I22" s="28" t="inlineStr">
        <is>
          <t>Ancrer l’item dans une expression typique de R/R5 sans ajouter la dimension concurrente S,I.</t>
        </is>
      </c>
      <c r="J22" s="25" t="inlineStr">
        <is>
          <t>FAIBLE</t>
        </is>
      </c>
      <c r="K22" s="25" t="inlineStr">
        <is>
          <t>FAIBLE</t>
        </is>
      </c>
      <c r="L22" s="25" t="inlineStr">
        <is>
          <t>MOYEN</t>
        </is>
      </c>
      <c r="M22" s="29" t="inlineStr">
        <is>
          <t>A_VALIDER</t>
        </is>
      </c>
      <c r="N22" s="30" t="inlineStr">
        <is>
          <t>PROPOSITION_V0.4</t>
        </is>
      </c>
      <c r="O22" s="9" t="n"/>
    </row>
    <row r="23" ht="48" customHeight="1" s="34">
      <c r="A23" s="25" t="inlineStr">
        <is>
          <t>PIP-SIT-R-R5-019</t>
        </is>
      </c>
      <c r="B23" s="25" t="inlineStr">
        <is>
          <t>R</t>
        </is>
      </c>
      <c r="C23" s="25" t="inlineStr">
        <is>
          <t>R5</t>
        </is>
      </c>
      <c r="D23" s="25" t="inlineStr">
        <is>
          <t>SIT</t>
        </is>
      </c>
      <c r="E23" s="25" t="inlineStr">
        <is>
          <t>S,I</t>
        </is>
      </c>
      <c r="F23" s="25" t="inlineStr">
        <is>
          <t>Prendre en charge une activité où il faut agir directement sur du vivant, de la matière ou un environnement physique.</t>
        </is>
      </c>
      <c r="G23" s="26" t="inlineStr">
        <is>
          <t>FORTE</t>
        </is>
      </c>
      <c r="H23" s="27" t="inlineStr">
        <is>
          <t>Prendre en charge une tâche nécessitant d’agir directement sur des matières, des plantes, des animaux ou un espace physique.</t>
        </is>
      </c>
      <c r="I23" s="28" t="inlineStr">
        <is>
          <t>Ancrer l’item dans une expression typique de R/R5 sans ajouter la dimension concurrente S,I.</t>
        </is>
      </c>
      <c r="J23" s="25" t="inlineStr">
        <is>
          <t>FAIBLE</t>
        </is>
      </c>
      <c r="K23" s="25" t="inlineStr">
        <is>
          <t>FAIBLE</t>
        </is>
      </c>
      <c r="L23" s="25" t="inlineStr">
        <is>
          <t>MOYEN</t>
        </is>
      </c>
      <c r="M23" s="29" t="inlineStr">
        <is>
          <t>A_VALIDER</t>
        </is>
      </c>
      <c r="N23" s="30" t="inlineStr">
        <is>
          <t>PROPOSITION_V0.4</t>
        </is>
      </c>
      <c r="O23" s="9" t="n"/>
    </row>
    <row r="24" ht="48" customHeight="1" s="34">
      <c r="A24" s="25" t="inlineStr">
        <is>
          <t>PIP-ENV-R-R5-020</t>
        </is>
      </c>
      <c r="B24" s="25" t="inlineStr">
        <is>
          <t>R</t>
        </is>
      </c>
      <c r="C24" s="25" t="inlineStr">
        <is>
          <t>R5</t>
        </is>
      </c>
      <c r="D24" s="25" t="inlineStr">
        <is>
          <t>ENV</t>
        </is>
      </c>
      <c r="E24" s="25" t="inlineStr">
        <is>
          <t>S,I</t>
        </is>
      </c>
      <c r="F24" s="25" t="inlineStr">
        <is>
          <t>Évoluer dans un environnement où le travail implique régulièrement une action physique concrète sur des matières, des plantes, des animaux ou des objets.</t>
        </is>
      </c>
      <c r="G24" s="26" t="inlineStr">
        <is>
          <t>FORTE</t>
        </is>
      </c>
      <c r="H24" s="27" t="inlineStr">
        <is>
          <t>Travailler dans un environnement où l’activité implique régulièrement de manipuler des matières, des objets ou du vivant.</t>
        </is>
      </c>
      <c r="I24" s="28" t="inlineStr">
        <is>
          <t>Ancrer l’item dans une expression typique de R/R5 sans ajouter la dimension concurrente S,I.</t>
        </is>
      </c>
      <c r="J24" s="25" t="inlineStr">
        <is>
          <t>FAIBLE</t>
        </is>
      </c>
      <c r="K24" s="25" t="inlineStr">
        <is>
          <t>FAIBLE</t>
        </is>
      </c>
      <c r="L24" s="25" t="inlineStr">
        <is>
          <t>MOYEN</t>
        </is>
      </c>
      <c r="M24" s="29" t="inlineStr">
        <is>
          <t>A_VALIDER</t>
        </is>
      </c>
      <c r="N24" s="30" t="inlineStr">
        <is>
          <t>PROPOSITION_V0.4</t>
        </is>
      </c>
      <c r="O24" s="9" t="n"/>
    </row>
    <row r="25" ht="48" customHeight="1" s="34">
      <c r="A25" s="18" t="inlineStr">
        <is>
          <t>PIP-ACT-I-I1-001</t>
        </is>
      </c>
      <c r="B25" s="18" t="inlineStr">
        <is>
          <t>I</t>
        </is>
      </c>
      <c r="C25" s="18" t="inlineStr">
        <is>
          <t>I1</t>
        </is>
      </c>
      <c r="D25" s="18" t="inlineStr">
        <is>
          <t>ACT</t>
        </is>
      </c>
      <c r="E25" s="18" t="inlineStr">
        <is>
          <t>C</t>
        </is>
      </c>
      <c r="F25" s="18" t="inlineStr">
        <is>
          <t>Observer attentivement une situation pour en repérer les caractéristiques importantes.</t>
        </is>
      </c>
      <c r="G25" s="22" t="inlineStr">
        <is>
          <t>UTILE</t>
        </is>
      </c>
      <c r="H25" s="20" t="inlineStr">
        <is>
          <t>Observer un fonctionnement, un phénomène ou une situation et relever les détails importants avant de conclure.</t>
        </is>
      </c>
      <c r="I25" s="21" t="inlineStr">
        <is>
          <t>Ancrer l’item dans une expression typique de I/I1 sans ajouter la dimension concurrente C.</t>
        </is>
      </c>
      <c r="J25" s="18" t="inlineStr">
        <is>
          <t>FAIBLE</t>
        </is>
      </c>
      <c r="K25" s="18" t="inlineStr">
        <is>
          <t>FAIBLE</t>
        </is>
      </c>
      <c r="L25" s="18" t="inlineStr">
        <is>
          <t>FAIBLE</t>
        </is>
      </c>
      <c r="M25" s="22" t="inlineStr">
        <is>
          <t>A_VALIDER</t>
        </is>
      </c>
      <c r="N25" s="23" t="inlineStr">
        <is>
          <t>PROPOSITION_V0.4</t>
        </is>
      </c>
      <c r="O25" s="24" t="n"/>
    </row>
    <row r="26" ht="48" customHeight="1" s="34">
      <c r="A26" s="25" t="inlineStr">
        <is>
          <t>PIP-ACT-I-I1-002</t>
        </is>
      </c>
      <c r="B26" s="25" t="inlineStr">
        <is>
          <t>I</t>
        </is>
      </c>
      <c r="C26" s="25" t="inlineStr">
        <is>
          <t>I1</t>
        </is>
      </c>
      <c r="D26" s="25" t="inlineStr">
        <is>
          <t>ACT</t>
        </is>
      </c>
      <c r="E26" s="25" t="inlineStr">
        <is>
          <t>C</t>
        </is>
      </c>
      <c r="F26" s="25" t="inlineStr">
        <is>
          <t>Comparer plusieurs informations ou observations pour identifier ce qui les distingue.</t>
        </is>
      </c>
      <c r="G26" s="29" t="inlineStr">
        <is>
          <t>UTILE</t>
        </is>
      </c>
      <c r="H26" s="27" t="inlineStr">
        <is>
          <t>Comparer deux séries d’informations ou d’observations pour identifier précisément ce qui diffère.</t>
        </is>
      </c>
      <c r="I26" s="28" t="inlineStr">
        <is>
          <t>Ancrer l’item dans une expression typique de I/I1 sans ajouter la dimension concurrente C.</t>
        </is>
      </c>
      <c r="J26" s="25" t="inlineStr">
        <is>
          <t>FAIBLE</t>
        </is>
      </c>
      <c r="K26" s="25" t="inlineStr">
        <is>
          <t>FAIBLE</t>
        </is>
      </c>
      <c r="L26" s="25" t="inlineStr">
        <is>
          <t>FAIBLE</t>
        </is>
      </c>
      <c r="M26" s="29" t="inlineStr">
        <is>
          <t>A_VALIDER</t>
        </is>
      </c>
      <c r="N26" s="30" t="inlineStr">
        <is>
          <t>PROPOSITION_V0.4</t>
        </is>
      </c>
      <c r="O26" s="9" t="n"/>
    </row>
    <row r="27" ht="48" customHeight="1" s="34">
      <c r="A27" s="25" t="inlineStr">
        <is>
          <t>PIP-SIT-I-I1-003</t>
        </is>
      </c>
      <c r="B27" s="25" t="inlineStr">
        <is>
          <t>I</t>
        </is>
      </c>
      <c r="C27" s="25" t="inlineStr">
        <is>
          <t>I1</t>
        </is>
      </c>
      <c r="D27" s="25" t="inlineStr">
        <is>
          <t>SIT</t>
        </is>
      </c>
      <c r="E27" s="25" t="inlineStr">
        <is>
          <t>C</t>
        </is>
      </c>
      <c r="F27" s="25" t="inlineStr">
        <is>
          <t>Examiner une situation nouvelle afin de comprendre précisément ce qui s’y passe.</t>
        </is>
      </c>
      <c r="G27" s="29" t="inlineStr">
        <is>
          <t>UTILE</t>
        </is>
      </c>
      <c r="H27" s="27" t="inlineStr">
        <is>
          <t>Face à une situation inhabituelle, prendre le temps d’examiner les faits avant d’avancer une explication.</t>
        </is>
      </c>
      <c r="I27" s="28" t="inlineStr">
        <is>
          <t>Ancrer l’item dans une expression typique de I/I1 sans ajouter la dimension concurrente C.</t>
        </is>
      </c>
      <c r="J27" s="25" t="inlineStr">
        <is>
          <t>FAIBLE</t>
        </is>
      </c>
      <c r="K27" s="25" t="inlineStr">
        <is>
          <t>FAIBLE</t>
        </is>
      </c>
      <c r="L27" s="25" t="inlineStr">
        <is>
          <t>FAIBLE</t>
        </is>
      </c>
      <c r="M27" s="29" t="inlineStr">
        <is>
          <t>A_VALIDER</t>
        </is>
      </c>
      <c r="N27" s="30" t="inlineStr">
        <is>
          <t>PROPOSITION_V0.4</t>
        </is>
      </c>
      <c r="O27" s="9" t="n"/>
    </row>
    <row r="28" ht="48" customHeight="1" s="34">
      <c r="A28" s="25" t="inlineStr">
        <is>
          <t>PIP-ENV-I-I1-004</t>
        </is>
      </c>
      <c r="B28" s="25" t="inlineStr">
        <is>
          <t>I</t>
        </is>
      </c>
      <c r="C28" s="25" t="inlineStr">
        <is>
          <t>I1</t>
        </is>
      </c>
      <c r="D28" s="25" t="inlineStr">
        <is>
          <t>ENV</t>
        </is>
      </c>
      <c r="E28" s="25" t="inlineStr">
        <is>
          <t>C</t>
        </is>
      </c>
      <c r="F28" s="25" t="inlineStr">
        <is>
          <t>Travailler dans un contexte où l’on dispose de temps pour observer et examiner les faits avant de tirer des conclusions.</t>
        </is>
      </c>
      <c r="G28" s="29" t="inlineStr">
        <is>
          <t>UTILE</t>
        </is>
      </c>
      <c r="H28" s="27" t="inlineStr">
        <is>
          <t>Travailler dans un contexte où l’on peut observer, vérifier et examiner les faits avant de prendre position.</t>
        </is>
      </c>
      <c r="I28" s="28" t="inlineStr">
        <is>
          <t>Ancrer l’item dans une expression typique de I/I1 sans ajouter la dimension concurrente C.</t>
        </is>
      </c>
      <c r="J28" s="25" t="inlineStr">
        <is>
          <t>FAIBLE</t>
        </is>
      </c>
      <c r="K28" s="25" t="inlineStr">
        <is>
          <t>FAIBLE</t>
        </is>
      </c>
      <c r="L28" s="25" t="inlineStr">
        <is>
          <t>FAIBLE</t>
        </is>
      </c>
      <c r="M28" s="29" t="inlineStr">
        <is>
          <t>A_VALIDER</t>
        </is>
      </c>
      <c r="N28" s="30" t="inlineStr">
        <is>
          <t>PROPOSITION_V0.4</t>
        </is>
      </c>
      <c r="O28" s="9" t="n"/>
    </row>
    <row r="29" ht="48" customHeight="1" s="34">
      <c r="A29" s="25" t="inlineStr">
        <is>
          <t>PIP-ACT-I-I2-005</t>
        </is>
      </c>
      <c r="B29" s="25" t="inlineStr">
        <is>
          <t>I</t>
        </is>
      </c>
      <c r="C29" s="25" t="inlineStr">
        <is>
          <t>I2</t>
        </is>
      </c>
      <c r="D29" s="25" t="inlineStr">
        <is>
          <t>ACT</t>
        </is>
      </c>
      <c r="E29" s="25" t="inlineStr">
        <is>
          <t>C</t>
        </is>
      </c>
      <c r="F29" s="25" t="inlineStr">
        <is>
          <t>Analyser plusieurs informations pour comprendre les liens entre elles.</t>
        </is>
      </c>
      <c r="G29" s="29" t="inlineStr">
        <is>
          <t>UTILE</t>
        </is>
      </c>
      <c r="H29" s="27" t="inlineStr">
        <is>
          <t>Analyser plusieurs données pour comprendre comment elles sont liées et ce qu’elles expliquent.</t>
        </is>
      </c>
      <c r="I29" s="28" t="inlineStr">
        <is>
          <t>Ancrer l’item dans une expression typique de I/I2 sans ajouter la dimension concurrente C.</t>
        </is>
      </c>
      <c r="J29" s="25" t="inlineStr">
        <is>
          <t>FAIBLE</t>
        </is>
      </c>
      <c r="K29" s="25" t="inlineStr">
        <is>
          <t>FAIBLE</t>
        </is>
      </c>
      <c r="L29" s="25" t="inlineStr">
        <is>
          <t>FAIBLE</t>
        </is>
      </c>
      <c r="M29" s="29" t="inlineStr">
        <is>
          <t>A_VALIDER</t>
        </is>
      </c>
      <c r="N29" s="30" t="inlineStr">
        <is>
          <t>PROPOSITION_V0.4</t>
        </is>
      </c>
      <c r="O29" s="9" t="n"/>
    </row>
    <row r="30" ht="48" customHeight="1" s="34">
      <c r="A30" s="25" t="inlineStr">
        <is>
          <t>PIP-ACT-I-I2-006</t>
        </is>
      </c>
      <c r="B30" s="25" t="inlineStr">
        <is>
          <t>I</t>
        </is>
      </c>
      <c r="C30" s="25" t="inlineStr">
        <is>
          <t>I2</t>
        </is>
      </c>
      <c r="D30" s="25" t="inlineStr">
        <is>
          <t>ACT</t>
        </is>
      </c>
      <c r="E30" s="25" t="inlineStr">
        <is>
          <t>C</t>
        </is>
      </c>
      <c r="F30" s="25" t="inlineStr">
        <is>
          <t>Décomposer un problème complexe en plusieurs éléments pour mieux le comprendre.</t>
        </is>
      </c>
      <c r="G30" s="26" t="inlineStr">
        <is>
          <t>FORTE</t>
        </is>
      </c>
      <c r="H30" s="27" t="inlineStr">
        <is>
          <t>Découper un problème complexe en plusieurs questions plus simples afin d’en comprendre la logique.</t>
        </is>
      </c>
      <c r="I30" s="28" t="inlineStr">
        <is>
          <t>Ancrer l’item dans une expression typique de I/I2 sans ajouter la dimension concurrente C.</t>
        </is>
      </c>
      <c r="J30" s="25" t="inlineStr">
        <is>
          <t>FAIBLE</t>
        </is>
      </c>
      <c r="K30" s="25" t="inlineStr">
        <is>
          <t>FAIBLE</t>
        </is>
      </c>
      <c r="L30" s="25" t="inlineStr">
        <is>
          <t>FAIBLE</t>
        </is>
      </c>
      <c r="M30" s="29" t="inlineStr">
        <is>
          <t>A_VALIDER</t>
        </is>
      </c>
      <c r="N30" s="30" t="inlineStr">
        <is>
          <t>PROPOSITION_V0.4</t>
        </is>
      </c>
      <c r="O30" s="9" t="n"/>
    </row>
    <row r="31" ht="48" customHeight="1" s="34">
      <c r="A31" s="25" t="inlineStr">
        <is>
          <t>PIP-SIT-I-I2-007</t>
        </is>
      </c>
      <c r="B31" s="25" t="inlineStr">
        <is>
          <t>I</t>
        </is>
      </c>
      <c r="C31" s="25" t="inlineStr">
        <is>
          <t>I2</t>
        </is>
      </c>
      <c r="D31" s="25" t="inlineStr">
        <is>
          <t>SIT</t>
        </is>
      </c>
      <c r="E31" s="25" t="inlineStr">
        <is>
          <t>C</t>
        </is>
      </c>
      <c r="F31" s="25" t="inlineStr">
        <is>
          <t>Faire face à un problème où il faut raisonner étape par étape avant de trouver une explication.</t>
        </is>
      </c>
      <c r="G31" s="29" t="inlineStr">
        <is>
          <t>UTILE</t>
        </is>
      </c>
      <c r="H31" s="27" t="inlineStr">
        <is>
          <t>Un problème n’a pas de réponse évidente : raisonner étape par étape pour comprendre ce qui se passe.</t>
        </is>
      </c>
      <c r="I31" s="28" t="inlineStr">
        <is>
          <t>Ancrer l’item dans une expression typique de I/I2 sans ajouter la dimension concurrente C.</t>
        </is>
      </c>
      <c r="J31" s="25" t="inlineStr">
        <is>
          <t>FAIBLE</t>
        </is>
      </c>
      <c r="K31" s="25" t="inlineStr">
        <is>
          <t>FAIBLE</t>
        </is>
      </c>
      <c r="L31" s="25" t="inlineStr">
        <is>
          <t>FAIBLE</t>
        </is>
      </c>
      <c r="M31" s="29" t="inlineStr">
        <is>
          <t>A_VALIDER</t>
        </is>
      </c>
      <c r="N31" s="30" t="inlineStr">
        <is>
          <t>PROPOSITION_V0.4</t>
        </is>
      </c>
      <c r="O31" s="9" t="n"/>
    </row>
    <row r="32" ht="48" customHeight="1" s="34">
      <c r="A32" s="25" t="inlineStr">
        <is>
          <t>PIP-ENV-I-I2-008</t>
        </is>
      </c>
      <c r="B32" s="25" t="inlineStr">
        <is>
          <t>I</t>
        </is>
      </c>
      <c r="C32" s="25" t="inlineStr">
        <is>
          <t>I2</t>
        </is>
      </c>
      <c r="D32" s="25" t="inlineStr">
        <is>
          <t>ENV</t>
        </is>
      </c>
      <c r="E32" s="25" t="inlineStr">
        <is>
          <t>C</t>
        </is>
      </c>
      <c r="F32" s="25" t="inlineStr">
        <is>
          <t>Évoluer dans un contexte où l’on doit régulièrement interpréter des informations et construire un raisonnement.</t>
        </is>
      </c>
      <c r="G32" s="26" t="inlineStr">
        <is>
          <t>FORTE</t>
        </is>
      </c>
      <c r="H32" s="27" t="inlineStr">
        <is>
          <t>Exercer dans un environnement où l’on doit souvent interpréter des informations et construire un raisonnement argumenté.</t>
        </is>
      </c>
      <c r="I32" s="28" t="inlineStr">
        <is>
          <t>Ancrer l’item dans une expression typique de I/I2 sans ajouter la dimension concurrente C.</t>
        </is>
      </c>
      <c r="J32" s="25" t="inlineStr">
        <is>
          <t>FAIBLE</t>
        </is>
      </c>
      <c r="K32" s="25" t="inlineStr">
        <is>
          <t>FAIBLE</t>
        </is>
      </c>
      <c r="L32" s="25" t="inlineStr">
        <is>
          <t>FAIBLE</t>
        </is>
      </c>
      <c r="M32" s="29" t="inlineStr">
        <is>
          <t>A_VALIDER</t>
        </is>
      </c>
      <c r="N32" s="30" t="inlineStr">
        <is>
          <t>PROPOSITION_V0.4</t>
        </is>
      </c>
      <c r="O32" s="9" t="n"/>
    </row>
    <row r="33" ht="48" customHeight="1" s="34">
      <c r="A33" s="25" t="inlineStr">
        <is>
          <t>PIP-ACT-I-I3-009</t>
        </is>
      </c>
      <c r="B33" s="25" t="inlineStr">
        <is>
          <t>I</t>
        </is>
      </c>
      <c r="C33" s="25" t="inlineStr">
        <is>
          <t>I3</t>
        </is>
      </c>
      <c r="D33" s="25" t="inlineStr">
        <is>
          <t>ACT</t>
        </is>
      </c>
      <c r="E33" s="25" t="inlineStr">
        <is>
          <t>C</t>
        </is>
      </c>
      <c r="F33" s="25" t="inlineStr">
        <is>
          <t>Rechercher des informations provenant de plusieurs sources pour répondre à une question.</t>
        </is>
      </c>
      <c r="G33" s="29" t="inlineStr">
        <is>
          <t>UTILE</t>
        </is>
      </c>
      <c r="H33" s="27" t="inlineStr">
        <is>
          <t>Chercher des informations dans plusieurs sources fiables pour répondre à une question précise.</t>
        </is>
      </c>
      <c r="I33" s="28" t="inlineStr">
        <is>
          <t>Ancrer l’item dans une expression typique de I/I3 sans ajouter la dimension concurrente C.</t>
        </is>
      </c>
      <c r="J33" s="25" t="inlineStr">
        <is>
          <t>FAIBLE</t>
        </is>
      </c>
      <c r="K33" s="25" t="inlineStr">
        <is>
          <t>FAIBLE</t>
        </is>
      </c>
      <c r="L33" s="25" t="inlineStr">
        <is>
          <t>FAIBLE</t>
        </is>
      </c>
      <c r="M33" s="29" t="inlineStr">
        <is>
          <t>A_VALIDER</t>
        </is>
      </c>
      <c r="N33" s="30" t="inlineStr">
        <is>
          <t>PROPOSITION_V0.4</t>
        </is>
      </c>
      <c r="O33" s="9" t="n"/>
    </row>
    <row r="34" ht="48" customHeight="1" s="34">
      <c r="A34" s="25" t="inlineStr">
        <is>
          <t>PIP-ACT-I-I3-010</t>
        </is>
      </c>
      <c r="B34" s="25" t="inlineStr">
        <is>
          <t>I</t>
        </is>
      </c>
      <c r="C34" s="25" t="inlineStr">
        <is>
          <t>I3</t>
        </is>
      </c>
      <c r="D34" s="25" t="inlineStr">
        <is>
          <t>ACT</t>
        </is>
      </c>
      <c r="E34" s="25" t="inlineStr">
        <is>
          <t>C</t>
        </is>
      </c>
      <c r="F34" s="25" t="inlineStr">
        <is>
          <t>Enquêter pour vérifier ce qui est exact lorsqu’une situation reste incertaine.</t>
        </is>
      </c>
      <c r="G34" s="29" t="inlineStr">
        <is>
          <t>UTILE</t>
        </is>
      </c>
      <c r="H34" s="27" t="inlineStr">
        <is>
          <t>Vérifier une information incertaine en recoupant des sources et en recherchant des éléments de preuve.</t>
        </is>
      </c>
      <c r="I34" s="28" t="inlineStr">
        <is>
          <t>Ancrer l’item dans une expression typique de I/I3 sans ajouter la dimension concurrente C.</t>
        </is>
      </c>
      <c r="J34" s="25" t="inlineStr">
        <is>
          <t>FAIBLE</t>
        </is>
      </c>
      <c r="K34" s="25" t="inlineStr">
        <is>
          <t>FAIBLE</t>
        </is>
      </c>
      <c r="L34" s="25" t="inlineStr">
        <is>
          <t>FAIBLE</t>
        </is>
      </c>
      <c r="M34" s="29" t="inlineStr">
        <is>
          <t>A_VALIDER</t>
        </is>
      </c>
      <c r="N34" s="30" t="inlineStr">
        <is>
          <t>PROPOSITION_V0.4</t>
        </is>
      </c>
      <c r="O34" s="9" t="n"/>
    </row>
    <row r="35" ht="48" customHeight="1" s="34">
      <c r="A35" s="25" t="inlineStr">
        <is>
          <t>PIP-SIT-I-I3-011</t>
        </is>
      </c>
      <c r="B35" s="25" t="inlineStr">
        <is>
          <t>I</t>
        </is>
      </c>
      <c r="C35" s="25" t="inlineStr">
        <is>
          <t>I3</t>
        </is>
      </c>
      <c r="D35" s="25" t="inlineStr">
        <is>
          <t>SIT</t>
        </is>
      </c>
      <c r="E35" s="25" t="inlineStr">
        <is>
          <t>C</t>
        </is>
      </c>
      <c r="F35" s="25" t="inlineStr">
        <is>
          <t>Être confronté à une question sans réponse immédiate et devoir approfondir les recherches pour la comprendre.</t>
        </is>
      </c>
      <c r="G35" s="31" t="inlineStr">
        <is>
          <t>LEGERE</t>
        </is>
      </c>
      <c r="H35" s="27" t="inlineStr">
        <is>
          <t>Une question reste sans réponse : approfondir la recherche jusqu’à comprendre les éléments essentiels.</t>
        </is>
      </c>
      <c r="I35" s="28" t="inlineStr">
        <is>
          <t>Ancrer l’item dans une expression typique de I/I3 sans ajouter la dimension concurrente C.</t>
        </is>
      </c>
      <c r="J35" s="25" t="inlineStr">
        <is>
          <t>FAIBLE</t>
        </is>
      </c>
      <c r="K35" s="25" t="inlineStr">
        <is>
          <t>FAIBLE</t>
        </is>
      </c>
      <c r="L35" s="25" t="inlineStr">
        <is>
          <t>FAIBLE</t>
        </is>
      </c>
      <c r="M35" s="29" t="inlineStr">
        <is>
          <t>A_VALIDER</t>
        </is>
      </c>
      <c r="N35" s="30" t="inlineStr">
        <is>
          <t>PROPOSITION_V0.4</t>
        </is>
      </c>
      <c r="O35" s="9" t="n"/>
    </row>
    <row r="36" ht="48" customHeight="1" s="34">
      <c r="A36" s="25" t="inlineStr">
        <is>
          <t>PIP-ENV-I-I3-012</t>
        </is>
      </c>
      <c r="B36" s="25" t="inlineStr">
        <is>
          <t>I</t>
        </is>
      </c>
      <c r="C36" s="25" t="inlineStr">
        <is>
          <t>I3</t>
        </is>
      </c>
      <c r="D36" s="25" t="inlineStr">
        <is>
          <t>ENV</t>
        </is>
      </c>
      <c r="E36" s="25" t="inlineStr">
        <is>
          <t>C</t>
        </is>
      </c>
      <c r="F36" s="25" t="inlineStr">
        <is>
          <t>Travailler dans un contexte où l’on peut explorer des sujets, consulter des sources et approfondir des questions.</t>
        </is>
      </c>
      <c r="G36" s="26" t="inlineStr">
        <is>
          <t>FORTE</t>
        </is>
      </c>
      <c r="H36" s="27" t="inlineStr">
        <is>
          <t>Travailler dans un contexte où l’on dispose régulièrement de temps pour chercher, documenter et approfondir des sujets.</t>
        </is>
      </c>
      <c r="I36" s="28" t="inlineStr">
        <is>
          <t>Ancrer l’item dans une expression typique de I/I3 sans ajouter la dimension concurrente C.</t>
        </is>
      </c>
      <c r="J36" s="25" t="inlineStr">
        <is>
          <t>FAIBLE</t>
        </is>
      </c>
      <c r="K36" s="25" t="inlineStr">
        <is>
          <t>FAIBLE</t>
        </is>
      </c>
      <c r="L36" s="25" t="inlineStr">
        <is>
          <t>FAIBLE</t>
        </is>
      </c>
      <c r="M36" s="29" t="inlineStr">
        <is>
          <t>A_VALIDER</t>
        </is>
      </c>
      <c r="N36" s="30" t="inlineStr">
        <is>
          <t>PROPOSITION_V0.4</t>
        </is>
      </c>
      <c r="O36" s="9" t="n"/>
    </row>
    <row r="37" ht="48" customHeight="1" s="34">
      <c r="A37" s="25" t="inlineStr">
        <is>
          <t>PIP-ACT-I-I4-013</t>
        </is>
      </c>
      <c r="B37" s="25" t="inlineStr">
        <is>
          <t>I</t>
        </is>
      </c>
      <c r="C37" s="25" t="inlineStr">
        <is>
          <t>I4</t>
        </is>
      </c>
      <c r="D37" s="25" t="inlineStr">
        <is>
          <t>ACT</t>
        </is>
      </c>
      <c r="E37" s="25" t="inlineStr">
        <is>
          <t>R</t>
        </is>
      </c>
      <c r="F37" s="25" t="inlineStr">
        <is>
          <t>Tester une hypothèse pour voir si elle se vérifie.</t>
        </is>
      </c>
      <c r="G37" s="31" t="inlineStr">
        <is>
          <t>LEGERE</t>
        </is>
      </c>
      <c r="H37" s="27" t="inlineStr">
        <is>
          <t>Tester une hypothèse en définissant une manière simple de vérifier si elle se confirme.</t>
        </is>
      </c>
      <c r="I37" s="28" t="inlineStr">
        <is>
          <t>Ancrer l’item dans une expression typique de I/I4 sans ajouter la dimension concurrente R.</t>
        </is>
      </c>
      <c r="J37" s="25" t="inlineStr">
        <is>
          <t>FAIBLE</t>
        </is>
      </c>
      <c r="K37" s="25" t="inlineStr">
        <is>
          <t>FAIBLE</t>
        </is>
      </c>
      <c r="L37" s="25" t="inlineStr">
        <is>
          <t>FAIBLE</t>
        </is>
      </c>
      <c r="M37" s="29" t="inlineStr">
        <is>
          <t>A_VALIDER</t>
        </is>
      </c>
      <c r="N37" s="30" t="inlineStr">
        <is>
          <t>PROPOSITION_V0.4</t>
        </is>
      </c>
      <c r="O37" s="9" t="n"/>
    </row>
    <row r="38" ht="48" customHeight="1" s="34">
      <c r="A38" s="25" t="inlineStr">
        <is>
          <t>PIP-ACT-I-I4-014</t>
        </is>
      </c>
      <c r="B38" s="25" t="inlineStr">
        <is>
          <t>I</t>
        </is>
      </c>
      <c r="C38" s="25" t="inlineStr">
        <is>
          <t>I4</t>
        </is>
      </c>
      <c r="D38" s="25" t="inlineStr">
        <is>
          <t>ACT</t>
        </is>
      </c>
      <c r="E38" s="25" t="inlineStr">
        <is>
          <t>R</t>
        </is>
      </c>
      <c r="F38" s="25" t="inlineStr">
        <is>
          <t>Comparer plusieurs essais pour comprendre ce qui produit un résultat différent.</t>
        </is>
      </c>
      <c r="G38" s="31" t="inlineStr">
        <is>
          <t>LEGERE</t>
        </is>
      </c>
      <c r="H38" s="27" t="inlineStr">
        <is>
          <t>Réaliser plusieurs essais en modifiant un paramètre pour comprendre ce qui change le résultat.</t>
        </is>
      </c>
      <c r="I38" s="28" t="inlineStr">
        <is>
          <t>Ancrer l’item dans une expression typique de I/I4 sans ajouter la dimension concurrente R.</t>
        </is>
      </c>
      <c r="J38" s="25" t="inlineStr">
        <is>
          <t>FAIBLE</t>
        </is>
      </c>
      <c r="K38" s="25" t="inlineStr">
        <is>
          <t>FAIBLE</t>
        </is>
      </c>
      <c r="L38" s="25" t="inlineStr">
        <is>
          <t>FAIBLE</t>
        </is>
      </c>
      <c r="M38" s="29" t="inlineStr">
        <is>
          <t>A_VALIDER</t>
        </is>
      </c>
      <c r="N38" s="30" t="inlineStr">
        <is>
          <t>PROPOSITION_V0.4</t>
        </is>
      </c>
      <c r="O38" s="9" t="n"/>
    </row>
    <row r="39" ht="48" customHeight="1" s="34">
      <c r="A39" s="25" t="inlineStr">
        <is>
          <t>PIP-SIT-I-I4-015</t>
        </is>
      </c>
      <c r="B39" s="25" t="inlineStr">
        <is>
          <t>I</t>
        </is>
      </c>
      <c r="C39" s="25" t="inlineStr">
        <is>
          <t>I4</t>
        </is>
      </c>
      <c r="D39" s="25" t="inlineStr">
        <is>
          <t>SIT</t>
        </is>
      </c>
      <c r="E39" s="25" t="inlineStr">
        <is>
          <t>R</t>
        </is>
      </c>
      <c r="F39" s="25" t="inlineStr">
        <is>
          <t>Chercher la meilleure explication d’un phénomène en réalisant des essais ou des mesures.</t>
        </is>
      </c>
      <c r="G39" s="31" t="inlineStr">
        <is>
          <t>LEGERE</t>
        </is>
      </c>
      <c r="H39" s="27" t="inlineStr">
        <is>
          <t>Pour expliquer un phénomène, effectuer des mesures ou des essais et comparer les résultats obtenus.</t>
        </is>
      </c>
      <c r="I39" s="28" t="inlineStr">
        <is>
          <t>Ancrer l’item dans une expression typique de I/I4 sans ajouter la dimension concurrente R.</t>
        </is>
      </c>
      <c r="J39" s="25" t="inlineStr">
        <is>
          <t>FAIBLE</t>
        </is>
      </c>
      <c r="K39" s="25" t="inlineStr">
        <is>
          <t>FAIBLE</t>
        </is>
      </c>
      <c r="L39" s="25" t="inlineStr">
        <is>
          <t>FAIBLE</t>
        </is>
      </c>
      <c r="M39" s="29" t="inlineStr">
        <is>
          <t>A_VALIDER</t>
        </is>
      </c>
      <c r="N39" s="30" t="inlineStr">
        <is>
          <t>PROPOSITION_V0.4</t>
        </is>
      </c>
      <c r="O39" s="9" t="n"/>
    </row>
    <row r="40" ht="48" customHeight="1" s="34">
      <c r="A40" s="25" t="inlineStr">
        <is>
          <t>PIP-ENV-I-I4-016</t>
        </is>
      </c>
      <c r="B40" s="25" t="inlineStr">
        <is>
          <t>I</t>
        </is>
      </c>
      <c r="C40" s="25" t="inlineStr">
        <is>
          <t>I4</t>
        </is>
      </c>
      <c r="D40" s="25" t="inlineStr">
        <is>
          <t>ENV</t>
        </is>
      </c>
      <c r="E40" s="25" t="inlineStr">
        <is>
          <t>R</t>
        </is>
      </c>
      <c r="F40" s="25" t="inlineStr">
        <is>
          <t>Évoluer dans un contexte où l’on peut expérimenter, mesurer et tirer des enseignements des résultats.</t>
        </is>
      </c>
      <c r="G40" s="29" t="inlineStr">
        <is>
          <t>UTILE</t>
        </is>
      </c>
      <c r="H40" s="27" t="inlineStr">
        <is>
          <t>Évoluer dans un environnement où l’on peut tester, mesurer, expérimenter et apprendre des résultats.</t>
        </is>
      </c>
      <c r="I40" s="28" t="inlineStr">
        <is>
          <t>Ancrer l’item dans une expression typique de I/I4 sans ajouter la dimension concurrente R.</t>
        </is>
      </c>
      <c r="J40" s="25" t="inlineStr">
        <is>
          <t>FAIBLE</t>
        </is>
      </c>
      <c r="K40" s="25" t="inlineStr">
        <is>
          <t>FAIBLE</t>
        </is>
      </c>
      <c r="L40" s="25" t="inlineStr">
        <is>
          <t>FAIBLE</t>
        </is>
      </c>
      <c r="M40" s="29" t="inlineStr">
        <is>
          <t>A_VALIDER</t>
        </is>
      </c>
      <c r="N40" s="30" t="inlineStr">
        <is>
          <t>PROPOSITION_V0.4</t>
        </is>
      </c>
      <c r="O40" s="9" t="n"/>
    </row>
    <row r="41" ht="48" customHeight="1" s="34">
      <c r="A41" s="25" t="inlineStr">
        <is>
          <t>PIP-ACT-I-I5-017</t>
        </is>
      </c>
      <c r="B41" s="25" t="inlineStr">
        <is>
          <t>I</t>
        </is>
      </c>
      <c r="C41" s="25" t="inlineStr">
        <is>
          <t>I5</t>
        </is>
      </c>
      <c r="D41" s="25" t="inlineStr">
        <is>
          <t>ACT</t>
        </is>
      </c>
      <c r="E41" s="25" t="inlineStr">
        <is>
          <t>R</t>
        </is>
      </c>
      <c r="F41" s="25" t="inlineStr">
        <is>
          <t>Chercher la cause d’un problème pour pouvoir l’expliquer.</t>
        </is>
      </c>
      <c r="G41" s="29" t="inlineStr">
        <is>
          <t>UTILE</t>
        </is>
      </c>
      <c r="H41" s="27" t="inlineStr">
        <is>
          <t>Rechercher la cause d’un dysfonctionnement ou d’un phénomène avant de proposer une explication.</t>
        </is>
      </c>
      <c r="I41" s="28" t="inlineStr">
        <is>
          <t>Ancrer l’item dans une expression typique de I/I5 sans ajouter la dimension concurrente R.</t>
        </is>
      </c>
      <c r="J41" s="25" t="inlineStr">
        <is>
          <t>FAIBLE</t>
        </is>
      </c>
      <c r="K41" s="25" t="inlineStr">
        <is>
          <t>FAIBLE</t>
        </is>
      </c>
      <c r="L41" s="25" t="inlineStr">
        <is>
          <t>FAIBLE</t>
        </is>
      </c>
      <c r="M41" s="29" t="inlineStr">
        <is>
          <t>A_VALIDER</t>
        </is>
      </c>
      <c r="N41" s="30" t="inlineStr">
        <is>
          <t>PROPOSITION_V0.4</t>
        </is>
      </c>
      <c r="O41" s="9" t="n"/>
    </row>
    <row r="42" ht="48" customHeight="1" s="34">
      <c r="A42" s="25" t="inlineStr">
        <is>
          <t>PIP-ACT-I-I5-018</t>
        </is>
      </c>
      <c r="B42" s="25" t="inlineStr">
        <is>
          <t>I</t>
        </is>
      </c>
      <c r="C42" s="25" t="inlineStr">
        <is>
          <t>I5</t>
        </is>
      </c>
      <c r="D42" s="25" t="inlineStr">
        <is>
          <t>ACT</t>
        </is>
      </c>
      <c r="E42" s="25" t="inlineStr">
        <is>
          <t>R</t>
        </is>
      </c>
      <c r="F42" s="25" t="inlineStr">
        <is>
          <t>Résoudre un problème nouveau en construisant une solution fondée sur les informations disponibles.</t>
        </is>
      </c>
      <c r="G42" s="26" t="inlineStr">
        <is>
          <t>FORTE</t>
        </is>
      </c>
      <c r="H42" s="27" t="inlineStr">
        <is>
          <t>Résoudre un problème nouveau en utilisant les informations disponibles pour construire une solution raisonnée.</t>
        </is>
      </c>
      <c r="I42" s="28" t="inlineStr">
        <is>
          <t>Ancrer l’item dans une expression typique de I/I5 sans ajouter la dimension concurrente R.</t>
        </is>
      </c>
      <c r="J42" s="25" t="inlineStr">
        <is>
          <t>FAIBLE</t>
        </is>
      </c>
      <c r="K42" s="25" t="inlineStr">
        <is>
          <t>FAIBLE</t>
        </is>
      </c>
      <c r="L42" s="25" t="inlineStr">
        <is>
          <t>FAIBLE</t>
        </is>
      </c>
      <c r="M42" s="29" t="inlineStr">
        <is>
          <t>A_VALIDER</t>
        </is>
      </c>
      <c r="N42" s="30" t="inlineStr">
        <is>
          <t>PROPOSITION_V0.4</t>
        </is>
      </c>
      <c r="O42" s="9" t="n"/>
    </row>
    <row r="43" ht="48" customHeight="1" s="34">
      <c r="A43" s="25" t="inlineStr">
        <is>
          <t>PIP-SIT-I-I5-019</t>
        </is>
      </c>
      <c r="B43" s="25" t="inlineStr">
        <is>
          <t>I</t>
        </is>
      </c>
      <c r="C43" s="25" t="inlineStr">
        <is>
          <t>I5</t>
        </is>
      </c>
      <c r="D43" s="25" t="inlineStr">
        <is>
          <t>SIT</t>
        </is>
      </c>
      <c r="E43" s="25" t="inlineStr">
        <is>
          <t>R</t>
        </is>
      </c>
      <c r="F43" s="25" t="inlineStr">
        <is>
          <t>Prendre en charge une situation complexe dont la solution n’est pas connue à l’avance et qui demande d’abord de comprendre le problème.</t>
        </is>
      </c>
      <c r="G43" s="26" t="inlineStr">
        <is>
          <t>FORTE</t>
        </is>
      </c>
      <c r="H43" s="27" t="inlineStr">
        <is>
          <t>Face à une situation complexe et inédite, comprendre d’abord le problème avant d’élaborer une solution.</t>
        </is>
      </c>
      <c r="I43" s="28" t="inlineStr">
        <is>
          <t>Ancrer l’item dans une expression typique de I/I5 sans ajouter la dimension concurrente R.</t>
        </is>
      </c>
      <c r="J43" s="25" t="inlineStr">
        <is>
          <t>MOYEN</t>
        </is>
      </c>
      <c r="K43" s="25" t="inlineStr">
        <is>
          <t>FAIBLE</t>
        </is>
      </c>
      <c r="L43" s="25" t="inlineStr">
        <is>
          <t>FAIBLE</t>
        </is>
      </c>
      <c r="M43" s="29" t="inlineStr">
        <is>
          <t>A_VALIDER</t>
        </is>
      </c>
      <c r="N43" s="30" t="inlineStr">
        <is>
          <t>PROPOSITION_V0.4</t>
        </is>
      </c>
      <c r="O43" s="9" t="n"/>
    </row>
    <row r="44" ht="48" customHeight="1" s="34">
      <c r="A44" s="25" t="inlineStr">
        <is>
          <t>PIP-ENV-I-I5-020</t>
        </is>
      </c>
      <c r="B44" s="25" t="inlineStr">
        <is>
          <t>I</t>
        </is>
      </c>
      <c r="C44" s="25" t="inlineStr">
        <is>
          <t>I5</t>
        </is>
      </c>
      <c r="D44" s="25" t="inlineStr">
        <is>
          <t>ENV</t>
        </is>
      </c>
      <c r="E44" s="25" t="inlineStr">
        <is>
          <t>R</t>
        </is>
      </c>
      <c r="F44" s="25" t="inlineStr">
        <is>
          <t>Travailler dans un contexte où l’on est régulièrement amené à expliquer des phénomènes ou à résoudre des problèmes qui demandent réflexion et compréhension.</t>
        </is>
      </c>
      <c r="G44" s="26" t="inlineStr">
        <is>
          <t>FORTE</t>
        </is>
      </c>
      <c r="H44" s="27" t="inlineStr">
        <is>
          <t>Travailler dans un contexte où l’on doit fréquemment expliquer des phénomènes ou résoudre des problèmes qui demandent réflexion.</t>
        </is>
      </c>
      <c r="I44" s="28" t="inlineStr">
        <is>
          <t>Ancrer l’item dans une expression typique de I/I5 sans ajouter la dimension concurrente R.</t>
        </is>
      </c>
      <c r="J44" s="25" t="inlineStr">
        <is>
          <t>FAIBLE</t>
        </is>
      </c>
      <c r="K44" s="25" t="inlineStr">
        <is>
          <t>FAIBLE</t>
        </is>
      </c>
      <c r="L44" s="25" t="inlineStr">
        <is>
          <t>FAIBLE</t>
        </is>
      </c>
      <c r="M44" s="29" t="inlineStr">
        <is>
          <t>A_VALIDER</t>
        </is>
      </c>
      <c r="N44" s="30" t="inlineStr">
        <is>
          <t>PROPOSITION_V0.4</t>
        </is>
      </c>
      <c r="O44" s="9" t="n"/>
    </row>
    <row r="45" ht="48" customHeight="1" s="34">
      <c r="A45" s="18" t="inlineStr">
        <is>
          <t>PIP-ACT-A-A1-001</t>
        </is>
      </c>
      <c r="B45" s="18" t="inlineStr">
        <is>
          <t>A</t>
        </is>
      </c>
      <c r="C45" s="18" t="inlineStr">
        <is>
          <t>A1</t>
        </is>
      </c>
      <c r="D45" s="18" t="inlineStr">
        <is>
          <t>ACT</t>
        </is>
      </c>
      <c r="E45" s="18" t="inlineStr">
        <is>
          <t>I,E</t>
        </is>
      </c>
      <c r="F45" s="18" t="inlineStr">
        <is>
          <t>Imaginer plusieurs idées nouvelles à partir d’un même sujet.</t>
        </is>
      </c>
      <c r="G45" s="22" t="inlineStr">
        <is>
          <t>UTILE</t>
        </is>
      </c>
      <c r="H45" s="20" t="inlineStr">
        <is>
          <t>Imaginer plusieurs concepts différents pour répondre à un même thème ou à une même demande.</t>
        </is>
      </c>
      <c r="I45" s="21" t="inlineStr">
        <is>
          <t>Ancrer l’item dans une expression typique de A/A1 sans ajouter la dimension concurrente I,E.</t>
        </is>
      </c>
      <c r="J45" s="18" t="inlineStr">
        <is>
          <t>FAIBLE</t>
        </is>
      </c>
      <c r="K45" s="18" t="inlineStr">
        <is>
          <t>FAIBLE</t>
        </is>
      </c>
      <c r="L45" s="18" t="inlineStr">
        <is>
          <t>FAIBLE</t>
        </is>
      </c>
      <c r="M45" s="22" t="inlineStr">
        <is>
          <t>A_VALIDER</t>
        </is>
      </c>
      <c r="N45" s="23" t="inlineStr">
        <is>
          <t>PROPOSITION_V0.4</t>
        </is>
      </c>
      <c r="O45" s="24" t="n"/>
    </row>
    <row r="46" ht="48" customHeight="1" s="34">
      <c r="A46" s="25" t="inlineStr">
        <is>
          <t>PIP-ACT-A-A1-002</t>
        </is>
      </c>
      <c r="B46" s="25" t="inlineStr">
        <is>
          <t>A</t>
        </is>
      </c>
      <c r="C46" s="25" t="inlineStr">
        <is>
          <t>A1</t>
        </is>
      </c>
      <c r="D46" s="25" t="inlineStr">
        <is>
          <t>ACT</t>
        </is>
      </c>
      <c r="E46" s="25" t="inlineStr">
        <is>
          <t>I,E</t>
        </is>
      </c>
      <c r="F46" s="25" t="inlineStr">
        <is>
          <t>Inventer une manière originale de présenter ou de réaliser quelque chose.</t>
        </is>
      </c>
      <c r="G46" s="29" t="inlineStr">
        <is>
          <t>UTILE</t>
        </is>
      </c>
      <c r="H46" s="27" t="inlineStr">
        <is>
          <t>Inventer une manière originale de présenter un message, un objet ou une expérience.</t>
        </is>
      </c>
      <c r="I46" s="28" t="inlineStr">
        <is>
          <t>Ancrer l’item dans une expression typique de A/A1 sans ajouter la dimension concurrente I,E.</t>
        </is>
      </c>
      <c r="J46" s="25" t="inlineStr">
        <is>
          <t>FAIBLE</t>
        </is>
      </c>
      <c r="K46" s="25" t="inlineStr">
        <is>
          <t>FAIBLE</t>
        </is>
      </c>
      <c r="L46" s="25" t="inlineStr">
        <is>
          <t>FAIBLE</t>
        </is>
      </c>
      <c r="M46" s="29" t="inlineStr">
        <is>
          <t>A_VALIDER</t>
        </is>
      </c>
      <c r="N46" s="30" t="inlineStr">
        <is>
          <t>PROPOSITION_V0.4</t>
        </is>
      </c>
      <c r="O46" s="9" t="n"/>
    </row>
    <row r="47" ht="48" customHeight="1" s="34">
      <c r="A47" s="25" t="inlineStr">
        <is>
          <t>PIP-SIT-A-A1-003</t>
        </is>
      </c>
      <c r="B47" s="25" t="inlineStr">
        <is>
          <t>A</t>
        </is>
      </c>
      <c r="C47" s="25" t="inlineStr">
        <is>
          <t>A1</t>
        </is>
      </c>
      <c r="D47" s="25" t="inlineStr">
        <is>
          <t>SIT</t>
        </is>
      </c>
      <c r="E47" s="25" t="inlineStr">
        <is>
          <t>I,E</t>
        </is>
      </c>
      <c r="F47" s="25" t="inlineStr">
        <is>
          <t>Faire face à une demande pour laquelle aucune solution n’est imposée et imaginer une proposition nouvelle.</t>
        </is>
      </c>
      <c r="G47" s="29" t="inlineStr">
        <is>
          <t>UTILE</t>
        </is>
      </c>
      <c r="H47" s="27" t="inlineStr">
        <is>
          <t>Une demande est ouverte et aucune solution n’est imposée : imaginer une proposition nouvelle et personnelle.</t>
        </is>
      </c>
      <c r="I47" s="28" t="inlineStr">
        <is>
          <t>Ancrer l’item dans une expression typique de A/A1 sans ajouter la dimension concurrente I,E.</t>
        </is>
      </c>
      <c r="J47" s="25" t="inlineStr">
        <is>
          <t>FAIBLE</t>
        </is>
      </c>
      <c r="K47" s="25" t="inlineStr">
        <is>
          <t>FAIBLE</t>
        </is>
      </c>
      <c r="L47" s="25" t="inlineStr">
        <is>
          <t>FAIBLE</t>
        </is>
      </c>
      <c r="M47" s="29" t="inlineStr">
        <is>
          <t>A_VALIDER</t>
        </is>
      </c>
      <c r="N47" s="30" t="inlineStr">
        <is>
          <t>PROPOSITION_V0.4</t>
        </is>
      </c>
      <c r="O47" s="9" t="n"/>
    </row>
    <row r="48" ht="48" customHeight="1" s="34">
      <c r="A48" s="25" t="inlineStr">
        <is>
          <t>PIP-ENV-A-A1-004</t>
        </is>
      </c>
      <c r="B48" s="25" t="inlineStr">
        <is>
          <t>A</t>
        </is>
      </c>
      <c r="C48" s="25" t="inlineStr">
        <is>
          <t>A1</t>
        </is>
      </c>
      <c r="D48" s="25" t="inlineStr">
        <is>
          <t>ENV</t>
        </is>
      </c>
      <c r="E48" s="25" t="inlineStr">
        <is>
          <t>I,E</t>
        </is>
      </c>
      <c r="F48" s="25" t="inlineStr">
        <is>
          <t>Travailler dans un contexte où l’on attend régulièrement des idées nouvelles et où plusieurs pistes sont possibles.</t>
        </is>
      </c>
      <c r="G48" s="29" t="inlineStr">
        <is>
          <t>UTILE</t>
        </is>
      </c>
      <c r="H48" s="27" t="inlineStr">
        <is>
          <t>Travailler dans un contexte où l’on attend des idées nouvelles et où plusieurs réponses créatives sont possibles.</t>
        </is>
      </c>
      <c r="I48" s="28" t="inlineStr">
        <is>
          <t>Ancrer l’item dans une expression typique de A/A1 sans ajouter la dimension concurrente I,E.</t>
        </is>
      </c>
      <c r="J48" s="25" t="inlineStr">
        <is>
          <t>FAIBLE</t>
        </is>
      </c>
      <c r="K48" s="25" t="inlineStr">
        <is>
          <t>FAIBLE</t>
        </is>
      </c>
      <c r="L48" s="25" t="inlineStr">
        <is>
          <t>FAIBLE</t>
        </is>
      </c>
      <c r="M48" s="29" t="inlineStr">
        <is>
          <t>A_VALIDER</t>
        </is>
      </c>
      <c r="N48" s="30" t="inlineStr">
        <is>
          <t>PROPOSITION_V0.4</t>
        </is>
      </c>
      <c r="O48" s="9" t="n"/>
    </row>
    <row r="49" ht="48" customHeight="1" s="34">
      <c r="A49" s="25" t="inlineStr">
        <is>
          <t>PIP-ACT-A-A2-005</t>
        </is>
      </c>
      <c r="B49" s="25" t="inlineStr">
        <is>
          <t>A</t>
        </is>
      </c>
      <c r="C49" s="25" t="inlineStr">
        <is>
          <t>A2</t>
        </is>
      </c>
      <c r="D49" s="25" t="inlineStr">
        <is>
          <t>ACT</t>
        </is>
      </c>
      <c r="E49" s="25" t="inlineStr">
        <is>
          <t>R</t>
        </is>
      </c>
      <c r="F49" s="25" t="inlineStr">
        <is>
          <t>Concevoir l’organisation visuelle ou la forme d’un support pour qu’il exprime une intention.</t>
        </is>
      </c>
      <c r="G49" s="26" t="inlineStr">
        <is>
          <t>FORTE</t>
        </is>
      </c>
      <c r="H49" s="27" t="inlineStr">
        <is>
          <t>Concevoir librement la mise en page d’une affiche, d’une brochure ou d’un support visuel pour transmettre une intention.</t>
        </is>
      </c>
      <c r="I49" s="28" t="inlineStr">
        <is>
          <t>Ancrer l’item dans une expression typique de A/A2 sans ajouter la dimension concurrente R.</t>
        </is>
      </c>
      <c r="J49" s="25" t="inlineStr">
        <is>
          <t>MOYEN</t>
        </is>
      </c>
      <c r="K49" s="25" t="inlineStr">
        <is>
          <t>FAIBLE</t>
        </is>
      </c>
      <c r="L49" s="25" t="inlineStr">
        <is>
          <t>FAIBLE</t>
        </is>
      </c>
      <c r="M49" s="29" t="inlineStr">
        <is>
          <t>A_VALIDER</t>
        </is>
      </c>
      <c r="N49" s="30" t="inlineStr">
        <is>
          <t>PROPOSITION_V0.4</t>
        </is>
      </c>
      <c r="O49" s="9" t="n"/>
    </row>
    <row r="50" ht="48" customHeight="1" s="34">
      <c r="A50" s="25" t="inlineStr">
        <is>
          <t>PIP-ACT-A-A2-006</t>
        </is>
      </c>
      <c r="B50" s="25" t="inlineStr">
        <is>
          <t>A</t>
        </is>
      </c>
      <c r="C50" s="25" t="inlineStr">
        <is>
          <t>A2</t>
        </is>
      </c>
      <c r="D50" s="25" t="inlineStr">
        <is>
          <t>ACT</t>
        </is>
      </c>
      <c r="E50" s="25" t="inlineStr">
        <is>
          <t>R</t>
        </is>
      </c>
      <c r="F50" s="25" t="inlineStr">
        <is>
          <t>Composer différents éléments pour créer un ensemble cohérent et personnel.</t>
        </is>
      </c>
      <c r="G50" s="29" t="inlineStr">
        <is>
          <t>UTILE</t>
        </is>
      </c>
      <c r="H50" s="27" t="inlineStr">
        <is>
          <t>Composer un ensemble en choisissant personnellement la disposition des formes, textes, images, sons ou autres éléments.</t>
        </is>
      </c>
      <c r="I50" s="28" t="inlineStr">
        <is>
          <t>Ancrer l’item dans une expression typique de A/A2 sans ajouter la dimension concurrente R.</t>
        </is>
      </c>
      <c r="J50" s="25" t="inlineStr">
        <is>
          <t>FAIBLE</t>
        </is>
      </c>
      <c r="K50" s="25" t="inlineStr">
        <is>
          <t>FAIBLE</t>
        </is>
      </c>
      <c r="L50" s="25" t="inlineStr">
        <is>
          <t>FAIBLE</t>
        </is>
      </c>
      <c r="M50" s="29" t="inlineStr">
        <is>
          <t>A_VALIDER</t>
        </is>
      </c>
      <c r="N50" s="30" t="inlineStr">
        <is>
          <t>PROPOSITION_V0.4</t>
        </is>
      </c>
      <c r="O50" s="9" t="n"/>
    </row>
    <row r="51" ht="48" customHeight="1" s="34">
      <c r="A51" s="25" t="inlineStr">
        <is>
          <t>PIP-SIT-A-A2-007</t>
        </is>
      </c>
      <c r="B51" s="25" t="inlineStr">
        <is>
          <t>A</t>
        </is>
      </c>
      <c r="C51" s="25" t="inlineStr">
        <is>
          <t>A2</t>
        </is>
      </c>
      <c r="D51" s="25" t="inlineStr">
        <is>
          <t>SIT</t>
        </is>
      </c>
      <c r="E51" s="25" t="inlineStr">
        <is>
          <t>R</t>
        </is>
      </c>
      <c r="F51" s="25" t="inlineStr">
        <is>
          <t>Créer une proposition en choisissant librement la manière d’agencer plusieurs éléments.</t>
        </is>
      </c>
      <c r="G51" s="26" t="inlineStr">
        <is>
          <t>FORTE</t>
        </is>
      </c>
      <c r="H51" s="27" t="inlineStr">
        <is>
          <t>Créer une proposition en décidant librement comment agencer les éléments d’un support visuel, d’un espace ou d’une présentation créative.</t>
        </is>
      </c>
      <c r="I51" s="28" t="inlineStr">
        <is>
          <t>Ancrer l’item dans une expression typique de A/A2 sans ajouter la dimension concurrente R.</t>
        </is>
      </c>
      <c r="J51" s="25" t="inlineStr">
        <is>
          <t>FAIBLE</t>
        </is>
      </c>
      <c r="K51" s="25" t="inlineStr">
        <is>
          <t>FAIBLE</t>
        </is>
      </c>
      <c r="L51" s="25" t="inlineStr">
        <is>
          <t>FAIBLE</t>
        </is>
      </c>
      <c r="M51" s="29" t="inlineStr">
        <is>
          <t>A_VALIDER</t>
        </is>
      </c>
      <c r="N51" s="30" t="inlineStr">
        <is>
          <t>PROPOSITION_V0.4</t>
        </is>
      </c>
      <c r="O51" s="9" t="n"/>
    </row>
    <row r="52" ht="48" customHeight="1" s="34">
      <c r="A52" s="25" t="inlineStr">
        <is>
          <t>PIP-ENV-A-A2-008</t>
        </is>
      </c>
      <c r="B52" s="25" t="inlineStr">
        <is>
          <t>A</t>
        </is>
      </c>
      <c r="C52" s="25" t="inlineStr">
        <is>
          <t>A2</t>
        </is>
      </c>
      <c r="D52" s="25" t="inlineStr">
        <is>
          <t>ENV</t>
        </is>
      </c>
      <c r="E52" s="25" t="inlineStr">
        <is>
          <t>R</t>
        </is>
      </c>
      <c r="F52" s="25" t="inlineStr">
        <is>
          <t>Évoluer dans un contexte où l’on peut concevoir des formes, des contenus ou des expériences avec une réelle liberté de choix.</t>
        </is>
      </c>
      <c r="G52" s="29" t="inlineStr">
        <is>
          <t>UTILE</t>
        </is>
      </c>
      <c r="H52" s="27" t="inlineStr">
        <is>
          <t>Évoluer dans un contexte où l’on conçoit des formes, contenus ou expériences avec une vraie marge de choix personnel.</t>
        </is>
      </c>
      <c r="I52" s="28" t="inlineStr">
        <is>
          <t>Ancrer l’item dans une expression typique de A/A2 sans ajouter la dimension concurrente R.</t>
        </is>
      </c>
      <c r="J52" s="25" t="inlineStr">
        <is>
          <t>FAIBLE</t>
        </is>
      </c>
      <c r="K52" s="25" t="inlineStr">
        <is>
          <t>FAIBLE</t>
        </is>
      </c>
      <c r="L52" s="25" t="inlineStr">
        <is>
          <t>FAIBLE</t>
        </is>
      </c>
      <c r="M52" s="29" t="inlineStr">
        <is>
          <t>A_VALIDER</t>
        </is>
      </c>
      <c r="N52" s="30" t="inlineStr">
        <is>
          <t>PROPOSITION_V0.4</t>
        </is>
      </c>
      <c r="O52" s="9" t="n"/>
    </row>
    <row r="53" ht="48" customHeight="1" s="34">
      <c r="A53" s="25" t="inlineStr">
        <is>
          <t>PIP-ACT-A-A3-009</t>
        </is>
      </c>
      <c r="B53" s="25" t="inlineStr">
        <is>
          <t>A</t>
        </is>
      </c>
      <c r="C53" s="25" t="inlineStr">
        <is>
          <t>A3</t>
        </is>
      </c>
      <c r="D53" s="25" t="inlineStr">
        <is>
          <t>ACT</t>
        </is>
      </c>
      <c r="E53" s="25" t="inlineStr">
        <is>
          <t>S,E</t>
        </is>
      </c>
      <c r="F53" s="25" t="inlineStr">
        <is>
          <t>Écrire un texte pour transmettre une idée, une émotion ou un point de vue.</t>
        </is>
      </c>
      <c r="G53" s="31" t="inlineStr">
        <is>
          <t>LEGERE</t>
        </is>
      </c>
      <c r="H53" s="27" t="inlineStr">
        <is>
          <t>Écrire un texte, un récit ou un message destiné à faire ressentir une idée, une émotion ou un point de vue.</t>
        </is>
      </c>
      <c r="I53" s="28" t="inlineStr">
        <is>
          <t>Ancrer l’item dans une expression typique de A/A3 sans ajouter la dimension concurrente S,E.</t>
        </is>
      </c>
      <c r="J53" s="25" t="inlineStr">
        <is>
          <t>FAIBLE</t>
        </is>
      </c>
      <c r="K53" s="25" t="inlineStr">
        <is>
          <t>FAIBLE</t>
        </is>
      </c>
      <c r="L53" s="25" t="inlineStr">
        <is>
          <t>FAIBLE</t>
        </is>
      </c>
      <c r="M53" s="29" t="inlineStr">
        <is>
          <t>A_VALIDER</t>
        </is>
      </c>
      <c r="N53" s="30" t="inlineStr">
        <is>
          <t>PROPOSITION_V0.4</t>
        </is>
      </c>
      <c r="O53" s="9" t="n"/>
    </row>
    <row r="54" ht="48" customHeight="1" s="34">
      <c r="A54" s="25" t="inlineStr">
        <is>
          <t>PIP-ACT-A-A3-010</t>
        </is>
      </c>
      <c r="B54" s="25" t="inlineStr">
        <is>
          <t>A</t>
        </is>
      </c>
      <c r="C54" s="25" t="inlineStr">
        <is>
          <t>A3</t>
        </is>
      </c>
      <c r="D54" s="25" t="inlineStr">
        <is>
          <t>ACT</t>
        </is>
      </c>
      <c r="E54" s="25" t="inlineStr">
        <is>
          <t>S,E</t>
        </is>
      </c>
      <c r="F54" s="25" t="inlineStr">
        <is>
          <t>Mettre en récit un sujet pour le rendre vivant et expressif.</t>
        </is>
      </c>
      <c r="G54" s="29" t="inlineStr">
        <is>
          <t>UTILE</t>
        </is>
      </c>
      <c r="H54" s="27" t="inlineStr">
        <is>
          <t>Transformer un sujet factuel en récit vivant pour capter l’attention d’un public.</t>
        </is>
      </c>
      <c r="I54" s="28" t="inlineStr">
        <is>
          <t>Ancrer l’item dans une expression typique de A/A3 sans ajouter la dimension concurrente S,E.</t>
        </is>
      </c>
      <c r="J54" s="25" t="inlineStr">
        <is>
          <t>FAIBLE</t>
        </is>
      </c>
      <c r="K54" s="25" t="inlineStr">
        <is>
          <t>FAIBLE</t>
        </is>
      </c>
      <c r="L54" s="25" t="inlineStr">
        <is>
          <t>FAIBLE</t>
        </is>
      </c>
      <c r="M54" s="29" t="inlineStr">
        <is>
          <t>A_VALIDER</t>
        </is>
      </c>
      <c r="N54" s="30" t="inlineStr">
        <is>
          <t>PROPOSITION_V0.4</t>
        </is>
      </c>
      <c r="O54" s="9" t="n"/>
    </row>
    <row r="55" ht="48" customHeight="1" s="34">
      <c r="A55" s="25" t="inlineStr">
        <is>
          <t>PIP-SIT-A-A3-011</t>
        </is>
      </c>
      <c r="B55" s="25" t="inlineStr">
        <is>
          <t>A</t>
        </is>
      </c>
      <c r="C55" s="25" t="inlineStr">
        <is>
          <t>A3</t>
        </is>
      </c>
      <c r="D55" s="25" t="inlineStr">
        <is>
          <t>SIT</t>
        </is>
      </c>
      <c r="E55" s="25" t="inlineStr">
        <is>
          <t>S,E</t>
        </is>
      </c>
      <c r="F55" s="25" t="inlineStr">
        <is>
          <t>Trouver une manière personnelle de raconter ou de représenter une histoire, une idée ou une expérience.</t>
        </is>
      </c>
      <c r="G55" s="31" t="inlineStr">
        <is>
          <t>LEGERE</t>
        </is>
      </c>
      <c r="H55" s="27" t="inlineStr">
        <is>
          <t>Choisir une manière personnelle de raconter ou représenter une expérience afin qu’elle ait une tonalité propre.</t>
        </is>
      </c>
      <c r="I55" s="28" t="inlineStr">
        <is>
          <t>Ancrer l’item dans une expression typique de A/A3 sans ajouter la dimension concurrente S,E.</t>
        </is>
      </c>
      <c r="J55" s="25" t="inlineStr">
        <is>
          <t>FAIBLE</t>
        </is>
      </c>
      <c r="K55" s="25" t="inlineStr">
        <is>
          <t>FAIBLE</t>
        </is>
      </c>
      <c r="L55" s="25" t="inlineStr">
        <is>
          <t>FAIBLE</t>
        </is>
      </c>
      <c r="M55" s="29" t="inlineStr">
        <is>
          <t>A_VALIDER</t>
        </is>
      </c>
      <c r="N55" s="30" t="inlineStr">
        <is>
          <t>PROPOSITION_V0.4</t>
        </is>
      </c>
      <c r="O55" s="9" t="n"/>
    </row>
    <row r="56" ht="48" customHeight="1" s="34">
      <c r="A56" s="25" t="inlineStr">
        <is>
          <t>PIP-ENV-A-A3-012</t>
        </is>
      </c>
      <c r="B56" s="25" t="inlineStr">
        <is>
          <t>A</t>
        </is>
      </c>
      <c r="C56" s="25" t="inlineStr">
        <is>
          <t>A3</t>
        </is>
      </c>
      <c r="D56" s="25" t="inlineStr">
        <is>
          <t>ENV</t>
        </is>
      </c>
      <c r="E56" s="25" t="inlineStr">
        <is>
          <t>S,E</t>
        </is>
      </c>
      <c r="F56" s="25" t="inlineStr">
        <is>
          <t>Travailler dans un contexte où l’expression par les mots, les images, le son ou la mise en scène occupe une place importante.</t>
        </is>
      </c>
      <c r="G56" s="29" t="inlineStr">
        <is>
          <t>UTILE</t>
        </is>
      </c>
      <c r="H56" s="27" t="inlineStr">
        <is>
          <t>Travailler dans un environnement où les mots, les images, le son ou la mise en scène servent régulièrement à s’exprimer.</t>
        </is>
      </c>
      <c r="I56" s="28" t="inlineStr">
        <is>
          <t>Ancrer l’item dans une expression typique de A/A3 sans ajouter la dimension concurrente S,E.</t>
        </is>
      </c>
      <c r="J56" s="25" t="inlineStr">
        <is>
          <t>FAIBLE</t>
        </is>
      </c>
      <c r="K56" s="25" t="inlineStr">
        <is>
          <t>FAIBLE</t>
        </is>
      </c>
      <c r="L56" s="25" t="inlineStr">
        <is>
          <t>FAIBLE</t>
        </is>
      </c>
      <c r="M56" s="29" t="inlineStr">
        <is>
          <t>A_VALIDER</t>
        </is>
      </c>
      <c r="N56" s="30" t="inlineStr">
        <is>
          <t>PROPOSITION_V0.4</t>
        </is>
      </c>
      <c r="O56" s="9" t="n"/>
    </row>
    <row r="57" ht="48" customHeight="1" s="34">
      <c r="A57" s="25" t="inlineStr">
        <is>
          <t>PIP-ACT-A-A4-013</t>
        </is>
      </c>
      <c r="B57" s="25" t="inlineStr">
        <is>
          <t>A</t>
        </is>
      </c>
      <c r="C57" s="25" t="inlineStr">
        <is>
          <t>A4</t>
        </is>
      </c>
      <c r="D57" s="25" t="inlineStr">
        <is>
          <t>ACT</t>
        </is>
      </c>
      <c r="E57" s="25" t="inlineStr">
        <is>
          <t>R</t>
        </is>
      </c>
      <c r="F57" s="25" t="inlineStr">
        <is>
          <t>Créer une composition visuelle en jouant sur les formes, les images ou les couleurs.</t>
        </is>
      </c>
      <c r="G57" s="31" t="inlineStr">
        <is>
          <t>LEGERE</t>
        </is>
      </c>
      <c r="H57" s="27" t="inlineStr">
        <is>
          <t>Créer une affiche, une illustration ou une composition visuelle en jouant librement sur les formes et les couleurs.</t>
        </is>
      </c>
      <c r="I57" s="28" t="inlineStr">
        <is>
          <t>Ancrer l’item dans une expression typique de A/A4 sans ajouter la dimension concurrente R.</t>
        </is>
      </c>
      <c r="J57" s="25" t="inlineStr">
        <is>
          <t>FAIBLE</t>
        </is>
      </c>
      <c r="K57" s="25" t="inlineStr">
        <is>
          <t>FAIBLE</t>
        </is>
      </c>
      <c r="L57" s="25" t="inlineStr">
        <is>
          <t>FAIBLE</t>
        </is>
      </c>
      <c r="M57" s="29" t="inlineStr">
        <is>
          <t>A_VALIDER</t>
        </is>
      </c>
      <c r="N57" s="30" t="inlineStr">
        <is>
          <t>PROPOSITION_V0.4</t>
        </is>
      </c>
      <c r="O57" s="9" t="n"/>
    </row>
    <row r="58" ht="48" customHeight="1" s="34">
      <c r="A58" s="25" t="inlineStr">
        <is>
          <t>PIP-ACT-A-A4-014</t>
        </is>
      </c>
      <c r="B58" s="25" t="inlineStr">
        <is>
          <t>A</t>
        </is>
      </c>
      <c r="C58" s="25" t="inlineStr">
        <is>
          <t>A4</t>
        </is>
      </c>
      <c r="D58" s="25" t="inlineStr">
        <is>
          <t>ACT</t>
        </is>
      </c>
      <c r="E58" s="25" t="inlineStr">
        <is>
          <t>R</t>
        </is>
      </c>
      <c r="F58" s="25" t="inlineStr">
        <is>
          <t>Imaginer une ambiance à partir de sons, d’images, de matières ou d’un espace.</t>
        </is>
      </c>
      <c r="G58" s="31" t="inlineStr">
        <is>
          <t>LEGERE</t>
        </is>
      </c>
      <c r="H58" s="27" t="inlineStr">
        <is>
          <t>Imaginer l’ambiance d’un espace, d’un événement ou d’un contenu à partir de sons, d’images, de matières ou de lumière.</t>
        </is>
      </c>
      <c r="I58" s="28" t="inlineStr">
        <is>
          <t>Ancrer l’item dans une expression typique de A/A4 sans ajouter la dimension concurrente R.</t>
        </is>
      </c>
      <c r="J58" s="25" t="inlineStr">
        <is>
          <t>FAIBLE</t>
        </is>
      </c>
      <c r="K58" s="25" t="inlineStr">
        <is>
          <t>FAIBLE</t>
        </is>
      </c>
      <c r="L58" s="25" t="inlineStr">
        <is>
          <t>FAIBLE</t>
        </is>
      </c>
      <c r="M58" s="29" t="inlineStr">
        <is>
          <t>A_VALIDER</t>
        </is>
      </c>
      <c r="N58" s="30" t="inlineStr">
        <is>
          <t>PROPOSITION_V0.4</t>
        </is>
      </c>
      <c r="O58" s="9" t="n"/>
    </row>
    <row r="59" ht="48" customHeight="1" s="34">
      <c r="A59" s="25" t="inlineStr">
        <is>
          <t>PIP-SIT-A-A4-015</t>
        </is>
      </c>
      <c r="B59" s="25" t="inlineStr">
        <is>
          <t>A</t>
        </is>
      </c>
      <c r="C59" s="25" t="inlineStr">
        <is>
          <t>A4</t>
        </is>
      </c>
      <c r="D59" s="25" t="inlineStr">
        <is>
          <t>SIT</t>
        </is>
      </c>
      <c r="E59" s="25" t="inlineStr">
        <is>
          <t>R</t>
        </is>
      </c>
      <c r="F59" s="25" t="inlineStr">
        <is>
          <t>Concevoir une expérience où l’effet visuel, sonore ou sensoriel compte autant que la fonction.</t>
        </is>
      </c>
      <c r="G59" s="31" t="inlineStr">
        <is>
          <t>LEGERE</t>
        </is>
      </c>
      <c r="H59" s="27" t="inlineStr">
        <is>
          <t>Concevoir une expérience dans laquelle l’effet visuel, sonore ou sensoriel compte autant que sa fonction pratique.</t>
        </is>
      </c>
      <c r="I59" s="28" t="inlineStr">
        <is>
          <t>Ancrer l’item dans une expression typique de A/A4 sans ajouter la dimension concurrente R.</t>
        </is>
      </c>
      <c r="J59" s="25" t="inlineStr">
        <is>
          <t>FAIBLE</t>
        </is>
      </c>
      <c r="K59" s="25" t="inlineStr">
        <is>
          <t>FAIBLE</t>
        </is>
      </c>
      <c r="L59" s="25" t="inlineStr">
        <is>
          <t>FAIBLE</t>
        </is>
      </c>
      <c r="M59" s="29" t="inlineStr">
        <is>
          <t>A_VALIDER</t>
        </is>
      </c>
      <c r="N59" s="30" t="inlineStr">
        <is>
          <t>PROPOSITION_V0.4</t>
        </is>
      </c>
      <c r="O59" s="9" t="n"/>
    </row>
    <row r="60" ht="48" customHeight="1" s="34">
      <c r="A60" s="25" t="inlineStr">
        <is>
          <t>PIP-ENV-A-A4-016</t>
        </is>
      </c>
      <c r="B60" s="25" t="inlineStr">
        <is>
          <t>A</t>
        </is>
      </c>
      <c r="C60" s="25" t="inlineStr">
        <is>
          <t>A4</t>
        </is>
      </c>
      <c r="D60" s="25" t="inlineStr">
        <is>
          <t>ENV</t>
        </is>
      </c>
      <c r="E60" s="25" t="inlineStr">
        <is>
          <t>R</t>
        </is>
      </c>
      <c r="F60" s="25" t="inlineStr">
        <is>
          <t>Évoluer dans un contexte où l’on crée régulièrement des contenus, des espaces ou des objets destinés à produire une impression visuelle ou sensorielle.</t>
        </is>
      </c>
      <c r="G60" s="29" t="inlineStr">
        <is>
          <t>UTILE</t>
        </is>
      </c>
      <c r="H60" s="27" t="inlineStr">
        <is>
          <t>Évoluer dans un contexte où l’on crée régulièrement des contenus ou des espaces destinés à produire une impression visuelle ou sensorielle.</t>
        </is>
      </c>
      <c r="I60" s="28" t="inlineStr">
        <is>
          <t>Ancrer l’item dans une expression typique de A/A4 sans ajouter la dimension concurrente R.</t>
        </is>
      </c>
      <c r="J60" s="25" t="inlineStr">
        <is>
          <t>FAIBLE</t>
        </is>
      </c>
      <c r="K60" s="25" t="inlineStr">
        <is>
          <t>FAIBLE</t>
        </is>
      </c>
      <c r="L60" s="25" t="inlineStr">
        <is>
          <t>FAIBLE</t>
        </is>
      </c>
      <c r="M60" s="29" t="inlineStr">
        <is>
          <t>A_VALIDER</t>
        </is>
      </c>
      <c r="N60" s="30" t="inlineStr">
        <is>
          <t>PROPOSITION_V0.4</t>
        </is>
      </c>
      <c r="O60" s="9" t="n"/>
    </row>
    <row r="61" ht="48" customHeight="1" s="34">
      <c r="A61" s="25" t="inlineStr">
        <is>
          <t>PIP-ACT-A-A5-017</t>
        </is>
      </c>
      <c r="B61" s="25" t="inlineStr">
        <is>
          <t>A</t>
        </is>
      </c>
      <c r="C61" s="25" t="inlineStr">
        <is>
          <t>A5</t>
        </is>
      </c>
      <c r="D61" s="25" t="inlineStr">
        <is>
          <t>ACT</t>
        </is>
      </c>
      <c r="E61" s="25" t="inlineStr">
        <is>
          <t>I,E</t>
        </is>
      </c>
      <c r="F61" s="25" t="inlineStr">
        <is>
          <t>Explorer plusieurs pistes créatives avant de choisir celle qui convient le mieux.</t>
        </is>
      </c>
      <c r="G61" s="31" t="inlineStr">
        <is>
          <t>LEGERE</t>
        </is>
      </c>
      <c r="H61" s="27" t="inlineStr">
        <is>
          <t>Explorer plusieurs pistes créatives pour un même projet avant de retenir celle qui exprime le mieux l’intention recherchée.</t>
        </is>
      </c>
      <c r="I61" s="28" t="inlineStr">
        <is>
          <t>Ancrer l’item dans une expression typique de A/A5 sans ajouter la dimension concurrente I,E.</t>
        </is>
      </c>
      <c r="J61" s="25" t="inlineStr">
        <is>
          <t>FAIBLE</t>
        </is>
      </c>
      <c r="K61" s="25" t="inlineStr">
        <is>
          <t>FAIBLE</t>
        </is>
      </c>
      <c r="L61" s="25" t="inlineStr">
        <is>
          <t>FAIBLE</t>
        </is>
      </c>
      <c r="M61" s="29" t="inlineStr">
        <is>
          <t>A_VALIDER</t>
        </is>
      </c>
      <c r="N61" s="30" t="inlineStr">
        <is>
          <t>PROPOSITION_V0.4</t>
        </is>
      </c>
      <c r="O61" s="9" t="n"/>
    </row>
    <row r="62" ht="48" customHeight="1" s="34">
      <c r="A62" s="25" t="inlineStr">
        <is>
          <t>PIP-ACT-A-A5-018</t>
        </is>
      </c>
      <c r="B62" s="25" t="inlineStr">
        <is>
          <t>A</t>
        </is>
      </c>
      <c r="C62" s="25" t="inlineStr">
        <is>
          <t>A5</t>
        </is>
      </c>
      <c r="D62" s="25" t="inlineStr">
        <is>
          <t>ACT</t>
        </is>
      </c>
      <c r="E62" s="25" t="inlineStr">
        <is>
          <t>I,E</t>
        </is>
      </c>
      <c r="F62" s="25" t="inlineStr">
        <is>
          <t>Réinventer une manière habituelle de faire pour proposer une approche originale.</t>
        </is>
      </c>
      <c r="G62" s="31" t="inlineStr">
        <is>
          <t>LEGERE</t>
        </is>
      </c>
      <c r="H62" s="27" t="inlineStr">
        <is>
          <t>Repenser une manière habituelle de présenter ou de réaliser quelque chose afin de proposer une approche originale.</t>
        </is>
      </c>
      <c r="I62" s="28" t="inlineStr">
        <is>
          <t>Ancrer l’item dans une expression typique de A/A5 sans ajouter la dimension concurrente I,E.</t>
        </is>
      </c>
      <c r="J62" s="25" t="inlineStr">
        <is>
          <t>FAIBLE</t>
        </is>
      </c>
      <c r="K62" s="25" t="inlineStr">
        <is>
          <t>FAIBLE</t>
        </is>
      </c>
      <c r="L62" s="25" t="inlineStr">
        <is>
          <t>FAIBLE</t>
        </is>
      </c>
      <c r="M62" s="29" t="inlineStr">
        <is>
          <t>A_VALIDER</t>
        </is>
      </c>
      <c r="N62" s="30" t="inlineStr">
        <is>
          <t>PROPOSITION_V0.4</t>
        </is>
      </c>
      <c r="O62" s="9" t="n"/>
    </row>
    <row r="63" ht="48" customHeight="1" s="34">
      <c r="A63" s="25" t="inlineStr">
        <is>
          <t>PIP-SIT-A-A5-019</t>
        </is>
      </c>
      <c r="B63" s="25" t="inlineStr">
        <is>
          <t>A</t>
        </is>
      </c>
      <c r="C63" s="25" t="inlineStr">
        <is>
          <t>A5</t>
        </is>
      </c>
      <c r="D63" s="25" t="inlineStr">
        <is>
          <t>SIT</t>
        </is>
      </c>
      <c r="E63" s="25" t="inlineStr">
        <is>
          <t>I,E</t>
        </is>
      </c>
      <c r="F63" s="25" t="inlineStr">
        <is>
          <t>Travailler sur un problème pour lequel plusieurs réponses différentes peuvent être pertinentes.</t>
        </is>
      </c>
      <c r="G63" s="26" t="inlineStr">
        <is>
          <t>FORTE</t>
        </is>
      </c>
      <c r="H63" s="27" t="inlineStr">
        <is>
          <t>Travailler sur une demande ouverte pour laquelle plusieurs réponses créatives différentes peuvent être pertinentes.</t>
        </is>
      </c>
      <c r="I63" s="28" t="inlineStr">
        <is>
          <t>Ancrer l’item dans une expression typique de A/A5 sans ajouter la dimension concurrente I,E.</t>
        </is>
      </c>
      <c r="J63" s="25" t="inlineStr">
        <is>
          <t>MOYEN</t>
        </is>
      </c>
      <c r="K63" s="25" t="inlineStr">
        <is>
          <t>FAIBLE</t>
        </is>
      </c>
      <c r="L63" s="25" t="inlineStr">
        <is>
          <t>FAIBLE</t>
        </is>
      </c>
      <c r="M63" s="29" t="inlineStr">
        <is>
          <t>A_VALIDER</t>
        </is>
      </c>
      <c r="N63" s="30" t="inlineStr">
        <is>
          <t>PROPOSITION_V0.4</t>
        </is>
      </c>
      <c r="O63" s="9" t="n"/>
    </row>
    <row r="64" ht="48" customHeight="1" s="34">
      <c r="A64" s="25" t="inlineStr">
        <is>
          <t>PIP-ENV-A-A5-020</t>
        </is>
      </c>
      <c r="B64" s="25" t="inlineStr">
        <is>
          <t>A</t>
        </is>
      </c>
      <c r="C64" s="25" t="inlineStr">
        <is>
          <t>A5</t>
        </is>
      </c>
      <c r="D64" s="25" t="inlineStr">
        <is>
          <t>ENV</t>
        </is>
      </c>
      <c r="E64" s="25" t="inlineStr">
        <is>
          <t>I,E</t>
        </is>
      </c>
      <c r="F64" s="25" t="inlineStr">
        <is>
          <t>Évoluer dans un contexte où les consignes laissent une place importante à l’interprétation personnelle et à l’expérimentation créative.</t>
        </is>
      </c>
      <c r="G64" s="29" t="inlineStr">
        <is>
          <t>UTILE</t>
        </is>
      </c>
      <c r="H64" s="27" t="inlineStr">
        <is>
          <t>Évoluer dans un environnement où les consignes laissent volontairement une large place à l’interprétation et à l’expérimentation créative.</t>
        </is>
      </c>
      <c r="I64" s="28" t="inlineStr">
        <is>
          <t>Ancrer l’item dans une expression typique de A/A5 sans ajouter la dimension concurrente I,E.</t>
        </is>
      </c>
      <c r="J64" s="25" t="inlineStr">
        <is>
          <t>FAIBLE</t>
        </is>
      </c>
      <c r="K64" s="25" t="inlineStr">
        <is>
          <t>FAIBLE</t>
        </is>
      </c>
      <c r="L64" s="25" t="inlineStr">
        <is>
          <t>FAIBLE</t>
        </is>
      </c>
      <c r="M64" s="29" t="inlineStr">
        <is>
          <t>A_VALIDER</t>
        </is>
      </c>
      <c r="N64" s="30" t="inlineStr">
        <is>
          <t>PROPOSITION_V0.4</t>
        </is>
      </c>
      <c r="O64" s="9" t="n"/>
    </row>
    <row r="65" ht="48" customHeight="1" s="34">
      <c r="A65" s="18" t="inlineStr">
        <is>
          <t>PIP-ACT-S-S1-001</t>
        </is>
      </c>
      <c r="B65" s="18" t="inlineStr">
        <is>
          <t>S</t>
        </is>
      </c>
      <c r="C65" s="18" t="inlineStr">
        <is>
          <t>S1</t>
        </is>
      </c>
      <c r="D65" s="18" t="inlineStr">
        <is>
          <t>ACT</t>
        </is>
      </c>
      <c r="E65" s="18" t="inlineStr">
        <is>
          <t>I</t>
        </is>
      </c>
      <c r="F65" s="18" t="inlineStr">
        <is>
          <t>Expliquer un sujet à une personne pour l’aider à le comprendre.</t>
        </is>
      </c>
      <c r="G65" s="22" t="inlineStr">
        <is>
          <t>UTILE</t>
        </is>
      </c>
      <c r="H65" s="20" t="inlineStr">
        <is>
          <t>Expliquer une notion à une personne jusqu’à ce qu’elle puisse la comprendre par elle-même.</t>
        </is>
      </c>
      <c r="I65" s="21" t="inlineStr">
        <is>
          <t>Ancrer l’item dans une expression typique de S/S1 sans ajouter la dimension concurrente I.</t>
        </is>
      </c>
      <c r="J65" s="18" t="inlineStr">
        <is>
          <t>FAIBLE</t>
        </is>
      </c>
      <c r="K65" s="18" t="inlineStr">
        <is>
          <t>MOYEN</t>
        </is>
      </c>
      <c r="L65" s="18" t="inlineStr">
        <is>
          <t>FAIBLE</t>
        </is>
      </c>
      <c r="M65" s="22" t="inlineStr">
        <is>
          <t>A_VALIDER</t>
        </is>
      </c>
      <c r="N65" s="23" t="inlineStr">
        <is>
          <t>PROPOSITION_V0.4</t>
        </is>
      </c>
      <c r="O65" s="24" t="n"/>
    </row>
    <row r="66" ht="48" customHeight="1" s="34">
      <c r="A66" s="25" t="inlineStr">
        <is>
          <t>PIP-ACT-S-S1-002</t>
        </is>
      </c>
      <c r="B66" s="25" t="inlineStr">
        <is>
          <t>S</t>
        </is>
      </c>
      <c r="C66" s="25" t="inlineStr">
        <is>
          <t>S1</t>
        </is>
      </c>
      <c r="D66" s="25" t="inlineStr">
        <is>
          <t>ACT</t>
        </is>
      </c>
      <c r="E66" s="25" t="inlineStr">
        <is>
          <t>I</t>
        </is>
      </c>
      <c r="F66" s="25" t="inlineStr">
        <is>
          <t>Montrer à quelqu’un comment réaliser une tâche afin qu’il puisse ensuite la faire seul.</t>
        </is>
      </c>
      <c r="G66" s="29" t="inlineStr">
        <is>
          <t>UTILE</t>
        </is>
      </c>
      <c r="H66" s="27" t="inlineStr">
        <is>
          <t>Montrer étape par étape à quelqu’un comment réaliser une tâche pour qu’il puisse ensuite la refaire seul.</t>
        </is>
      </c>
      <c r="I66" s="28" t="inlineStr">
        <is>
          <t>Ancrer l’item dans une expression typique de S/S1 sans ajouter la dimension concurrente I.</t>
        </is>
      </c>
      <c r="J66" s="25" t="inlineStr">
        <is>
          <t>FAIBLE</t>
        </is>
      </c>
      <c r="K66" s="25" t="inlineStr">
        <is>
          <t>MOYEN</t>
        </is>
      </c>
      <c r="L66" s="25" t="inlineStr">
        <is>
          <t>FAIBLE</t>
        </is>
      </c>
      <c r="M66" s="29" t="inlineStr">
        <is>
          <t>A_VALIDER</t>
        </is>
      </c>
      <c r="N66" s="30" t="inlineStr">
        <is>
          <t>PROPOSITION_V0.4</t>
        </is>
      </c>
      <c r="O66" s="9" t="n"/>
    </row>
    <row r="67" ht="48" customHeight="1" s="34">
      <c r="A67" s="25" t="inlineStr">
        <is>
          <t>PIP-SIT-S-S1-003</t>
        </is>
      </c>
      <c r="B67" s="25" t="inlineStr">
        <is>
          <t>S</t>
        </is>
      </c>
      <c r="C67" s="25" t="inlineStr">
        <is>
          <t>S1</t>
        </is>
      </c>
      <c r="D67" s="25" t="inlineStr">
        <is>
          <t>SIT</t>
        </is>
      </c>
      <c r="E67" s="25" t="inlineStr">
        <is>
          <t>I</t>
        </is>
      </c>
      <c r="F67" s="25" t="inlineStr">
        <is>
          <t>Adapter sa manière d’expliquer lorsqu’une personne ne comprend pas du premier coup.</t>
        </is>
      </c>
      <c r="G67" s="29" t="inlineStr">
        <is>
          <t>UTILE</t>
        </is>
      </c>
      <c r="H67" s="27" t="inlineStr">
        <is>
          <t>Une personne ne comprend pas une première explication : chercher une autre manière de lui présenter les choses.</t>
        </is>
      </c>
      <c r="I67" s="28" t="inlineStr">
        <is>
          <t>Ancrer l’item dans une expression typique de S/S1 sans ajouter la dimension concurrente I.</t>
        </is>
      </c>
      <c r="J67" s="25" t="inlineStr">
        <is>
          <t>FAIBLE</t>
        </is>
      </c>
      <c r="K67" s="25" t="inlineStr">
        <is>
          <t>MOYEN</t>
        </is>
      </c>
      <c r="L67" s="25" t="inlineStr">
        <is>
          <t>FAIBLE</t>
        </is>
      </c>
      <c r="M67" s="29" t="inlineStr">
        <is>
          <t>A_VALIDER</t>
        </is>
      </c>
      <c r="N67" s="30" t="inlineStr">
        <is>
          <t>PROPOSITION_V0.4</t>
        </is>
      </c>
      <c r="O67" s="9" t="n"/>
    </row>
    <row r="68" ht="48" customHeight="1" s="34">
      <c r="A68" s="25" t="inlineStr">
        <is>
          <t>PIP-ENV-S-S1-004</t>
        </is>
      </c>
      <c r="B68" s="25" t="inlineStr">
        <is>
          <t>S</t>
        </is>
      </c>
      <c r="C68" s="25" t="inlineStr">
        <is>
          <t>S1</t>
        </is>
      </c>
      <c r="D68" s="25" t="inlineStr">
        <is>
          <t>ENV</t>
        </is>
      </c>
      <c r="E68" s="25" t="inlineStr">
        <is>
          <t>I</t>
        </is>
      </c>
      <c r="F68" s="25" t="inlineStr">
        <is>
          <t>Travailler dans un contexte où l’on aide régulièrement d’autres personnes à apprendre ou à progresser.</t>
        </is>
      </c>
      <c r="G68" s="29" t="inlineStr">
        <is>
          <t>UTILE</t>
        </is>
      </c>
      <c r="H68" s="27" t="inlineStr">
        <is>
          <t>Travailler dans un contexte où l’on consacre régulièrement du temps à aider d’autres personnes à apprendre ou progresser.</t>
        </is>
      </c>
      <c r="I68" s="28" t="inlineStr">
        <is>
          <t>Ancrer l’item dans une expression typique de S/S1 sans ajouter la dimension concurrente I.</t>
        </is>
      </c>
      <c r="J68" s="25" t="inlineStr">
        <is>
          <t>FAIBLE</t>
        </is>
      </c>
      <c r="K68" s="25" t="inlineStr">
        <is>
          <t>MOYEN</t>
        </is>
      </c>
      <c r="L68" s="25" t="inlineStr">
        <is>
          <t>FAIBLE</t>
        </is>
      </c>
      <c r="M68" s="29" t="inlineStr">
        <is>
          <t>A_VALIDER</t>
        </is>
      </c>
      <c r="N68" s="30" t="inlineStr">
        <is>
          <t>PROPOSITION_V0.4</t>
        </is>
      </c>
      <c r="O68" s="9" t="n"/>
    </row>
    <row r="69" ht="48" customHeight="1" s="34">
      <c r="A69" s="25" t="inlineStr">
        <is>
          <t>PIP-ACT-S-S2-005</t>
        </is>
      </c>
      <c r="B69" s="25" t="inlineStr">
        <is>
          <t>S</t>
        </is>
      </c>
      <c r="C69" s="25" t="inlineStr">
        <is>
          <t>S2</t>
        </is>
      </c>
      <c r="D69" s="25" t="inlineStr">
        <is>
          <t>ACT</t>
        </is>
      </c>
      <c r="E69" s="25" t="inlineStr">
        <is>
          <t>E</t>
        </is>
      </c>
      <c r="F69" s="25" t="inlineStr">
        <is>
          <t>Accompagner une personne dans la réalisation d’un objectif qui compte pour elle.</t>
        </is>
      </c>
      <c r="G69" s="29" t="inlineStr">
        <is>
          <t>UTILE</t>
        </is>
      </c>
      <c r="H69" s="27" t="inlineStr">
        <is>
          <t>Accompagner une personne dans les étapes nécessaires pour atteindre un objectif qui compte pour elle.</t>
        </is>
      </c>
      <c r="I69" s="28" t="inlineStr">
        <is>
          <t>Ancrer l’item dans une expression typique de S/S2 sans ajouter la dimension concurrente E.</t>
        </is>
      </c>
      <c r="J69" s="25" t="inlineStr">
        <is>
          <t>FAIBLE</t>
        </is>
      </c>
      <c r="K69" s="25" t="inlineStr">
        <is>
          <t>MOYEN</t>
        </is>
      </c>
      <c r="L69" s="25" t="inlineStr">
        <is>
          <t>FAIBLE</t>
        </is>
      </c>
      <c r="M69" s="29" t="inlineStr">
        <is>
          <t>A_VALIDER</t>
        </is>
      </c>
      <c r="N69" s="30" t="inlineStr">
        <is>
          <t>PROPOSITION_V0.4</t>
        </is>
      </c>
      <c r="O69" s="9" t="n"/>
    </row>
    <row r="70" ht="48" customHeight="1" s="34">
      <c r="A70" s="25" t="inlineStr">
        <is>
          <t>PIP-ACT-S-S2-006</t>
        </is>
      </c>
      <c r="B70" s="25" t="inlineStr">
        <is>
          <t>S</t>
        </is>
      </c>
      <c r="C70" s="25" t="inlineStr">
        <is>
          <t>S2</t>
        </is>
      </c>
      <c r="D70" s="25" t="inlineStr">
        <is>
          <t>ACT</t>
        </is>
      </c>
      <c r="E70" s="25" t="inlineStr">
        <is>
          <t>E</t>
        </is>
      </c>
      <c r="F70" s="25" t="inlineStr">
        <is>
          <t>Soutenir quelqu’un qui rencontre une difficulté dans son parcours.</t>
        </is>
      </c>
      <c r="G70" s="29" t="inlineStr">
        <is>
          <t>UTILE</t>
        </is>
      </c>
      <c r="H70" s="27" t="inlineStr">
        <is>
          <t>Soutenir quelqu’un qui traverse une difficulté professionnelle ou personnelle liée à son parcours.</t>
        </is>
      </c>
      <c r="I70" s="28" t="inlineStr">
        <is>
          <t>Ancrer l’item dans une expression typique de S/S2 sans ajouter la dimension concurrente E.</t>
        </is>
      </c>
      <c r="J70" s="25" t="inlineStr">
        <is>
          <t>FAIBLE</t>
        </is>
      </c>
      <c r="K70" s="25" t="inlineStr">
        <is>
          <t>MOYEN</t>
        </is>
      </c>
      <c r="L70" s="25" t="inlineStr">
        <is>
          <t>FAIBLE</t>
        </is>
      </c>
      <c r="M70" s="29" t="inlineStr">
        <is>
          <t>A_VALIDER</t>
        </is>
      </c>
      <c r="N70" s="30" t="inlineStr">
        <is>
          <t>PROPOSITION_V0.4</t>
        </is>
      </c>
      <c r="O70" s="9" t="n"/>
    </row>
    <row r="71" ht="48" customHeight="1" s="34">
      <c r="A71" s="25" t="inlineStr">
        <is>
          <t>PIP-SIT-S-S2-007</t>
        </is>
      </c>
      <c r="B71" s="25" t="inlineStr">
        <is>
          <t>S</t>
        </is>
      </c>
      <c r="C71" s="25" t="inlineStr">
        <is>
          <t>S2</t>
        </is>
      </c>
      <c r="D71" s="25" t="inlineStr">
        <is>
          <t>SIT</t>
        </is>
      </c>
      <c r="E71" s="25" t="inlineStr">
        <is>
          <t>E</t>
        </is>
      </c>
      <c r="F71" s="25" t="inlineStr">
        <is>
          <t>Être aux côtés d’une personne pendant une période de changement et l’aider à avancer.</t>
        </is>
      </c>
      <c r="G71" s="29" t="inlineStr">
        <is>
          <t>UTILE</t>
        </is>
      </c>
      <c r="H71" s="27" t="inlineStr">
        <is>
          <t>Être présent auprès d’une personne pendant un changement important et l’aider à avancer progressivement.</t>
        </is>
      </c>
      <c r="I71" s="28" t="inlineStr">
        <is>
          <t>Ancrer l’item dans une expression typique de S/S2 sans ajouter la dimension concurrente E.</t>
        </is>
      </c>
      <c r="J71" s="25" t="inlineStr">
        <is>
          <t>FAIBLE</t>
        </is>
      </c>
      <c r="K71" s="25" t="inlineStr">
        <is>
          <t>MOYEN</t>
        </is>
      </c>
      <c r="L71" s="25" t="inlineStr">
        <is>
          <t>FAIBLE</t>
        </is>
      </c>
      <c r="M71" s="29" t="inlineStr">
        <is>
          <t>A_VALIDER</t>
        </is>
      </c>
      <c r="N71" s="30" t="inlineStr">
        <is>
          <t>PROPOSITION_V0.4</t>
        </is>
      </c>
      <c r="O71" s="9" t="n"/>
    </row>
    <row r="72" ht="48" customHeight="1" s="34">
      <c r="A72" s="25" t="inlineStr">
        <is>
          <t>PIP-ENV-S-S2-008</t>
        </is>
      </c>
      <c r="B72" s="25" t="inlineStr">
        <is>
          <t>S</t>
        </is>
      </c>
      <c r="C72" s="25" t="inlineStr">
        <is>
          <t>S2</t>
        </is>
      </c>
      <c r="D72" s="25" t="inlineStr">
        <is>
          <t>ENV</t>
        </is>
      </c>
      <c r="E72" s="25" t="inlineStr">
        <is>
          <t>E</t>
        </is>
      </c>
      <c r="F72" s="25" t="inlineStr">
        <is>
          <t>Évoluer dans un contexte où une part importante du travail consiste à soutenir directement des personnes dans leur progression.</t>
        </is>
      </c>
      <c r="G72" s="29" t="inlineStr">
        <is>
          <t>UTILE</t>
        </is>
      </c>
      <c r="H72" s="27" t="inlineStr">
        <is>
          <t>Évoluer dans un contexte où une part importante du travail consiste à soutenir directement des personnes dans leur progression.</t>
        </is>
      </c>
      <c r="I72" s="28" t="inlineStr">
        <is>
          <t>Ancrer l’item dans une expression typique de S/S2 sans ajouter la dimension concurrente E.</t>
        </is>
      </c>
      <c r="J72" s="25" t="inlineStr">
        <is>
          <t>FAIBLE</t>
        </is>
      </c>
      <c r="K72" s="25" t="inlineStr">
        <is>
          <t>MOYEN</t>
        </is>
      </c>
      <c r="L72" s="25" t="inlineStr">
        <is>
          <t>FAIBLE</t>
        </is>
      </c>
      <c r="M72" s="29" t="inlineStr">
        <is>
          <t>A_VALIDER</t>
        </is>
      </c>
      <c r="N72" s="30" t="inlineStr">
        <is>
          <t>PROPOSITION_V0.4</t>
        </is>
      </c>
      <c r="O72" s="9" t="n"/>
    </row>
    <row r="73" ht="48" customHeight="1" s="34">
      <c r="A73" s="25" t="inlineStr">
        <is>
          <t>PIP-ACT-S-S3-009</t>
        </is>
      </c>
      <c r="B73" s="25" t="inlineStr">
        <is>
          <t>S</t>
        </is>
      </c>
      <c r="C73" s="25" t="inlineStr">
        <is>
          <t>S3</t>
        </is>
      </c>
      <c r="D73" s="25" t="inlineStr">
        <is>
          <t>ACT</t>
        </is>
      </c>
      <c r="E73" s="25" t="inlineStr">
        <is>
          <t>E,I</t>
        </is>
      </c>
      <c r="F73" s="25" t="inlineStr">
        <is>
          <t>Écouter la situation d’une personne puis l’aider à identifier les options qui s’offrent à elle.</t>
        </is>
      </c>
      <c r="G73" s="26" t="inlineStr">
        <is>
          <t>FORTE</t>
        </is>
      </c>
      <c r="H73" s="27" t="inlineStr">
        <is>
          <t>Écouter la situation d’une personne puis l’aider à repérer les différentes options possibles.</t>
        </is>
      </c>
      <c r="I73" s="28" t="inlineStr">
        <is>
          <t>Ancrer l’item dans une expression typique de S/S3 sans ajouter la dimension concurrente E,I.</t>
        </is>
      </c>
      <c r="J73" s="25" t="inlineStr">
        <is>
          <t>MOYEN</t>
        </is>
      </c>
      <c r="K73" s="25" t="inlineStr">
        <is>
          <t>MOYEN</t>
        </is>
      </c>
      <c r="L73" s="25" t="inlineStr">
        <is>
          <t>FAIBLE</t>
        </is>
      </c>
      <c r="M73" s="29" t="inlineStr">
        <is>
          <t>A_VALIDER</t>
        </is>
      </c>
      <c r="N73" s="30" t="inlineStr">
        <is>
          <t>PROPOSITION_V0.4</t>
        </is>
      </c>
      <c r="O73" s="9" t="n"/>
    </row>
    <row r="74" ht="48" customHeight="1" s="34">
      <c r="A74" s="25" t="inlineStr">
        <is>
          <t>PIP-ACT-S-S3-010</t>
        </is>
      </c>
      <c r="B74" s="25" t="inlineStr">
        <is>
          <t>S</t>
        </is>
      </c>
      <c r="C74" s="25" t="inlineStr">
        <is>
          <t>S3</t>
        </is>
      </c>
      <c r="D74" s="25" t="inlineStr">
        <is>
          <t>ACT</t>
        </is>
      </c>
      <c r="E74" s="25" t="inlineStr">
        <is>
          <t>E,I</t>
        </is>
      </c>
      <c r="F74" s="25" t="inlineStr">
        <is>
          <t>Donner des informations utiles pour aider quelqu’un à faire un choix.</t>
        </is>
      </c>
      <c r="G74" s="29" t="inlineStr">
        <is>
          <t>UTILE</t>
        </is>
      </c>
      <c r="H74" s="27" t="inlineStr">
        <is>
          <t>Donner à quelqu’un les informations utiles pour qu’il puisse prendre lui-même une décision éclairée.</t>
        </is>
      </c>
      <c r="I74" s="28" t="inlineStr">
        <is>
          <t>Ancrer l’item dans une expression typique de S/S3 sans ajouter la dimension concurrente E,I.</t>
        </is>
      </c>
      <c r="J74" s="25" t="inlineStr">
        <is>
          <t>FAIBLE</t>
        </is>
      </c>
      <c r="K74" s="25" t="inlineStr">
        <is>
          <t>MOYEN</t>
        </is>
      </c>
      <c r="L74" s="25" t="inlineStr">
        <is>
          <t>FAIBLE</t>
        </is>
      </c>
      <c r="M74" s="29" t="inlineStr">
        <is>
          <t>A_VALIDER</t>
        </is>
      </c>
      <c r="N74" s="30" t="inlineStr">
        <is>
          <t>PROPOSITION_V0.4</t>
        </is>
      </c>
      <c r="O74" s="9" t="n"/>
    </row>
    <row r="75" ht="48" customHeight="1" s="34">
      <c r="A75" s="25" t="inlineStr">
        <is>
          <t>PIP-SIT-S-S3-011</t>
        </is>
      </c>
      <c r="B75" s="25" t="inlineStr">
        <is>
          <t>S</t>
        </is>
      </c>
      <c r="C75" s="25" t="inlineStr">
        <is>
          <t>S3</t>
        </is>
      </c>
      <c r="D75" s="25" t="inlineStr">
        <is>
          <t>SIT</t>
        </is>
      </c>
      <c r="E75" s="25" t="inlineStr">
        <is>
          <t>E,I</t>
        </is>
      </c>
      <c r="F75" s="25" t="inlineStr">
        <is>
          <t>Aider une personne indécise à clarifier ce qui lui conviendrait le mieux sans décider à sa place.</t>
        </is>
      </c>
      <c r="G75" s="26" t="inlineStr">
        <is>
          <t>FORTE</t>
        </is>
      </c>
      <c r="H75" s="27" t="inlineStr">
        <is>
          <t>Une personne hésite entre plusieurs choix : l’aider à clarifier ce qui lui convient sans choisir à sa place.</t>
        </is>
      </c>
      <c r="I75" s="28" t="inlineStr">
        <is>
          <t>Ancrer l’item dans une expression typique de S/S3 sans ajouter la dimension concurrente E,I.</t>
        </is>
      </c>
      <c r="J75" s="25" t="inlineStr">
        <is>
          <t>MOYEN</t>
        </is>
      </c>
      <c r="K75" s="25" t="inlineStr">
        <is>
          <t>MOYEN</t>
        </is>
      </c>
      <c r="L75" s="25" t="inlineStr">
        <is>
          <t>FAIBLE</t>
        </is>
      </c>
      <c r="M75" s="29" t="inlineStr">
        <is>
          <t>A_VALIDER</t>
        </is>
      </c>
      <c r="N75" s="30" t="inlineStr">
        <is>
          <t>PROPOSITION_V0.4</t>
        </is>
      </c>
      <c r="O75" s="9" t="n"/>
    </row>
    <row r="76" ht="48" customHeight="1" s="34">
      <c r="A76" s="25" t="inlineStr">
        <is>
          <t>PIP-ENV-S-S3-012</t>
        </is>
      </c>
      <c r="B76" s="25" t="inlineStr">
        <is>
          <t>S</t>
        </is>
      </c>
      <c r="C76" s="25" t="inlineStr">
        <is>
          <t>S3</t>
        </is>
      </c>
      <c r="D76" s="25" t="inlineStr">
        <is>
          <t>ENV</t>
        </is>
      </c>
      <c r="E76" s="25" t="inlineStr">
        <is>
          <t>E,I</t>
        </is>
      </c>
      <c r="F76" s="25" t="inlineStr">
        <is>
          <t>Travailler dans un contexte où l’on conseille et oriente régulièrement des personnes en fonction de leur situation.</t>
        </is>
      </c>
      <c r="G76" s="26" t="inlineStr">
        <is>
          <t>FORTE</t>
        </is>
      </c>
      <c r="H76" s="27" t="inlineStr">
        <is>
          <t>Travailler dans un contexte où l’on conseille et oriente régulièrement des personnes selon leur situation.</t>
        </is>
      </c>
      <c r="I76" s="28" t="inlineStr">
        <is>
          <t>Ancrer l’item dans une expression typique de S/S3 sans ajouter la dimension concurrente E,I.</t>
        </is>
      </c>
      <c r="J76" s="25" t="inlineStr">
        <is>
          <t>FAIBLE</t>
        </is>
      </c>
      <c r="K76" s="25" t="inlineStr">
        <is>
          <t>MOYEN</t>
        </is>
      </c>
      <c r="L76" s="25" t="inlineStr">
        <is>
          <t>FAIBLE</t>
        </is>
      </c>
      <c r="M76" s="29" t="inlineStr">
        <is>
          <t>A_VALIDER</t>
        </is>
      </c>
      <c r="N76" s="30" t="inlineStr">
        <is>
          <t>PROPOSITION_V0.4</t>
        </is>
      </c>
      <c r="O76" s="9" t="n"/>
    </row>
    <row r="77" ht="48" customHeight="1" s="34">
      <c r="A77" s="25" t="inlineStr">
        <is>
          <t>PIP-ACT-S-S4-013</t>
        </is>
      </c>
      <c r="B77" s="25" t="inlineStr">
        <is>
          <t>S</t>
        </is>
      </c>
      <c r="C77" s="25" t="inlineStr">
        <is>
          <t>S4</t>
        </is>
      </c>
      <c r="D77" s="25" t="inlineStr">
        <is>
          <t>ACT</t>
        </is>
      </c>
      <c r="E77" s="25" t="inlineStr">
        <is>
          <t>R,I</t>
        </is>
      </c>
      <c r="F77" s="25" t="inlineStr">
        <is>
          <t>Prendre soin d’une personne qui a besoin d’aide pour préserver ou retrouver son bien-être.</t>
        </is>
      </c>
      <c r="G77" s="29" t="inlineStr">
        <is>
          <t>UTILE</t>
        </is>
      </c>
      <c r="H77" s="27" t="inlineStr">
        <is>
          <t>Aider concrètement une personne fragilisée à préserver ou retrouver son confort, sa santé ou son autonomie.</t>
        </is>
      </c>
      <c r="I77" s="28" t="inlineStr">
        <is>
          <t>Ancrer l’item dans une expression typique de S/S4 sans ajouter la dimension concurrente R,I.</t>
        </is>
      </c>
      <c r="J77" s="25" t="inlineStr">
        <is>
          <t>FAIBLE</t>
        </is>
      </c>
      <c r="K77" s="25" t="inlineStr">
        <is>
          <t>MOYEN</t>
        </is>
      </c>
      <c r="L77" s="25" t="inlineStr">
        <is>
          <t>FAIBLE</t>
        </is>
      </c>
      <c r="M77" s="29" t="inlineStr">
        <is>
          <t>A_VALIDER</t>
        </is>
      </c>
      <c r="N77" s="30" t="inlineStr">
        <is>
          <t>PROPOSITION_V0.4</t>
        </is>
      </c>
      <c r="O77" s="9" t="n"/>
    </row>
    <row r="78" ht="48" customHeight="1" s="34">
      <c r="A78" s="25" t="inlineStr">
        <is>
          <t>PIP-ACT-S-S4-014</t>
        </is>
      </c>
      <c r="B78" s="25" t="inlineStr">
        <is>
          <t>S</t>
        </is>
      </c>
      <c r="C78" s="25" t="inlineStr">
        <is>
          <t>S4</t>
        </is>
      </c>
      <c r="D78" s="25" t="inlineStr">
        <is>
          <t>ACT</t>
        </is>
      </c>
      <c r="E78" s="25" t="inlineStr">
        <is>
          <t>R,I</t>
        </is>
      </c>
      <c r="F78" s="25" t="inlineStr">
        <is>
          <t>Réaliser des gestes d’assistance destinés à protéger la santé ou la sécurité d’une personne.</t>
        </is>
      </c>
      <c r="G78" s="26" t="inlineStr">
        <is>
          <t>FORTE</t>
        </is>
      </c>
      <c r="H78" s="27" t="inlineStr">
        <is>
          <t>Réaliser des gestes d’assistance ou de prévention destinés à protéger la santé ou la sécurité d’une personne.</t>
        </is>
      </c>
      <c r="I78" s="28" t="inlineStr">
        <is>
          <t>Ancrer l’item dans une expression typique de S/S4 sans ajouter la dimension concurrente R,I.</t>
        </is>
      </c>
      <c r="J78" s="25" t="inlineStr">
        <is>
          <t>FAIBLE</t>
        </is>
      </c>
      <c r="K78" s="25" t="inlineStr">
        <is>
          <t>MOYEN</t>
        </is>
      </c>
      <c r="L78" s="25" t="inlineStr">
        <is>
          <t>MOYEN</t>
        </is>
      </c>
      <c r="M78" s="29" t="inlineStr">
        <is>
          <t>A_VALIDER</t>
        </is>
      </c>
      <c r="N78" s="30" t="inlineStr">
        <is>
          <t>PROPOSITION_V0.4</t>
        </is>
      </c>
      <c r="O78" s="9" t="n"/>
    </row>
    <row r="79" ht="48" customHeight="1" s="34">
      <c r="A79" s="25" t="inlineStr">
        <is>
          <t>PIP-SIT-S-S4-015</t>
        </is>
      </c>
      <c r="B79" s="25" t="inlineStr">
        <is>
          <t>S</t>
        </is>
      </c>
      <c r="C79" s="25" t="inlineStr">
        <is>
          <t>S4</t>
        </is>
      </c>
      <c r="D79" s="25" t="inlineStr">
        <is>
          <t>SIT</t>
        </is>
      </c>
      <c r="E79" s="25" t="inlineStr">
        <is>
          <t>R,I</t>
        </is>
      </c>
      <c r="F79" s="25" t="inlineStr">
        <is>
          <t>Intervenir auprès d’une personne fragilisée afin de l’aider à retrouver davantage d’autonomie.</t>
        </is>
      </c>
      <c r="G79" s="29" t="inlineStr">
        <is>
          <t>UTILE</t>
        </is>
      </c>
      <c r="H79" s="27" t="inlineStr">
        <is>
          <t>Intervenir auprès d’une personne temporairement en difficulté afin de l’aider à retrouver davantage d’autonomie.</t>
        </is>
      </c>
      <c r="I79" s="28" t="inlineStr">
        <is>
          <t>Ancrer l’item dans une expression typique de S/S4 sans ajouter la dimension concurrente R,I.</t>
        </is>
      </c>
      <c r="J79" s="25" t="inlineStr">
        <is>
          <t>FAIBLE</t>
        </is>
      </c>
      <c r="K79" s="25" t="inlineStr">
        <is>
          <t>MOYEN</t>
        </is>
      </c>
      <c r="L79" s="25" t="inlineStr">
        <is>
          <t>FAIBLE</t>
        </is>
      </c>
      <c r="M79" s="29" t="inlineStr">
        <is>
          <t>A_VALIDER</t>
        </is>
      </c>
      <c r="N79" s="30" t="inlineStr">
        <is>
          <t>PROPOSITION_V0.4</t>
        </is>
      </c>
      <c r="O79" s="9" t="n"/>
    </row>
    <row r="80" ht="48" customHeight="1" s="34">
      <c r="A80" s="25" t="inlineStr">
        <is>
          <t>PIP-ENV-S-S4-016</t>
        </is>
      </c>
      <c r="B80" s="25" t="inlineStr">
        <is>
          <t>S</t>
        </is>
      </c>
      <c r="C80" s="25" t="inlineStr">
        <is>
          <t>S4</t>
        </is>
      </c>
      <c r="D80" s="25" t="inlineStr">
        <is>
          <t>ENV</t>
        </is>
      </c>
      <c r="E80" s="25" t="inlineStr">
        <is>
          <t>R,I</t>
        </is>
      </c>
      <c r="F80" s="25" t="inlineStr">
        <is>
          <t>Évoluer dans un contexte où l’on contribue directement à la santé, au bien-être ou à la sécurité des personnes.</t>
        </is>
      </c>
      <c r="G80" s="26" t="inlineStr">
        <is>
          <t>FORTE</t>
        </is>
      </c>
      <c r="H80" s="27" t="inlineStr">
        <is>
          <t>Évoluer dans un contexte où l’on contribue directement au bien-être, à la santé ou à la sécurité des personnes.</t>
        </is>
      </c>
      <c r="I80" s="28" t="inlineStr">
        <is>
          <t>Ancrer l’item dans une expression typique de S/S4 sans ajouter la dimension concurrente R,I.</t>
        </is>
      </c>
      <c r="J80" s="25" t="inlineStr">
        <is>
          <t>FAIBLE</t>
        </is>
      </c>
      <c r="K80" s="25" t="inlineStr">
        <is>
          <t>MOYEN</t>
        </is>
      </c>
      <c r="L80" s="25" t="inlineStr">
        <is>
          <t>MOYEN</t>
        </is>
      </c>
      <c r="M80" s="29" t="inlineStr">
        <is>
          <t>A_VALIDER</t>
        </is>
      </c>
      <c r="N80" s="30" t="inlineStr">
        <is>
          <t>PROPOSITION_V0.4</t>
        </is>
      </c>
      <c r="O80" s="9" t="n"/>
    </row>
    <row r="81" ht="48" customHeight="1" s="34">
      <c r="A81" s="25" t="inlineStr">
        <is>
          <t>PIP-ACT-S-S5-017</t>
        </is>
      </c>
      <c r="B81" s="25" t="inlineStr">
        <is>
          <t>S</t>
        </is>
      </c>
      <c r="C81" s="25" t="inlineStr">
        <is>
          <t>S5</t>
        </is>
      </c>
      <c r="D81" s="25" t="inlineStr">
        <is>
          <t>ACT</t>
        </is>
      </c>
      <c r="E81" s="25" t="inlineStr">
        <is>
          <t>E,C</t>
        </is>
      </c>
      <c r="F81" s="25" t="inlineStr">
        <is>
          <t>Accueillir une personne et l’aider à obtenir le service dont elle a besoin.</t>
        </is>
      </c>
      <c r="G81" s="29" t="inlineStr">
        <is>
          <t>UTILE</t>
        </is>
      </c>
      <c r="H81" s="27" t="inlineStr">
        <is>
          <t>Accueillir une personne, comprendre ce dont elle a besoin et l’aider à obtenir le service recherché.</t>
        </is>
      </c>
      <c r="I81" s="28" t="inlineStr">
        <is>
          <t>Ancrer l’item dans une expression typique de S/S5 sans ajouter la dimension concurrente E,C.</t>
        </is>
      </c>
      <c r="J81" s="25" t="inlineStr">
        <is>
          <t>FAIBLE</t>
        </is>
      </c>
      <c r="K81" s="25" t="inlineStr">
        <is>
          <t>MOYEN</t>
        </is>
      </c>
      <c r="L81" s="25" t="inlineStr">
        <is>
          <t>FAIBLE</t>
        </is>
      </c>
      <c r="M81" s="29" t="inlineStr">
        <is>
          <t>A_VALIDER</t>
        </is>
      </c>
      <c r="N81" s="30" t="inlineStr">
        <is>
          <t>PROPOSITION_V0.4</t>
        </is>
      </c>
      <c r="O81" s="9" t="n"/>
    </row>
    <row r="82" ht="48" customHeight="1" s="34">
      <c r="A82" s="25" t="inlineStr">
        <is>
          <t>PIP-ACT-S-S5-018</t>
        </is>
      </c>
      <c r="B82" s="25" t="inlineStr">
        <is>
          <t>S</t>
        </is>
      </c>
      <c r="C82" s="25" t="inlineStr">
        <is>
          <t>S5</t>
        </is>
      </c>
      <c r="D82" s="25" t="inlineStr">
        <is>
          <t>ACT</t>
        </is>
      </c>
      <c r="E82" s="25" t="inlineStr">
        <is>
          <t>E,C</t>
        </is>
      </c>
      <c r="F82" s="25" t="inlineStr">
        <is>
          <t>Répondre concrètement à une demande afin de faciliter la démarche d’une personne.</t>
        </is>
      </c>
      <c r="G82" s="29" t="inlineStr">
        <is>
          <t>UTILE</t>
        </is>
      </c>
      <c r="H82" s="27" t="inlineStr">
        <is>
          <t>Répondre concrètement à la demande d’un usager ou d’un client afin de lui faciliter une démarche.</t>
        </is>
      </c>
      <c r="I82" s="28" t="inlineStr">
        <is>
          <t>Ancrer l’item dans une expression typique de S/S5 sans ajouter la dimension concurrente E,C.</t>
        </is>
      </c>
      <c r="J82" s="25" t="inlineStr">
        <is>
          <t>FAIBLE</t>
        </is>
      </c>
      <c r="K82" s="25" t="inlineStr">
        <is>
          <t>MOYEN</t>
        </is>
      </c>
      <c r="L82" s="25" t="inlineStr">
        <is>
          <t>FAIBLE</t>
        </is>
      </c>
      <c r="M82" s="29" t="inlineStr">
        <is>
          <t>A_VALIDER</t>
        </is>
      </c>
      <c r="N82" s="30" t="inlineStr">
        <is>
          <t>PROPOSITION_V0.4</t>
        </is>
      </c>
      <c r="O82" s="9" t="n"/>
    </row>
    <row r="83" ht="48" customHeight="1" s="34">
      <c r="A83" s="25" t="inlineStr">
        <is>
          <t>PIP-SIT-S-S5-019</t>
        </is>
      </c>
      <c r="B83" s="25" t="inlineStr">
        <is>
          <t>S</t>
        </is>
      </c>
      <c r="C83" s="25" t="inlineStr">
        <is>
          <t>S5</t>
        </is>
      </c>
      <c r="D83" s="25" t="inlineStr">
        <is>
          <t>SIT</t>
        </is>
      </c>
      <c r="E83" s="25" t="inlineStr">
        <is>
          <t>E,C</t>
        </is>
      </c>
      <c r="F83" s="25" t="inlineStr">
        <is>
          <t>Aider un usager ou un client qui ne sait pas comment accomplir une démarche.</t>
        </is>
      </c>
      <c r="G83" s="26" t="inlineStr">
        <is>
          <t>FORTE</t>
        </is>
      </c>
      <c r="H83" s="27" t="inlineStr">
        <is>
          <t>Une personne ne sait pas comment accomplir une démarche : l’accompagner jusqu’à ce qu’elle sache quoi faire.</t>
        </is>
      </c>
      <c r="I83" s="28" t="inlineStr">
        <is>
          <t>Ancrer l’item dans une expression typique de S/S5 sans ajouter la dimension concurrente E,C.</t>
        </is>
      </c>
      <c r="J83" s="25" t="inlineStr">
        <is>
          <t>FAIBLE</t>
        </is>
      </c>
      <c r="K83" s="25" t="inlineStr">
        <is>
          <t>MOYEN</t>
        </is>
      </c>
      <c r="L83" s="25" t="inlineStr">
        <is>
          <t>MOYEN</t>
        </is>
      </c>
      <c r="M83" s="29" t="inlineStr">
        <is>
          <t>A_VALIDER</t>
        </is>
      </c>
      <c r="N83" s="30" t="inlineStr">
        <is>
          <t>PROPOSITION_V0.4</t>
        </is>
      </c>
      <c r="O83" s="9" t="n"/>
    </row>
    <row r="84" ht="48" customHeight="1" s="34">
      <c r="A84" s="25" t="inlineStr">
        <is>
          <t>PIP-ENV-S-S5-020</t>
        </is>
      </c>
      <c r="B84" s="25" t="inlineStr">
        <is>
          <t>S</t>
        </is>
      </c>
      <c r="C84" s="25" t="inlineStr">
        <is>
          <t>S5</t>
        </is>
      </c>
      <c r="D84" s="25" t="inlineStr">
        <is>
          <t>ENV</t>
        </is>
      </c>
      <c r="E84" s="25" t="inlineStr">
        <is>
          <t>E,C</t>
        </is>
      </c>
      <c r="F84" s="25" t="inlineStr">
        <is>
          <t>Travailler dans un contexte où l’on rend directement des services utiles à des personnes aux besoins variés.</t>
        </is>
      </c>
      <c r="G84" s="29" t="inlineStr">
        <is>
          <t>UTILE</t>
        </is>
      </c>
      <c r="H84" s="27" t="inlineStr">
        <is>
          <t>Travailler dans un environnement où l’on rend directement des services utiles à des personnes aux besoins variés.</t>
        </is>
      </c>
      <c r="I84" s="28" t="inlineStr">
        <is>
          <t>Ancrer l’item dans une expression typique de S/S5 sans ajouter la dimension concurrente E,C.</t>
        </is>
      </c>
      <c r="J84" s="25" t="inlineStr">
        <is>
          <t>FAIBLE</t>
        </is>
      </c>
      <c r="K84" s="25" t="inlineStr">
        <is>
          <t>MOYEN</t>
        </is>
      </c>
      <c r="L84" s="25" t="inlineStr">
        <is>
          <t>FAIBLE</t>
        </is>
      </c>
      <c r="M84" s="29" t="inlineStr">
        <is>
          <t>A_VALIDER</t>
        </is>
      </c>
      <c r="N84" s="30" t="inlineStr">
        <is>
          <t>PROPOSITION_V0.4</t>
        </is>
      </c>
      <c r="O84" s="9" t="n"/>
    </row>
    <row r="85" ht="48" customHeight="1" s="34">
      <c r="A85" s="18" t="inlineStr">
        <is>
          <t>PIP-ACT-E-E1-001</t>
        </is>
      </c>
      <c r="B85" s="18" t="inlineStr">
        <is>
          <t>E</t>
        </is>
      </c>
      <c r="C85" s="18" t="inlineStr">
        <is>
          <t>E1</t>
        </is>
      </c>
      <c r="D85" s="18" t="inlineStr">
        <is>
          <t>ACT</t>
        </is>
      </c>
      <c r="E85" s="18" t="inlineStr">
        <is>
          <t>A</t>
        </is>
      </c>
      <c r="F85" s="18" t="inlineStr">
        <is>
          <t>Lancer un nouveau projet à partir d’une idée ou d’une opportunité.</t>
        </is>
      </c>
      <c r="G85" s="22" t="inlineStr">
        <is>
          <t>UTILE</t>
        </is>
      </c>
      <c r="H85" s="20" t="inlineStr">
        <is>
          <t>Lancer un nouveau service, une activité ou un projet à partir d’une idée ou d’une opportunité identifiée.</t>
        </is>
      </c>
      <c r="I85" s="21" t="inlineStr">
        <is>
          <t>Ancrer l’item dans une expression typique de E/E1 sans ajouter la dimension concurrente A.</t>
        </is>
      </c>
      <c r="J85" s="18" t="inlineStr">
        <is>
          <t>FAIBLE</t>
        </is>
      </c>
      <c r="K85" s="18" t="inlineStr">
        <is>
          <t>MOYEN</t>
        </is>
      </c>
      <c r="L85" s="18" t="inlineStr">
        <is>
          <t>FAIBLE</t>
        </is>
      </c>
      <c r="M85" s="22" t="inlineStr">
        <is>
          <t>A_VALIDER</t>
        </is>
      </c>
      <c r="N85" s="23" t="inlineStr">
        <is>
          <t>PROPOSITION_V0.4</t>
        </is>
      </c>
      <c r="O85" s="24" t="n"/>
    </row>
    <row r="86" ht="48" customHeight="1" s="34">
      <c r="A86" s="25" t="inlineStr">
        <is>
          <t>PIP-ACT-E-E1-002</t>
        </is>
      </c>
      <c r="B86" s="25" t="inlineStr">
        <is>
          <t>E</t>
        </is>
      </c>
      <c r="C86" s="25" t="inlineStr">
        <is>
          <t>E1</t>
        </is>
      </c>
      <c r="D86" s="25" t="inlineStr">
        <is>
          <t>ACT</t>
        </is>
      </c>
      <c r="E86" s="25" t="inlineStr">
        <is>
          <t>A</t>
        </is>
      </c>
      <c r="F86" s="25" t="inlineStr">
        <is>
          <t>Faire progresser un projet en identifiant de nouvelles possibilités de développement.</t>
        </is>
      </c>
      <c r="G86" s="29" t="inlineStr">
        <is>
          <t>UTILE</t>
        </is>
      </c>
      <c r="H86" s="27" t="inlineStr">
        <is>
          <t>Chercher de nouvelles possibilités pour développer un projet, une activité ou une offre existante.</t>
        </is>
      </c>
      <c r="I86" s="28" t="inlineStr">
        <is>
          <t>Ancrer l’item dans une expression typique de E/E1 sans ajouter la dimension concurrente A.</t>
        </is>
      </c>
      <c r="J86" s="25" t="inlineStr">
        <is>
          <t>FAIBLE</t>
        </is>
      </c>
      <c r="K86" s="25" t="inlineStr">
        <is>
          <t>MOYEN</t>
        </is>
      </c>
      <c r="L86" s="25" t="inlineStr">
        <is>
          <t>FAIBLE</t>
        </is>
      </c>
      <c r="M86" s="29" t="inlineStr">
        <is>
          <t>A_VALIDER</t>
        </is>
      </c>
      <c r="N86" s="30" t="inlineStr">
        <is>
          <t>PROPOSITION_V0.4</t>
        </is>
      </c>
      <c r="O86" s="9" t="n"/>
    </row>
    <row r="87" ht="48" customHeight="1" s="34">
      <c r="A87" s="25" t="inlineStr">
        <is>
          <t>PIP-SIT-E-E1-003</t>
        </is>
      </c>
      <c r="B87" s="25" t="inlineStr">
        <is>
          <t>E</t>
        </is>
      </c>
      <c r="C87" s="25" t="inlineStr">
        <is>
          <t>E1</t>
        </is>
      </c>
      <c r="D87" s="25" t="inlineStr">
        <is>
          <t>SIT</t>
        </is>
      </c>
      <c r="E87" s="25" t="inlineStr">
        <is>
          <t>A</t>
        </is>
      </c>
      <c r="F87" s="25" t="inlineStr">
        <is>
          <t>Voir une opportunité et prendre l’initiative de la transformer en projet concret.</t>
        </is>
      </c>
      <c r="G87" s="29" t="inlineStr">
        <is>
          <t>UTILE</t>
        </is>
      </c>
      <c r="H87" s="27" t="inlineStr">
        <is>
          <t>Repérer une opportunité et prendre l’initiative de réunir les moyens nécessaires pour en faire un projet concret.</t>
        </is>
      </c>
      <c r="I87" s="28" t="inlineStr">
        <is>
          <t>Ancrer l’item dans une expression typique de E/E1 sans ajouter la dimension concurrente A.</t>
        </is>
      </c>
      <c r="J87" s="25" t="inlineStr">
        <is>
          <t>FAIBLE</t>
        </is>
      </c>
      <c r="K87" s="25" t="inlineStr">
        <is>
          <t>MOYEN</t>
        </is>
      </c>
      <c r="L87" s="25" t="inlineStr">
        <is>
          <t>FAIBLE</t>
        </is>
      </c>
      <c r="M87" s="29" t="inlineStr">
        <is>
          <t>A_VALIDER</t>
        </is>
      </c>
      <c r="N87" s="30" t="inlineStr">
        <is>
          <t>PROPOSITION_V0.4</t>
        </is>
      </c>
      <c r="O87" s="9" t="n"/>
    </row>
    <row r="88" ht="48" customHeight="1" s="34">
      <c r="A88" s="25" t="inlineStr">
        <is>
          <t>PIP-ENV-E-E1-004</t>
        </is>
      </c>
      <c r="B88" s="25" t="inlineStr">
        <is>
          <t>E</t>
        </is>
      </c>
      <c r="C88" s="25" t="inlineStr">
        <is>
          <t>E1</t>
        </is>
      </c>
      <c r="D88" s="25" t="inlineStr">
        <is>
          <t>ENV</t>
        </is>
      </c>
      <c r="E88" s="25" t="inlineStr">
        <is>
          <t>A</t>
        </is>
      </c>
      <c r="F88" s="25" t="inlineStr">
        <is>
          <t>Évoluer dans un contexte où l’on peut proposer des initiatives et faire avancer de nouveaux projets.</t>
        </is>
      </c>
      <c r="G88" s="29" t="inlineStr">
        <is>
          <t>UTILE</t>
        </is>
      </c>
      <c r="H88" s="27" t="inlineStr">
        <is>
          <t>Évoluer dans un environnement où l’on peut proposer des initiatives et faire démarrer de nouveaux projets.</t>
        </is>
      </c>
      <c r="I88" s="28" t="inlineStr">
        <is>
          <t>Ancrer l’item dans une expression typique de E/E1 sans ajouter la dimension concurrente A.</t>
        </is>
      </c>
      <c r="J88" s="25" t="inlineStr">
        <is>
          <t>FAIBLE</t>
        </is>
      </c>
      <c r="K88" s="25" t="inlineStr">
        <is>
          <t>MOYEN</t>
        </is>
      </c>
      <c r="L88" s="25" t="inlineStr">
        <is>
          <t>FAIBLE</t>
        </is>
      </c>
      <c r="M88" s="29" t="inlineStr">
        <is>
          <t>A_VALIDER</t>
        </is>
      </c>
      <c r="N88" s="30" t="inlineStr">
        <is>
          <t>PROPOSITION_V0.4</t>
        </is>
      </c>
      <c r="O88" s="9" t="n"/>
    </row>
    <row r="89" ht="48" customHeight="1" s="34">
      <c r="A89" s="25" t="inlineStr">
        <is>
          <t>PIP-ACT-E-E2-005</t>
        </is>
      </c>
      <c r="B89" s="25" t="inlineStr">
        <is>
          <t>E</t>
        </is>
      </c>
      <c r="C89" s="25" t="inlineStr">
        <is>
          <t>E2</t>
        </is>
      </c>
      <c r="D89" s="25" t="inlineStr">
        <is>
          <t>ACT</t>
        </is>
      </c>
      <c r="E89" s="25" t="inlineStr">
        <is>
          <t>S</t>
        </is>
      </c>
      <c r="F89" s="25" t="inlineStr">
        <is>
          <t>Présenter une proposition de façon à donner envie d’y adhérer.</t>
        </is>
      </c>
      <c r="G89" s="29" t="inlineStr">
        <is>
          <t>UTILE</t>
        </is>
      </c>
      <c r="H89" s="27" t="inlineStr">
        <is>
          <t>Présenter une proposition à un client, une équipe ou un partenaire de façon à susciter son adhésion.</t>
        </is>
      </c>
      <c r="I89" s="28" t="inlineStr">
        <is>
          <t>Ancrer l’item dans une expression typique de E/E2 sans ajouter la dimension concurrente S.</t>
        </is>
      </c>
      <c r="J89" s="25" t="inlineStr">
        <is>
          <t>FAIBLE</t>
        </is>
      </c>
      <c r="K89" s="25" t="inlineStr">
        <is>
          <t>MOYEN</t>
        </is>
      </c>
      <c r="L89" s="25" t="inlineStr">
        <is>
          <t>FAIBLE</t>
        </is>
      </c>
      <c r="M89" s="29" t="inlineStr">
        <is>
          <t>A_VALIDER</t>
        </is>
      </c>
      <c r="N89" s="30" t="inlineStr">
        <is>
          <t>PROPOSITION_V0.4</t>
        </is>
      </c>
      <c r="O89" s="9" t="n"/>
    </row>
    <row r="90" ht="48" customHeight="1" s="34">
      <c r="A90" s="25" t="inlineStr">
        <is>
          <t>PIP-ACT-E-E2-006</t>
        </is>
      </c>
      <c r="B90" s="25" t="inlineStr">
        <is>
          <t>E</t>
        </is>
      </c>
      <c r="C90" s="25" t="inlineStr">
        <is>
          <t>E2</t>
        </is>
      </c>
      <c r="D90" s="25" t="inlineStr">
        <is>
          <t>ACT</t>
        </is>
      </c>
      <c r="E90" s="25" t="inlineStr">
        <is>
          <t>S</t>
        </is>
      </c>
      <c r="F90" s="25" t="inlineStr">
        <is>
          <t>Promouvoir un produit, un service ou une idée auprès d’un public.</t>
        </is>
      </c>
      <c r="G90" s="29" t="inlineStr">
        <is>
          <t>UTILE</t>
        </is>
      </c>
      <c r="H90" s="27" t="inlineStr">
        <is>
          <t>Promouvoir un produit, un service, un projet ou une idée auprès d’un public susceptible d’être intéressé.</t>
        </is>
      </c>
      <c r="I90" s="28" t="inlineStr">
        <is>
          <t>Ancrer l’item dans une expression typique de E/E2 sans ajouter la dimension concurrente S.</t>
        </is>
      </c>
      <c r="J90" s="25" t="inlineStr">
        <is>
          <t>FAIBLE</t>
        </is>
      </c>
      <c r="K90" s="25" t="inlineStr">
        <is>
          <t>MOYEN</t>
        </is>
      </c>
      <c r="L90" s="25" t="inlineStr">
        <is>
          <t>FAIBLE</t>
        </is>
      </c>
      <c r="M90" s="29" t="inlineStr">
        <is>
          <t>A_VALIDER</t>
        </is>
      </c>
      <c r="N90" s="30" t="inlineStr">
        <is>
          <t>PROPOSITION_V0.4</t>
        </is>
      </c>
      <c r="O90" s="9" t="n"/>
    </row>
    <row r="91" ht="48" customHeight="1" s="34">
      <c r="A91" s="25" t="inlineStr">
        <is>
          <t>PIP-SIT-E-E2-007</t>
        </is>
      </c>
      <c r="B91" s="25" t="inlineStr">
        <is>
          <t>E</t>
        </is>
      </c>
      <c r="C91" s="25" t="inlineStr">
        <is>
          <t>E2</t>
        </is>
      </c>
      <c r="D91" s="25" t="inlineStr">
        <is>
          <t>SIT</t>
        </is>
      </c>
      <c r="E91" s="25" t="inlineStr">
        <is>
          <t>S</t>
        </is>
      </c>
      <c r="F91" s="25" t="inlineStr">
        <is>
          <t>Défendre une proposition devant des personnes qui hésitent afin d’obtenir leur adhésion.</t>
        </is>
      </c>
      <c r="G91" s="29" t="inlineStr">
        <is>
          <t>UTILE</t>
        </is>
      </c>
      <c r="H91" s="27" t="inlineStr">
        <is>
          <t>Défendre une proposition devant des personnes hésitantes afin de les convaincre de la retenir.</t>
        </is>
      </c>
      <c r="I91" s="28" t="inlineStr">
        <is>
          <t>Ancrer l’item dans une expression typique de E/E2 sans ajouter la dimension concurrente S.</t>
        </is>
      </c>
      <c r="J91" s="25" t="inlineStr">
        <is>
          <t>FAIBLE</t>
        </is>
      </c>
      <c r="K91" s="25" t="inlineStr">
        <is>
          <t>MOYEN</t>
        </is>
      </c>
      <c r="L91" s="25" t="inlineStr">
        <is>
          <t>FAIBLE</t>
        </is>
      </c>
      <c r="M91" s="29" t="inlineStr">
        <is>
          <t>A_VALIDER</t>
        </is>
      </c>
      <c r="N91" s="30" t="inlineStr">
        <is>
          <t>PROPOSITION_V0.4</t>
        </is>
      </c>
      <c r="O91" s="9" t="n"/>
    </row>
    <row r="92" ht="48" customHeight="1" s="34">
      <c r="A92" s="25" t="inlineStr">
        <is>
          <t>PIP-ENV-E-E2-008</t>
        </is>
      </c>
      <c r="B92" s="25" t="inlineStr">
        <is>
          <t>E</t>
        </is>
      </c>
      <c r="C92" s="25" t="inlineStr">
        <is>
          <t>E2</t>
        </is>
      </c>
      <c r="D92" s="25" t="inlineStr">
        <is>
          <t>ENV</t>
        </is>
      </c>
      <c r="E92" s="25" t="inlineStr">
        <is>
          <t>S</t>
        </is>
      </c>
      <c r="F92" s="25" t="inlineStr">
        <is>
          <t>Travailler dans un contexte où il faut régulièrement présenter, promouvoir ou faire accepter des propositions.</t>
        </is>
      </c>
      <c r="G92" s="26" t="inlineStr">
        <is>
          <t>FORTE</t>
        </is>
      </c>
      <c r="H92" s="27" t="inlineStr">
        <is>
          <t>Travailler dans un contexte où il faut régulièrement présenter, promouvoir ou faire accepter des propositions.</t>
        </is>
      </c>
      <c r="I92" s="28" t="inlineStr">
        <is>
          <t>Ancrer l’item dans une expression typique de E/E2 sans ajouter la dimension concurrente S.</t>
        </is>
      </c>
      <c r="J92" s="25" t="inlineStr">
        <is>
          <t>FAIBLE</t>
        </is>
      </c>
      <c r="K92" s="25" t="inlineStr">
        <is>
          <t>MOYEN</t>
        </is>
      </c>
      <c r="L92" s="25" t="inlineStr">
        <is>
          <t>FAIBLE</t>
        </is>
      </c>
      <c r="M92" s="29" t="inlineStr">
        <is>
          <t>A_VALIDER</t>
        </is>
      </c>
      <c r="N92" s="30" t="inlineStr">
        <is>
          <t>PROPOSITION_V0.4</t>
        </is>
      </c>
      <c r="O92" s="9" t="n"/>
    </row>
    <row r="93" ht="48" customHeight="1" s="34">
      <c r="A93" s="25" t="inlineStr">
        <is>
          <t>PIP-ACT-E-E3-009</t>
        </is>
      </c>
      <c r="B93" s="25" t="inlineStr">
        <is>
          <t>E</t>
        </is>
      </c>
      <c r="C93" s="25" t="inlineStr">
        <is>
          <t>E3</t>
        </is>
      </c>
      <c r="D93" s="25" t="inlineStr">
        <is>
          <t>ACT</t>
        </is>
      </c>
      <c r="E93" s="25" t="inlineStr">
        <is>
          <t>S,C</t>
        </is>
      </c>
      <c r="F93" s="25" t="inlineStr">
        <is>
          <t>Négocier les conditions d’un accord entre plusieurs parties.</t>
        </is>
      </c>
      <c r="G93" s="26" t="inlineStr">
        <is>
          <t>FORTE</t>
        </is>
      </c>
      <c r="H93" s="27" t="inlineStr">
        <is>
          <t>Négocier avec plusieurs parties les conditions d’un accord afin de parvenir à une solution acceptable.</t>
        </is>
      </c>
      <c r="I93" s="28" t="inlineStr">
        <is>
          <t>Ancrer l’item dans une expression typique de E/E3 sans ajouter la dimension concurrente S,C.</t>
        </is>
      </c>
      <c r="J93" s="25" t="inlineStr">
        <is>
          <t>FAIBLE</t>
        </is>
      </c>
      <c r="K93" s="25" t="inlineStr">
        <is>
          <t>MOYEN</t>
        </is>
      </c>
      <c r="L93" s="25" t="inlineStr">
        <is>
          <t>MOYEN</t>
        </is>
      </c>
      <c r="M93" s="29" t="inlineStr">
        <is>
          <t>A_VALIDER</t>
        </is>
      </c>
      <c r="N93" s="30" t="inlineStr">
        <is>
          <t>PROPOSITION_V0.4</t>
        </is>
      </c>
      <c r="O93" s="9" t="n"/>
    </row>
    <row r="94" ht="48" customHeight="1" s="34">
      <c r="A94" s="25" t="inlineStr">
        <is>
          <t>PIP-ACT-E-E3-010</t>
        </is>
      </c>
      <c r="B94" s="25" t="inlineStr">
        <is>
          <t>E</t>
        </is>
      </c>
      <c r="C94" s="25" t="inlineStr">
        <is>
          <t>E3</t>
        </is>
      </c>
      <c r="D94" s="25" t="inlineStr">
        <is>
          <t>ACT</t>
        </is>
      </c>
      <c r="E94" s="25" t="inlineStr">
        <is>
          <t>S,C</t>
        </is>
      </c>
      <c r="F94" s="25" t="inlineStr">
        <is>
          <t>Chercher un compromis lorsque des personnes défendent des intérêts différents.</t>
        </is>
      </c>
      <c r="G94" s="26" t="inlineStr">
        <is>
          <t>FORTE</t>
        </is>
      </c>
      <c r="H94" s="27" t="inlineStr">
        <is>
          <t>Rechercher un compromis lorsque deux personnes ou organisations défendent des intérêts différents.</t>
        </is>
      </c>
      <c r="I94" s="28" t="inlineStr">
        <is>
          <t>Ancrer l’item dans une expression typique de E/E3 sans ajouter la dimension concurrente S,C.</t>
        </is>
      </c>
      <c r="J94" s="25" t="inlineStr">
        <is>
          <t>MOYEN</t>
        </is>
      </c>
      <c r="K94" s="25" t="inlineStr">
        <is>
          <t>MOYEN</t>
        </is>
      </c>
      <c r="L94" s="25" t="inlineStr">
        <is>
          <t>FAIBLE</t>
        </is>
      </c>
      <c r="M94" s="29" t="inlineStr">
        <is>
          <t>A_VALIDER</t>
        </is>
      </c>
      <c r="N94" s="30" t="inlineStr">
        <is>
          <t>PROPOSITION_V0.4</t>
        </is>
      </c>
      <c r="O94" s="9" t="n"/>
    </row>
    <row r="95" ht="48" customHeight="1" s="34">
      <c r="A95" s="25" t="inlineStr">
        <is>
          <t>PIP-SIT-E-E3-011</t>
        </is>
      </c>
      <c r="B95" s="25" t="inlineStr">
        <is>
          <t>E</t>
        </is>
      </c>
      <c r="C95" s="25" t="inlineStr">
        <is>
          <t>E3</t>
        </is>
      </c>
      <c r="D95" s="25" t="inlineStr">
        <is>
          <t>SIT</t>
        </is>
      </c>
      <c r="E95" s="25" t="inlineStr">
        <is>
          <t>S,C</t>
        </is>
      </c>
      <c r="F95" s="25" t="inlineStr">
        <is>
          <t>Conduire une discussion où chacun a des attentes différentes afin d’aboutir à un accord.</t>
        </is>
      </c>
      <c r="G95" s="26" t="inlineStr">
        <is>
          <t>FORTE</t>
        </is>
      </c>
      <c r="H95" s="27" t="inlineStr">
        <is>
          <t>Conduire une discussion où chacun a ses contraintes afin d’aboutir à un accord concret.</t>
        </is>
      </c>
      <c r="I95" s="28" t="inlineStr">
        <is>
          <t>Ancrer l’item dans une expression typique de E/E3 sans ajouter la dimension concurrente S,C.</t>
        </is>
      </c>
      <c r="J95" s="25" t="inlineStr">
        <is>
          <t>FAIBLE</t>
        </is>
      </c>
      <c r="K95" s="25" t="inlineStr">
        <is>
          <t>MOYEN</t>
        </is>
      </c>
      <c r="L95" s="25" t="inlineStr">
        <is>
          <t>MOYEN</t>
        </is>
      </c>
      <c r="M95" s="29" t="inlineStr">
        <is>
          <t>A_VALIDER</t>
        </is>
      </c>
      <c r="N95" s="30" t="inlineStr">
        <is>
          <t>PROPOSITION_V0.4</t>
        </is>
      </c>
      <c r="O95" s="9" t="n"/>
    </row>
    <row r="96" ht="48" customHeight="1" s="34">
      <c r="A96" s="25" t="inlineStr">
        <is>
          <t>PIP-ENV-E-E3-012</t>
        </is>
      </c>
      <c r="B96" s="25" t="inlineStr">
        <is>
          <t>E</t>
        </is>
      </c>
      <c r="C96" s="25" t="inlineStr">
        <is>
          <t>E3</t>
        </is>
      </c>
      <c r="D96" s="25" t="inlineStr">
        <is>
          <t>ENV</t>
        </is>
      </c>
      <c r="E96" s="25" t="inlineStr">
        <is>
          <t>S,C</t>
        </is>
      </c>
      <c r="F96" s="25" t="inlineStr">
        <is>
          <t>Évoluer dans un contexte où la négociation et la recherche d’accords occupent une place importante.</t>
        </is>
      </c>
      <c r="G96" s="26" t="inlineStr">
        <is>
          <t>FORTE</t>
        </is>
      </c>
      <c r="H96" s="27" t="inlineStr">
        <is>
          <t>Évoluer dans un environnement où la négociation et la recherche d’accords font partie du travail courant.</t>
        </is>
      </c>
      <c r="I96" s="28" t="inlineStr">
        <is>
          <t>Ancrer l’item dans une expression typique de E/E3 sans ajouter la dimension concurrente S,C.</t>
        </is>
      </c>
      <c r="J96" s="25" t="inlineStr">
        <is>
          <t>FAIBLE</t>
        </is>
      </c>
      <c r="K96" s="25" t="inlineStr">
        <is>
          <t>MOYEN</t>
        </is>
      </c>
      <c r="L96" s="25" t="inlineStr">
        <is>
          <t>MOYEN</t>
        </is>
      </c>
      <c r="M96" s="29" t="inlineStr">
        <is>
          <t>A_VALIDER</t>
        </is>
      </c>
      <c r="N96" s="30" t="inlineStr">
        <is>
          <t>PROPOSITION_V0.4</t>
        </is>
      </c>
      <c r="O96" s="9" t="n"/>
    </row>
    <row r="97" ht="48" customHeight="1" s="34">
      <c r="A97" s="25" t="inlineStr">
        <is>
          <t>PIP-ACT-E-E4-013</t>
        </is>
      </c>
      <c r="B97" s="25" t="inlineStr">
        <is>
          <t>E</t>
        </is>
      </c>
      <c r="C97" s="25" t="inlineStr">
        <is>
          <t>E4</t>
        </is>
      </c>
      <c r="D97" s="25" t="inlineStr">
        <is>
          <t>ACT</t>
        </is>
      </c>
      <c r="E97" s="25" t="inlineStr">
        <is>
          <t>C,S</t>
        </is>
      </c>
      <c r="F97" s="25" t="inlineStr">
        <is>
          <t>Coordonner le travail de plusieurs personnes pour faire avancer un projet.</t>
        </is>
      </c>
      <c r="G97" s="26" t="inlineStr">
        <is>
          <t>FORTE</t>
        </is>
      </c>
      <c r="H97" s="27" t="inlineStr">
        <is>
          <t>Coordonner plusieurs personnes, répartir les responsabilités et suivre l’avancement d’un projet.</t>
        </is>
      </c>
      <c r="I97" s="28" t="inlineStr">
        <is>
          <t>Ancrer l’item dans une expression typique de E/E4 sans ajouter la dimension concurrente C,S.</t>
        </is>
      </c>
      <c r="J97" s="25" t="inlineStr">
        <is>
          <t>MOYEN</t>
        </is>
      </c>
      <c r="K97" s="25" t="inlineStr">
        <is>
          <t>MOYEN</t>
        </is>
      </c>
      <c r="L97" s="25" t="inlineStr">
        <is>
          <t>FAIBLE</t>
        </is>
      </c>
      <c r="M97" s="29" t="inlineStr">
        <is>
          <t>A_VALIDER</t>
        </is>
      </c>
      <c r="N97" s="30" t="inlineStr">
        <is>
          <t>PROPOSITION_V0.4</t>
        </is>
      </c>
      <c r="O97" s="9" t="n"/>
    </row>
    <row r="98" ht="48" customHeight="1" s="34">
      <c r="A98" s="25" t="inlineStr">
        <is>
          <t>PIP-ACT-E-E4-014</t>
        </is>
      </c>
      <c r="B98" s="25" t="inlineStr">
        <is>
          <t>E</t>
        </is>
      </c>
      <c r="C98" s="25" t="inlineStr">
        <is>
          <t>E4</t>
        </is>
      </c>
      <c r="D98" s="25" t="inlineStr">
        <is>
          <t>ACT</t>
        </is>
      </c>
      <c r="E98" s="25" t="inlineStr">
        <is>
          <t>C,S</t>
        </is>
      </c>
      <c r="F98" s="25" t="inlineStr">
        <is>
          <t>Prendre des décisions qui orientent l’action d’une équipe ou d’un projet.</t>
        </is>
      </c>
      <c r="G98" s="29" t="inlineStr">
        <is>
          <t>UTILE</t>
        </is>
      </c>
      <c r="H98" s="27" t="inlineStr">
        <is>
          <t>Prendre une décision qui donne une direction claire à une équipe ou à un projet.</t>
        </is>
      </c>
      <c r="I98" s="28" t="inlineStr">
        <is>
          <t>Ancrer l’item dans une expression typique de E/E4 sans ajouter la dimension concurrente C,S.</t>
        </is>
      </c>
      <c r="J98" s="25" t="inlineStr">
        <is>
          <t>FAIBLE</t>
        </is>
      </c>
      <c r="K98" s="25" t="inlineStr">
        <is>
          <t>MOYEN</t>
        </is>
      </c>
      <c r="L98" s="25" t="inlineStr">
        <is>
          <t>FAIBLE</t>
        </is>
      </c>
      <c r="M98" s="29" t="inlineStr">
        <is>
          <t>A_VALIDER</t>
        </is>
      </c>
      <c r="N98" s="30" t="inlineStr">
        <is>
          <t>PROPOSITION_V0.4</t>
        </is>
      </c>
      <c r="O98" s="9" t="n"/>
    </row>
    <row r="99" ht="48" customHeight="1" s="34">
      <c r="A99" s="25" t="inlineStr">
        <is>
          <t>PIP-SIT-E-E4-015</t>
        </is>
      </c>
      <c r="B99" s="25" t="inlineStr">
        <is>
          <t>E</t>
        </is>
      </c>
      <c r="C99" s="25" t="inlineStr">
        <is>
          <t>E4</t>
        </is>
      </c>
      <c r="D99" s="25" t="inlineStr">
        <is>
          <t>SIT</t>
        </is>
      </c>
      <c r="E99" s="25" t="inlineStr">
        <is>
          <t>C,S</t>
        </is>
      </c>
      <c r="F99" s="25" t="inlineStr">
        <is>
          <t>Arbitrer entre plusieurs priorités lorsque le groupe attend une décision pour continuer.</t>
        </is>
      </c>
      <c r="G99" s="29" t="inlineStr">
        <is>
          <t>UTILE</t>
        </is>
      </c>
      <c r="H99" s="27" t="inlineStr">
        <is>
          <t>Plusieurs priorités s’opposent : arbitrer et décider pour permettre au groupe de continuer.</t>
        </is>
      </c>
      <c r="I99" s="28" t="inlineStr">
        <is>
          <t>Ancrer l’item dans une expression typique de E/E4 sans ajouter la dimension concurrente C,S.</t>
        </is>
      </c>
      <c r="J99" s="25" t="inlineStr">
        <is>
          <t>FAIBLE</t>
        </is>
      </c>
      <c r="K99" s="25" t="inlineStr">
        <is>
          <t>MOYEN</t>
        </is>
      </c>
      <c r="L99" s="25" t="inlineStr">
        <is>
          <t>FAIBLE</t>
        </is>
      </c>
      <c r="M99" s="29" t="inlineStr">
        <is>
          <t>A_VALIDER</t>
        </is>
      </c>
      <c r="N99" s="30" t="inlineStr">
        <is>
          <t>PROPOSITION_V0.4</t>
        </is>
      </c>
      <c r="O99" s="9" t="n"/>
    </row>
    <row r="100" ht="48" customHeight="1" s="34">
      <c r="A100" s="25" t="inlineStr">
        <is>
          <t>PIP-ENV-E-E4-016</t>
        </is>
      </c>
      <c r="B100" s="25" t="inlineStr">
        <is>
          <t>E</t>
        </is>
      </c>
      <c r="C100" s="25" t="inlineStr">
        <is>
          <t>E4</t>
        </is>
      </c>
      <c r="D100" s="25" t="inlineStr">
        <is>
          <t>ENV</t>
        </is>
      </c>
      <c r="E100" s="25" t="inlineStr">
        <is>
          <t>C,S</t>
        </is>
      </c>
      <c r="F100" s="25" t="inlineStr">
        <is>
          <t>Travailler dans un contexte où l’on assume régulièrement la responsabilité de décisions et de coordination.</t>
        </is>
      </c>
      <c r="G100" s="29" t="inlineStr">
        <is>
          <t>UTILE</t>
        </is>
      </c>
      <c r="H100" s="27" t="inlineStr">
        <is>
          <t>Travailler dans un contexte où l’on assume régulièrement des décisions, des arbitrages et la coordination d’autres personnes.</t>
        </is>
      </c>
      <c r="I100" s="28" t="inlineStr">
        <is>
          <t>Ancrer l’item dans une expression typique de E/E4 sans ajouter la dimension concurrente C,S.</t>
        </is>
      </c>
      <c r="J100" s="25" t="inlineStr">
        <is>
          <t>FAIBLE</t>
        </is>
      </c>
      <c r="K100" s="25" t="inlineStr">
        <is>
          <t>MOYEN</t>
        </is>
      </c>
      <c r="L100" s="25" t="inlineStr">
        <is>
          <t>FAIBLE</t>
        </is>
      </c>
      <c r="M100" s="29" t="inlineStr">
        <is>
          <t>A_VALIDER</t>
        </is>
      </c>
      <c r="N100" s="30" t="inlineStr">
        <is>
          <t>PROPOSITION_V0.4</t>
        </is>
      </c>
      <c r="O100" s="9" t="n"/>
    </row>
    <row r="101" ht="48" customHeight="1" s="34">
      <c r="A101" s="25" t="inlineStr">
        <is>
          <t>PIP-ACT-E-E5-017</t>
        </is>
      </c>
      <c r="B101" s="25" t="inlineStr">
        <is>
          <t>E</t>
        </is>
      </c>
      <c r="C101" s="25" t="inlineStr">
        <is>
          <t>E5</t>
        </is>
      </c>
      <c r="D101" s="25" t="inlineStr">
        <is>
          <t>ACT</t>
        </is>
      </c>
      <c r="E101" s="25" t="inlineStr">
        <is>
          <t>S,A</t>
        </is>
      </c>
      <c r="F101" s="25" t="inlineStr">
        <is>
          <t>Prendre la parole pour représenter une organisation, un projet ou une cause.</t>
        </is>
      </c>
      <c r="G101" s="29" t="inlineStr">
        <is>
          <t>UTILE</t>
        </is>
      </c>
      <c r="H101" s="27" t="inlineStr">
        <is>
          <t>Prendre la parole au nom d’une organisation, d’un projet ou d’une cause devant des interlocuteurs externes.</t>
        </is>
      </c>
      <c r="I101" s="28" t="inlineStr">
        <is>
          <t>Ancrer l’item dans une expression typique de E/E5 sans ajouter la dimension concurrente S,A.</t>
        </is>
      </c>
      <c r="J101" s="25" t="inlineStr">
        <is>
          <t>FAIBLE</t>
        </is>
      </c>
      <c r="K101" s="25" t="inlineStr">
        <is>
          <t>MOYEN</t>
        </is>
      </c>
      <c r="L101" s="25" t="inlineStr">
        <is>
          <t>FAIBLE</t>
        </is>
      </c>
      <c r="M101" s="29" t="inlineStr">
        <is>
          <t>A_VALIDER</t>
        </is>
      </c>
      <c r="N101" s="30" t="inlineStr">
        <is>
          <t>PROPOSITION_V0.4</t>
        </is>
      </c>
      <c r="O101" s="9" t="n"/>
    </row>
    <row r="102" ht="48" customHeight="1" s="34">
      <c r="A102" s="25" t="inlineStr">
        <is>
          <t>PIP-ACT-E-E5-018</t>
        </is>
      </c>
      <c r="B102" s="25" t="inlineStr">
        <is>
          <t>E</t>
        </is>
      </c>
      <c r="C102" s="25" t="inlineStr">
        <is>
          <t>E5</t>
        </is>
      </c>
      <c r="D102" s="25" t="inlineStr">
        <is>
          <t>ACT</t>
        </is>
      </c>
      <c r="E102" s="25" t="inlineStr">
        <is>
          <t>S,A</t>
        </is>
      </c>
      <c r="F102" s="25" t="inlineStr">
        <is>
          <t>Mobiliser plusieurs personnes autour d’un objectif commun.</t>
        </is>
      </c>
      <c r="G102" s="29" t="inlineStr">
        <is>
          <t>UTILE</t>
        </is>
      </c>
      <c r="H102" s="27" t="inlineStr">
        <is>
          <t>Mobiliser plusieurs personnes autour d’un objectif et leur donner envie de contribuer.</t>
        </is>
      </c>
      <c r="I102" s="28" t="inlineStr">
        <is>
          <t>Ancrer l’item dans une expression typique de E/E5 sans ajouter la dimension concurrente S,A.</t>
        </is>
      </c>
      <c r="J102" s="25" t="inlineStr">
        <is>
          <t>FAIBLE</t>
        </is>
      </c>
      <c r="K102" s="25" t="inlineStr">
        <is>
          <t>MOYEN</t>
        </is>
      </c>
      <c r="L102" s="25" t="inlineStr">
        <is>
          <t>FAIBLE</t>
        </is>
      </c>
      <c r="M102" s="29" t="inlineStr">
        <is>
          <t>A_VALIDER</t>
        </is>
      </c>
      <c r="N102" s="30" t="inlineStr">
        <is>
          <t>PROPOSITION_V0.4</t>
        </is>
      </c>
      <c r="O102" s="9" t="n"/>
    </row>
    <row r="103" ht="48" customHeight="1" s="34">
      <c r="A103" s="25" t="inlineStr">
        <is>
          <t>PIP-SIT-E-E5-019</t>
        </is>
      </c>
      <c r="B103" s="25" t="inlineStr">
        <is>
          <t>E</t>
        </is>
      </c>
      <c r="C103" s="25" t="inlineStr">
        <is>
          <t>E5</t>
        </is>
      </c>
      <c r="D103" s="25" t="inlineStr">
        <is>
          <t>SIT</t>
        </is>
      </c>
      <c r="E103" s="25" t="inlineStr">
        <is>
          <t>S,A</t>
        </is>
      </c>
      <c r="F103" s="25" t="inlineStr">
        <is>
          <t>Faire adhérer un groupe à une orientation et l’encourager à se mettre en action.</t>
        </is>
      </c>
      <c r="G103" s="29" t="inlineStr">
        <is>
          <t>UTILE</t>
        </is>
      </c>
      <c r="H103" s="27" t="inlineStr">
        <is>
          <t>Présenter une orientation à un groupe, obtenir son adhésion et l’inciter à passer à l’action.</t>
        </is>
      </c>
      <c r="I103" s="28" t="inlineStr">
        <is>
          <t>Ancrer l’item dans une expression typique de E/E5 sans ajouter la dimension concurrente S,A.</t>
        </is>
      </c>
      <c r="J103" s="25" t="inlineStr">
        <is>
          <t>FAIBLE</t>
        </is>
      </c>
      <c r="K103" s="25" t="inlineStr">
        <is>
          <t>MOYEN</t>
        </is>
      </c>
      <c r="L103" s="25" t="inlineStr">
        <is>
          <t>FAIBLE</t>
        </is>
      </c>
      <c r="M103" s="29" t="inlineStr">
        <is>
          <t>A_VALIDER</t>
        </is>
      </c>
      <c r="N103" s="30" t="inlineStr">
        <is>
          <t>PROPOSITION_V0.4</t>
        </is>
      </c>
      <c r="O103" s="9" t="n"/>
    </row>
    <row r="104" ht="48" customHeight="1" s="34">
      <c r="A104" s="25" t="inlineStr">
        <is>
          <t>PIP-ENV-E-E5-020</t>
        </is>
      </c>
      <c r="B104" s="25" t="inlineStr">
        <is>
          <t>E</t>
        </is>
      </c>
      <c r="C104" s="25" t="inlineStr">
        <is>
          <t>E5</t>
        </is>
      </c>
      <c r="D104" s="25" t="inlineStr">
        <is>
          <t>ENV</t>
        </is>
      </c>
      <c r="E104" s="25" t="inlineStr">
        <is>
          <t>S,A</t>
        </is>
      </c>
      <c r="F104" s="25" t="inlineStr">
        <is>
          <t>Évoluer dans un contexte où l’on représente des positions, prend la parole et cherche à mobiliser des personnes.</t>
        </is>
      </c>
      <c r="G104" s="29" t="inlineStr">
        <is>
          <t>UTILE</t>
        </is>
      </c>
      <c r="H104" s="27" t="inlineStr">
        <is>
          <t>Évoluer dans un contexte où l’on représente des positions, prend la parole et cherche à entraîner d’autres personnes.</t>
        </is>
      </c>
      <c r="I104" s="28" t="inlineStr">
        <is>
          <t>Ancrer l’item dans une expression typique de E/E5 sans ajouter la dimension concurrente S,A.</t>
        </is>
      </c>
      <c r="J104" s="25" t="inlineStr">
        <is>
          <t>FAIBLE</t>
        </is>
      </c>
      <c r="K104" s="25" t="inlineStr">
        <is>
          <t>MOYEN</t>
        </is>
      </c>
      <c r="L104" s="25" t="inlineStr">
        <is>
          <t>FAIBLE</t>
        </is>
      </c>
      <c r="M104" s="29" t="inlineStr">
        <is>
          <t>A_VALIDER</t>
        </is>
      </c>
      <c r="N104" s="30" t="inlineStr">
        <is>
          <t>PROPOSITION_V0.4</t>
        </is>
      </c>
      <c r="O104" s="9" t="n"/>
    </row>
    <row r="105" ht="48" customHeight="1" s="34">
      <c r="A105" s="18" t="inlineStr">
        <is>
          <t>PIP-ACT-C-C1-001</t>
        </is>
      </c>
      <c r="B105" s="18" t="inlineStr">
        <is>
          <t>C</t>
        </is>
      </c>
      <c r="C105" s="18" t="inlineStr">
        <is>
          <t>C1</t>
        </is>
      </c>
      <c r="D105" s="18" t="inlineStr">
        <is>
          <t>ACT</t>
        </is>
      </c>
      <c r="E105" s="18" t="inlineStr">
        <is>
          <t>I</t>
        </is>
      </c>
      <c r="F105" s="18" t="inlineStr">
        <is>
          <t>Organiser des informations pour qu’elles soient faciles à retrouver et à utiliser.</t>
        </is>
      </c>
      <c r="G105" s="22" t="inlineStr">
        <is>
          <t>UTILE</t>
        </is>
      </c>
      <c r="H105" s="20" t="inlineStr">
        <is>
          <t>Organiser des dossiers ou informations dans une arborescence claire afin qu’ils soient rapidement retrouvés.</t>
        </is>
      </c>
      <c r="I105" s="21" t="inlineStr">
        <is>
          <t>Ancrer l’item dans une expression typique de C/C1 sans ajouter la dimension concurrente I.</t>
        </is>
      </c>
      <c r="J105" s="18" t="inlineStr">
        <is>
          <t>FAIBLE</t>
        </is>
      </c>
      <c r="K105" s="18" t="inlineStr">
        <is>
          <t>MOYEN</t>
        </is>
      </c>
      <c r="L105" s="18" t="inlineStr">
        <is>
          <t>FAIBLE</t>
        </is>
      </c>
      <c r="M105" s="22" t="inlineStr">
        <is>
          <t>A_VALIDER</t>
        </is>
      </c>
      <c r="N105" s="23" t="inlineStr">
        <is>
          <t>PROPOSITION_V0.4</t>
        </is>
      </c>
      <c r="O105" s="24" t="n"/>
    </row>
    <row r="106" ht="48" customHeight="1" s="34">
      <c r="A106" s="25" t="inlineStr">
        <is>
          <t>PIP-ACT-C-C1-002</t>
        </is>
      </c>
      <c r="B106" s="25" t="inlineStr">
        <is>
          <t>C</t>
        </is>
      </c>
      <c r="C106" s="25" t="inlineStr">
        <is>
          <t>C1</t>
        </is>
      </c>
      <c r="D106" s="25" t="inlineStr">
        <is>
          <t>ACT</t>
        </is>
      </c>
      <c r="E106" s="25" t="inlineStr">
        <is>
          <t>I</t>
        </is>
      </c>
      <c r="F106" s="25" t="inlineStr">
        <is>
          <t>Classer des documents ou des données selon une structure claire.</t>
        </is>
      </c>
      <c r="G106" s="29" t="inlineStr">
        <is>
          <t>UTILE</t>
        </is>
      </c>
      <c r="H106" s="27" t="inlineStr">
        <is>
          <t>Classer des documents ou des données selon des catégories et des règles définies.</t>
        </is>
      </c>
      <c r="I106" s="28" t="inlineStr">
        <is>
          <t>Ancrer l’item dans une expression typique de C/C1 sans ajouter la dimension concurrente I.</t>
        </is>
      </c>
      <c r="J106" s="25" t="inlineStr">
        <is>
          <t>FAIBLE</t>
        </is>
      </c>
      <c r="K106" s="25" t="inlineStr">
        <is>
          <t>MOYEN</t>
        </is>
      </c>
      <c r="L106" s="25" t="inlineStr">
        <is>
          <t>FAIBLE</t>
        </is>
      </c>
      <c r="M106" s="29" t="inlineStr">
        <is>
          <t>A_VALIDER</t>
        </is>
      </c>
      <c r="N106" s="30" t="inlineStr">
        <is>
          <t>PROPOSITION_V0.4</t>
        </is>
      </c>
      <c r="O106" s="9" t="n"/>
    </row>
    <row r="107" ht="48" customHeight="1" s="34">
      <c r="A107" s="25" t="inlineStr">
        <is>
          <t>PIP-SIT-C-C1-003</t>
        </is>
      </c>
      <c r="B107" s="25" t="inlineStr">
        <is>
          <t>C</t>
        </is>
      </c>
      <c r="C107" s="25" t="inlineStr">
        <is>
          <t>C1</t>
        </is>
      </c>
      <c r="D107" s="25" t="inlineStr">
        <is>
          <t>SIT</t>
        </is>
      </c>
      <c r="E107" s="25" t="inlineStr">
        <is>
          <t>I</t>
        </is>
      </c>
      <c r="F107" s="25" t="inlineStr">
        <is>
          <t>Remettre de l’ordre dans un ensemble d’informations dispersées afin qu’il devienne exploitable.</t>
        </is>
      </c>
      <c r="G107" s="29" t="inlineStr">
        <is>
          <t>UTILE</t>
        </is>
      </c>
      <c r="H107" s="27" t="inlineStr">
        <is>
          <t>Reprendre un ensemble de fichiers ou d’informations dispersés et les réorganiser pour qu’ils deviennent faciles à utiliser.</t>
        </is>
      </c>
      <c r="I107" s="28" t="inlineStr">
        <is>
          <t>Ancrer l’item dans une expression typique de C/C1 sans ajouter la dimension concurrente I.</t>
        </is>
      </c>
      <c r="J107" s="25" t="inlineStr">
        <is>
          <t>FAIBLE</t>
        </is>
      </c>
      <c r="K107" s="25" t="inlineStr">
        <is>
          <t>MOYEN</t>
        </is>
      </c>
      <c r="L107" s="25" t="inlineStr">
        <is>
          <t>FAIBLE</t>
        </is>
      </c>
      <c r="M107" s="29" t="inlineStr">
        <is>
          <t>A_VALIDER</t>
        </is>
      </c>
      <c r="N107" s="30" t="inlineStr">
        <is>
          <t>PROPOSITION_V0.4</t>
        </is>
      </c>
      <c r="O107" s="9" t="n"/>
    </row>
    <row r="108" ht="48" customHeight="1" s="34">
      <c r="A108" s="25" t="inlineStr">
        <is>
          <t>PIP-ENV-C-C1-004</t>
        </is>
      </c>
      <c r="B108" s="25" t="inlineStr">
        <is>
          <t>C</t>
        </is>
      </c>
      <c r="C108" s="25" t="inlineStr">
        <is>
          <t>C1</t>
        </is>
      </c>
      <c r="D108" s="25" t="inlineStr">
        <is>
          <t>ENV</t>
        </is>
      </c>
      <c r="E108" s="25" t="inlineStr">
        <is>
          <t>I</t>
        </is>
      </c>
      <c r="F108" s="25" t="inlineStr">
        <is>
          <t>Travailler dans un contexte où l’organisation claire des informations et des ressources est essentielle au bon fonctionnement.</t>
        </is>
      </c>
      <c r="G108" s="26" t="inlineStr">
        <is>
          <t>FORTE</t>
        </is>
      </c>
      <c r="H108" s="27" t="inlineStr">
        <is>
          <t>Travailler dans un contexte où l’ordre et l’organisation des informations sont indispensables au fonctionnement quotidien.</t>
        </is>
      </c>
      <c r="I108" s="28" t="inlineStr">
        <is>
          <t>Ancrer l’item dans une expression typique de C/C1 sans ajouter la dimension concurrente I.</t>
        </is>
      </c>
      <c r="J108" s="25" t="inlineStr">
        <is>
          <t>FAIBLE</t>
        </is>
      </c>
      <c r="K108" s="25" t="inlineStr">
        <is>
          <t>MOYEN</t>
        </is>
      </c>
      <c r="L108" s="25" t="inlineStr">
        <is>
          <t>FAIBLE</t>
        </is>
      </c>
      <c r="M108" s="29" t="inlineStr">
        <is>
          <t>A_VALIDER</t>
        </is>
      </c>
      <c r="N108" s="30" t="inlineStr">
        <is>
          <t>PROPOSITION_V0.4</t>
        </is>
      </c>
      <c r="O108" s="9" t="n"/>
    </row>
    <row r="109" ht="48" customHeight="1" s="34">
      <c r="A109" s="25" t="inlineStr">
        <is>
          <t>PIP-ACT-C-C2-005</t>
        </is>
      </c>
      <c r="B109" s="25" t="inlineStr">
        <is>
          <t>C</t>
        </is>
      </c>
      <c r="C109" s="25" t="inlineStr">
        <is>
          <t>C2</t>
        </is>
      </c>
      <c r="D109" s="25" t="inlineStr">
        <is>
          <t>ACT</t>
        </is>
      </c>
      <c r="E109" s="25" t="inlineStr">
        <is>
          <t>I</t>
        </is>
      </c>
      <c r="F109" s="25" t="inlineStr">
        <is>
          <t>Enregistrer avec précision des informations dans un dossier ou un système.</t>
        </is>
      </c>
      <c r="G109" s="26" t="inlineStr">
        <is>
          <t>FORTE</t>
        </is>
      </c>
      <c r="H109" s="27" t="inlineStr">
        <is>
          <t>Saisir avec précision des informations dans un dossier, une base ou un système de suivi.</t>
        </is>
      </c>
      <c r="I109" s="28" t="inlineStr">
        <is>
          <t>Ancrer l’item dans une expression typique de C/C2 sans ajouter la dimension concurrente I.</t>
        </is>
      </c>
      <c r="J109" s="25" t="inlineStr">
        <is>
          <t>FAIBLE</t>
        </is>
      </c>
      <c r="K109" s="25" t="inlineStr">
        <is>
          <t>MOYEN</t>
        </is>
      </c>
      <c r="L109" s="25" t="inlineStr">
        <is>
          <t>MOYEN</t>
        </is>
      </c>
      <c r="M109" s="29" t="inlineStr">
        <is>
          <t>A_VALIDER</t>
        </is>
      </c>
      <c r="N109" s="30" t="inlineStr">
        <is>
          <t>PROPOSITION_V0.4</t>
        </is>
      </c>
      <c r="O109" s="9" t="n"/>
    </row>
    <row r="110" ht="48" customHeight="1" s="34">
      <c r="A110" s="25" t="inlineStr">
        <is>
          <t>PIP-ACT-C-C2-006</t>
        </is>
      </c>
      <c r="B110" s="25" t="inlineStr">
        <is>
          <t>C</t>
        </is>
      </c>
      <c r="C110" s="25" t="inlineStr">
        <is>
          <t>C2</t>
        </is>
      </c>
      <c r="D110" s="25" t="inlineStr">
        <is>
          <t>ACT</t>
        </is>
      </c>
      <c r="E110" s="25" t="inlineStr">
        <is>
          <t>I</t>
        </is>
      </c>
      <c r="F110" s="25" t="inlineStr">
        <is>
          <t>Mettre régulièrement à jour des données pour qu’elles restent fiables.</t>
        </is>
      </c>
      <c r="G110" s="29" t="inlineStr">
        <is>
          <t>UTILE</t>
        </is>
      </c>
      <c r="H110" s="27" t="inlineStr">
        <is>
          <t>Mettre à jour régulièrement un fichier de suivi afin que les informations restent exactes et actuelles.</t>
        </is>
      </c>
      <c r="I110" s="28" t="inlineStr">
        <is>
          <t>Ancrer l’item dans une expression typique de C/C2 sans ajouter la dimension concurrente I.</t>
        </is>
      </c>
      <c r="J110" s="25" t="inlineStr">
        <is>
          <t>FAIBLE</t>
        </is>
      </c>
      <c r="K110" s="25" t="inlineStr">
        <is>
          <t>MOYEN</t>
        </is>
      </c>
      <c r="L110" s="25" t="inlineStr">
        <is>
          <t>FAIBLE</t>
        </is>
      </c>
      <c r="M110" s="29" t="inlineStr">
        <is>
          <t>A_VALIDER</t>
        </is>
      </c>
      <c r="N110" s="30" t="inlineStr">
        <is>
          <t>PROPOSITION_V0.4</t>
        </is>
      </c>
      <c r="O110" s="9" t="n"/>
    </row>
    <row r="111" ht="48" customHeight="1" s="34">
      <c r="A111" s="25" t="inlineStr">
        <is>
          <t>PIP-SIT-C-C2-007</t>
        </is>
      </c>
      <c r="B111" s="25" t="inlineStr">
        <is>
          <t>C</t>
        </is>
      </c>
      <c r="C111" s="25" t="inlineStr">
        <is>
          <t>C2</t>
        </is>
      </c>
      <c r="D111" s="25" t="inlineStr">
        <is>
          <t>SIT</t>
        </is>
      </c>
      <c r="E111" s="25" t="inlineStr">
        <is>
          <t>I</t>
        </is>
      </c>
      <c r="F111" s="25" t="inlineStr">
        <is>
          <t>Reprendre un ensemble d’informations incomplètes et les mettre à jour de manière méthodique.</t>
        </is>
      </c>
      <c r="G111" s="29" t="inlineStr">
        <is>
          <t>UTILE</t>
        </is>
      </c>
      <c r="H111" s="27" t="inlineStr">
        <is>
          <t>Reprendre un dossier contenant des informations manquantes, les compléter et vérifier qu’il est à jour.</t>
        </is>
      </c>
      <c r="I111" s="28" t="inlineStr">
        <is>
          <t>Ancrer l’item dans une expression typique de C/C2 sans ajouter la dimension concurrente I.</t>
        </is>
      </c>
      <c r="J111" s="25" t="inlineStr">
        <is>
          <t>FAIBLE</t>
        </is>
      </c>
      <c r="K111" s="25" t="inlineStr">
        <is>
          <t>MOYEN</t>
        </is>
      </c>
      <c r="L111" s="25" t="inlineStr">
        <is>
          <t>FAIBLE</t>
        </is>
      </c>
      <c r="M111" s="29" t="inlineStr">
        <is>
          <t>A_VALIDER</t>
        </is>
      </c>
      <c r="N111" s="30" t="inlineStr">
        <is>
          <t>PROPOSITION_V0.4</t>
        </is>
      </c>
      <c r="O111" s="9" t="n"/>
    </row>
    <row r="112" ht="48" customHeight="1" s="34">
      <c r="A112" s="25" t="inlineStr">
        <is>
          <t>PIP-ENV-C-C2-008</t>
        </is>
      </c>
      <c r="B112" s="25" t="inlineStr">
        <is>
          <t>C</t>
        </is>
      </c>
      <c r="C112" s="25" t="inlineStr">
        <is>
          <t>C2</t>
        </is>
      </c>
      <c r="D112" s="25" t="inlineStr">
        <is>
          <t>ENV</t>
        </is>
      </c>
      <c r="E112" s="25" t="inlineStr">
        <is>
          <t>I</t>
        </is>
      </c>
      <c r="F112" s="25" t="inlineStr">
        <is>
          <t>Évoluer dans un contexte où la tenue à jour et la traçabilité des informations occupent une place importante.</t>
        </is>
      </c>
      <c r="G112" s="26" t="inlineStr">
        <is>
          <t>FORTE</t>
        </is>
      </c>
      <c r="H112" s="27" t="inlineStr">
        <is>
          <t>Évoluer dans un environnement où la tenue à jour et la traçabilité des informations sont essentielles.</t>
        </is>
      </c>
      <c r="I112" s="28" t="inlineStr">
        <is>
          <t>Ancrer l’item dans une expression typique de C/C2 sans ajouter la dimension concurrente I.</t>
        </is>
      </c>
      <c r="J112" s="25" t="inlineStr">
        <is>
          <t>FAIBLE</t>
        </is>
      </c>
      <c r="K112" s="25" t="inlineStr">
        <is>
          <t>MOYEN</t>
        </is>
      </c>
      <c r="L112" s="25" t="inlineStr">
        <is>
          <t>FAIBLE</t>
        </is>
      </c>
      <c r="M112" s="29" t="inlineStr">
        <is>
          <t>A_VALIDER</t>
        </is>
      </c>
      <c r="N112" s="30" t="inlineStr">
        <is>
          <t>PROPOSITION_V0.4</t>
        </is>
      </c>
      <c r="O112" s="9" t="n"/>
    </row>
    <row r="113" ht="48" customHeight="1" s="34">
      <c r="A113" s="25" t="inlineStr">
        <is>
          <t>PIP-ACT-C-C3-009</t>
        </is>
      </c>
      <c r="B113" s="25" t="inlineStr">
        <is>
          <t>C</t>
        </is>
      </c>
      <c r="C113" s="25" t="inlineStr">
        <is>
          <t>C3</t>
        </is>
      </c>
      <c r="D113" s="25" t="inlineStr">
        <is>
          <t>ACT</t>
        </is>
      </c>
      <c r="E113" s="25" t="inlineStr">
        <is>
          <t>I</t>
        </is>
      </c>
      <c r="F113" s="25" t="inlineStr">
        <is>
          <t>Vérifier l’exactitude d’informations avant qu’elles soient utilisées.</t>
        </is>
      </c>
      <c r="G113" s="29" t="inlineStr">
        <is>
          <t>UTILE</t>
        </is>
      </c>
      <c r="H113" s="27" t="inlineStr">
        <is>
          <t>Contrôler des informations avant leur utilisation afin de vérifier qu’elles sont exactes et complètes.</t>
        </is>
      </c>
      <c r="I113" s="28" t="inlineStr">
        <is>
          <t>Ancrer l’item dans une expression typique de C/C3 sans ajouter la dimension concurrente I.</t>
        </is>
      </c>
      <c r="J113" s="25" t="inlineStr">
        <is>
          <t>FAIBLE</t>
        </is>
      </c>
      <c r="K113" s="25" t="inlineStr">
        <is>
          <t>MOYEN</t>
        </is>
      </c>
      <c r="L113" s="25" t="inlineStr">
        <is>
          <t>FAIBLE</t>
        </is>
      </c>
      <c r="M113" s="29" t="inlineStr">
        <is>
          <t>A_VALIDER</t>
        </is>
      </c>
      <c r="N113" s="30" t="inlineStr">
        <is>
          <t>PROPOSITION_V0.4</t>
        </is>
      </c>
      <c r="O113" s="9" t="n"/>
    </row>
    <row r="114" ht="48" customHeight="1" s="34">
      <c r="A114" s="25" t="inlineStr">
        <is>
          <t>PIP-ACT-C-C3-010</t>
        </is>
      </c>
      <c r="B114" s="25" t="inlineStr">
        <is>
          <t>C</t>
        </is>
      </c>
      <c r="C114" s="25" t="inlineStr">
        <is>
          <t>C3</t>
        </is>
      </c>
      <c r="D114" s="25" t="inlineStr">
        <is>
          <t>ACT</t>
        </is>
      </c>
      <c r="E114" s="25" t="inlineStr">
        <is>
          <t>I</t>
        </is>
      </c>
      <c r="F114" s="25" t="inlineStr">
        <is>
          <t>Comparer plusieurs données pour repérer une erreur ou une incohérence.</t>
        </is>
      </c>
      <c r="G114" s="26" t="inlineStr">
        <is>
          <t>FORTE</t>
        </is>
      </c>
      <c r="H114" s="27" t="inlineStr">
        <is>
          <t>Comparer des données entre plusieurs documents pour repérer une erreur, un écart ou une incohérence.</t>
        </is>
      </c>
      <c r="I114" s="28" t="inlineStr">
        <is>
          <t>Ancrer l’item dans une expression typique de C/C3 sans ajouter la dimension concurrente I.</t>
        </is>
      </c>
      <c r="J114" s="25" t="inlineStr">
        <is>
          <t>MOYEN</t>
        </is>
      </c>
      <c r="K114" s="25" t="inlineStr">
        <is>
          <t>MOYEN</t>
        </is>
      </c>
      <c r="L114" s="25" t="inlineStr">
        <is>
          <t>FAIBLE</t>
        </is>
      </c>
      <c r="M114" s="29" t="inlineStr">
        <is>
          <t>A_VALIDER</t>
        </is>
      </c>
      <c r="N114" s="30" t="inlineStr">
        <is>
          <t>PROPOSITION_V0.4</t>
        </is>
      </c>
      <c r="O114" s="9" t="n"/>
    </row>
    <row r="115" ht="48" customHeight="1" s="34">
      <c r="A115" s="25" t="inlineStr">
        <is>
          <t>PIP-SIT-C-C3-011</t>
        </is>
      </c>
      <c r="B115" s="25" t="inlineStr">
        <is>
          <t>C</t>
        </is>
      </c>
      <c r="C115" s="25" t="inlineStr">
        <is>
          <t>C3</t>
        </is>
      </c>
      <c r="D115" s="25" t="inlineStr">
        <is>
          <t>SIT</t>
        </is>
      </c>
      <c r="E115" s="25" t="inlineStr">
        <is>
          <t>I</t>
        </is>
      </c>
      <c r="F115" s="25" t="inlineStr">
        <is>
          <t>Contrôler un dossier afin de s’assurer que toutes les informations nécessaires sont présentes et exactes.</t>
        </is>
      </c>
      <c r="G115" s="26" t="inlineStr">
        <is>
          <t>FORTE</t>
        </is>
      </c>
      <c r="H115" s="27" t="inlineStr">
        <is>
          <t>Vérifier méthodiquement un dossier avant validation pour s’assurer qu’aucune information nécessaire ne manque.</t>
        </is>
      </c>
      <c r="I115" s="28" t="inlineStr">
        <is>
          <t>Ancrer l’item dans une expression typique de C/C3 sans ajouter la dimension concurrente I.</t>
        </is>
      </c>
      <c r="J115" s="25" t="inlineStr">
        <is>
          <t>FAIBLE</t>
        </is>
      </c>
      <c r="K115" s="25" t="inlineStr">
        <is>
          <t>MOYEN</t>
        </is>
      </c>
      <c r="L115" s="25" t="inlineStr">
        <is>
          <t>MOYEN</t>
        </is>
      </c>
      <c r="M115" s="29" t="inlineStr">
        <is>
          <t>A_VALIDER</t>
        </is>
      </c>
      <c r="N115" s="30" t="inlineStr">
        <is>
          <t>PROPOSITION_V0.4</t>
        </is>
      </c>
      <c r="O115" s="9" t="n"/>
    </row>
    <row r="116" ht="48" customHeight="1" s="34">
      <c r="A116" s="25" t="inlineStr">
        <is>
          <t>PIP-ENV-C-C3-012</t>
        </is>
      </c>
      <c r="B116" s="25" t="inlineStr">
        <is>
          <t>C</t>
        </is>
      </c>
      <c r="C116" s="25" t="inlineStr">
        <is>
          <t>C3</t>
        </is>
      </c>
      <c r="D116" s="25" t="inlineStr">
        <is>
          <t>ENV</t>
        </is>
      </c>
      <c r="E116" s="25" t="inlineStr">
        <is>
          <t>I</t>
        </is>
      </c>
      <c r="F116" s="25" t="inlineStr">
        <is>
          <t>Travailler dans un contexte où la fiabilité des données et les vérifications régulières sont importantes.</t>
        </is>
      </c>
      <c r="G116" s="29" t="inlineStr">
        <is>
          <t>UTILE</t>
        </is>
      </c>
      <c r="H116" s="27" t="inlineStr">
        <is>
          <t>Travailler dans un contexte où les contrôles de cohérence et la fiabilité des données sont réalisés régulièrement.</t>
        </is>
      </c>
      <c r="I116" s="28" t="inlineStr">
        <is>
          <t>Ancrer l’item dans une expression typique de C/C3 sans ajouter la dimension concurrente I.</t>
        </is>
      </c>
      <c r="J116" s="25" t="inlineStr">
        <is>
          <t>FAIBLE</t>
        </is>
      </c>
      <c r="K116" s="25" t="inlineStr">
        <is>
          <t>MOYEN</t>
        </is>
      </c>
      <c r="L116" s="25" t="inlineStr">
        <is>
          <t>FAIBLE</t>
        </is>
      </c>
      <c r="M116" s="29" t="inlineStr">
        <is>
          <t>A_VALIDER</t>
        </is>
      </c>
      <c r="N116" s="30" t="inlineStr">
        <is>
          <t>PROPOSITION_V0.4</t>
        </is>
      </c>
      <c r="O116" s="9" t="n"/>
    </row>
    <row r="117" ht="48" customHeight="1" s="34">
      <c r="A117" s="25" t="inlineStr">
        <is>
          <t>PIP-ACT-C-C4-013</t>
        </is>
      </c>
      <c r="B117" s="25" t="inlineStr">
        <is>
          <t>C</t>
        </is>
      </c>
      <c r="C117" s="25" t="inlineStr">
        <is>
          <t>C4</t>
        </is>
      </c>
      <c r="D117" s="25" t="inlineStr">
        <is>
          <t>ACT</t>
        </is>
      </c>
      <c r="E117" s="25" t="inlineStr">
        <is>
          <t>R,I</t>
        </is>
      </c>
      <c r="F117" s="25" t="inlineStr">
        <is>
          <t>Suivre une procédure définie pour réaliser une opération de façon conforme.</t>
        </is>
      </c>
      <c r="G117" s="26" t="inlineStr">
        <is>
          <t>FORTE</t>
        </is>
      </c>
      <c r="H117" s="27" t="inlineStr">
        <is>
          <t>Réaliser une opération en suivant une procédure précise afin de respecter les règles prévues.</t>
        </is>
      </c>
      <c r="I117" s="28" t="inlineStr">
        <is>
          <t>Ancrer l’item dans une expression typique de C/C4 sans ajouter la dimension concurrente R,I.</t>
        </is>
      </c>
      <c r="J117" s="25" t="inlineStr">
        <is>
          <t>FAIBLE</t>
        </is>
      </c>
      <c r="K117" s="25" t="inlineStr">
        <is>
          <t>MOYEN</t>
        </is>
      </c>
      <c r="L117" s="25" t="inlineStr">
        <is>
          <t>MOYEN</t>
        </is>
      </c>
      <c r="M117" s="29" t="inlineStr">
        <is>
          <t>A_VALIDER</t>
        </is>
      </c>
      <c r="N117" s="30" t="inlineStr">
        <is>
          <t>PROPOSITION_V0.4</t>
        </is>
      </c>
      <c r="O117" s="9" t="n"/>
    </row>
    <row r="118" ht="48" customHeight="1" s="34">
      <c r="A118" s="25" t="inlineStr">
        <is>
          <t>PIP-ACT-C-C4-014</t>
        </is>
      </c>
      <c r="B118" s="25" t="inlineStr">
        <is>
          <t>C</t>
        </is>
      </c>
      <c r="C118" s="25" t="inlineStr">
        <is>
          <t>C4</t>
        </is>
      </c>
      <c r="D118" s="25" t="inlineStr">
        <is>
          <t>ACT</t>
        </is>
      </c>
      <c r="E118" s="25" t="inlineStr">
        <is>
          <t>R,I</t>
        </is>
      </c>
      <c r="F118" s="25" t="inlineStr">
        <is>
          <t>Vérifier qu’une activité respecte des règles ou des critères précis.</t>
        </is>
      </c>
      <c r="G118" s="29" t="inlineStr">
        <is>
          <t>UTILE</t>
        </is>
      </c>
      <c r="H118" s="27" t="inlineStr">
        <is>
          <t>Contrôler qu’une opération, un dossier ou une activité respecte les critères et règles applicables.</t>
        </is>
      </c>
      <c r="I118" s="28" t="inlineStr">
        <is>
          <t>Ancrer l’item dans une expression typique de C/C4 sans ajouter la dimension concurrente R,I.</t>
        </is>
      </c>
      <c r="J118" s="25" t="inlineStr">
        <is>
          <t>FAIBLE</t>
        </is>
      </c>
      <c r="K118" s="25" t="inlineStr">
        <is>
          <t>MOYEN</t>
        </is>
      </c>
      <c r="L118" s="25" t="inlineStr">
        <is>
          <t>FAIBLE</t>
        </is>
      </c>
      <c r="M118" s="29" t="inlineStr">
        <is>
          <t>A_VALIDER</t>
        </is>
      </c>
      <c r="N118" s="30" t="inlineStr">
        <is>
          <t>PROPOSITION_V0.4</t>
        </is>
      </c>
      <c r="O118" s="9" t="n"/>
    </row>
    <row r="119" ht="48" customHeight="1" s="34">
      <c r="A119" s="25" t="inlineStr">
        <is>
          <t>PIP-SIT-C-C4-015</t>
        </is>
      </c>
      <c r="B119" s="25" t="inlineStr">
        <is>
          <t>C</t>
        </is>
      </c>
      <c r="C119" s="25" t="inlineStr">
        <is>
          <t>C4</t>
        </is>
      </c>
      <c r="D119" s="25" t="inlineStr">
        <is>
          <t>SIT</t>
        </is>
      </c>
      <c r="E119" s="25" t="inlineStr">
        <is>
          <t>R,I</t>
        </is>
      </c>
      <c r="F119" s="25" t="inlineStr">
        <is>
          <t>Traiter une situation en appliquant méthodiquement les règles prévues pour ce type de cas.</t>
        </is>
      </c>
      <c r="G119" s="29" t="inlineStr">
        <is>
          <t>UTILE</t>
        </is>
      </c>
      <c r="H119" s="27" t="inlineStr">
        <is>
          <t>Traiter un cas en suivant méthodiquement les étapes prévues par la procédure correspondante.</t>
        </is>
      </c>
      <c r="I119" s="28" t="inlineStr">
        <is>
          <t>Ancrer l’item dans une expression typique de C/C4 sans ajouter la dimension concurrente R,I.</t>
        </is>
      </c>
      <c r="J119" s="25" t="inlineStr">
        <is>
          <t>FAIBLE</t>
        </is>
      </c>
      <c r="K119" s="25" t="inlineStr">
        <is>
          <t>MOYEN</t>
        </is>
      </c>
      <c r="L119" s="25" t="inlineStr">
        <is>
          <t>FAIBLE</t>
        </is>
      </c>
      <c r="M119" s="29" t="inlineStr">
        <is>
          <t>A_VALIDER</t>
        </is>
      </c>
      <c r="N119" s="30" t="inlineStr">
        <is>
          <t>PROPOSITION_V0.4</t>
        </is>
      </c>
      <c r="O119" s="9" t="n"/>
    </row>
    <row r="120" ht="48" customHeight="1" s="34">
      <c r="A120" s="25" t="inlineStr">
        <is>
          <t>PIP-ENV-C-C4-016</t>
        </is>
      </c>
      <c r="B120" s="25" t="inlineStr">
        <is>
          <t>C</t>
        </is>
      </c>
      <c r="C120" s="25" t="inlineStr">
        <is>
          <t>C4</t>
        </is>
      </c>
      <c r="D120" s="25" t="inlineStr">
        <is>
          <t>ENV</t>
        </is>
      </c>
      <c r="E120" s="25" t="inlineStr">
        <is>
          <t>R,I</t>
        </is>
      </c>
      <c r="F120" s="25" t="inlineStr">
        <is>
          <t>Évoluer dans un contexte où des procédures et des normes claires permettent de sécuriser le travail.</t>
        </is>
      </c>
      <c r="G120" s="26" t="inlineStr">
        <is>
          <t>FORTE</t>
        </is>
      </c>
      <c r="H120" s="27" t="inlineStr">
        <is>
          <t>Évoluer dans un environnement où des procédures et des normes explicites servent à sécuriser le travail.</t>
        </is>
      </c>
      <c r="I120" s="28" t="inlineStr">
        <is>
          <t>Ancrer l’item dans une expression typique de C/C4 sans ajouter la dimension concurrente R,I.</t>
        </is>
      </c>
      <c r="J120" s="25" t="inlineStr">
        <is>
          <t>FAIBLE</t>
        </is>
      </c>
      <c r="K120" s="25" t="inlineStr">
        <is>
          <t>MOYEN</t>
        </is>
      </c>
      <c r="L120" s="25" t="inlineStr">
        <is>
          <t>MOYEN</t>
        </is>
      </c>
      <c r="M120" s="29" t="inlineStr">
        <is>
          <t>A_VALIDER</t>
        </is>
      </c>
      <c r="N120" s="30" t="inlineStr">
        <is>
          <t>PROPOSITION_V0.4</t>
        </is>
      </c>
      <c r="O120" s="9" t="n"/>
    </row>
    <row r="121" ht="48" customHeight="1" s="34">
      <c r="A121" s="25" t="inlineStr">
        <is>
          <t>PIP-ACT-C-C5-017</t>
        </is>
      </c>
      <c r="B121" s="25" t="inlineStr">
        <is>
          <t>C</t>
        </is>
      </c>
      <c r="C121" s="25" t="inlineStr">
        <is>
          <t>C5</t>
        </is>
      </c>
      <c r="D121" s="25" t="inlineStr">
        <is>
          <t>ACT</t>
        </is>
      </c>
      <c r="E121" s="25" t="inlineStr">
        <is>
          <t>E</t>
        </is>
      </c>
      <c r="F121" s="25" t="inlineStr">
        <is>
          <t>Suivre l’avancement d’un dossier jusqu’à sa clôture.</t>
        </is>
      </c>
      <c r="G121" s="26" t="inlineStr">
        <is>
          <t>FORTE</t>
        </is>
      </c>
      <c r="H121" s="27" t="inlineStr">
        <is>
          <t>Suivre un dossier depuis son ouverture jusqu’à sa clôture en vérifiant que chaque étape est réalisée.</t>
        </is>
      </c>
      <c r="I121" s="28" t="inlineStr">
        <is>
          <t>Ancrer l’item dans une expression typique de C/C5 sans ajouter la dimension concurrente E.</t>
        </is>
      </c>
      <c r="J121" s="25" t="inlineStr">
        <is>
          <t>FAIBLE</t>
        </is>
      </c>
      <c r="K121" s="25" t="inlineStr">
        <is>
          <t>MOYEN</t>
        </is>
      </c>
      <c r="L121" s="25" t="inlineStr">
        <is>
          <t>MOYEN</t>
        </is>
      </c>
      <c r="M121" s="29" t="inlineStr">
        <is>
          <t>A_VALIDER</t>
        </is>
      </c>
      <c r="N121" s="30" t="inlineStr">
        <is>
          <t>PROPOSITION_V0.4</t>
        </is>
      </c>
      <c r="O121" s="9" t="n"/>
    </row>
    <row r="122" ht="48" customHeight="1" s="34">
      <c r="A122" s="25" t="inlineStr">
        <is>
          <t>PIP-ACT-C-C5-018</t>
        </is>
      </c>
      <c r="B122" s="25" t="inlineStr">
        <is>
          <t>C</t>
        </is>
      </c>
      <c r="C122" s="25" t="inlineStr">
        <is>
          <t>C5</t>
        </is>
      </c>
      <c r="D122" s="25" t="inlineStr">
        <is>
          <t>ACT</t>
        </is>
      </c>
      <c r="E122" s="25" t="inlineStr">
        <is>
          <t>E</t>
        </is>
      </c>
      <c r="F122" s="25" t="inlineStr">
        <is>
          <t>Planifier et suivre des échéances pour que plusieurs opérations soient réalisées au bon moment.</t>
        </is>
      </c>
      <c r="G122" s="26" t="inlineStr">
        <is>
          <t>FORTE</t>
        </is>
      </c>
      <c r="H122" s="27" t="inlineStr">
        <is>
          <t>Planifier plusieurs échéances et vérifier régulièrement que les opérations prévues sont réalisées au bon moment.</t>
        </is>
      </c>
      <c r="I122" s="28" t="inlineStr">
        <is>
          <t>Ancrer l’item dans une expression typique de C/C5 sans ajouter la dimension concurrente E.</t>
        </is>
      </c>
      <c r="J122" s="25" t="inlineStr">
        <is>
          <t>MOYEN</t>
        </is>
      </c>
      <c r="K122" s="25" t="inlineStr">
        <is>
          <t>MOYEN</t>
        </is>
      </c>
      <c r="L122" s="25" t="inlineStr">
        <is>
          <t>FAIBLE</t>
        </is>
      </c>
      <c r="M122" s="29" t="inlineStr">
        <is>
          <t>A_VALIDER</t>
        </is>
      </c>
      <c r="N122" s="30" t="inlineStr">
        <is>
          <t>PROPOSITION_V0.4</t>
        </is>
      </c>
      <c r="O122" s="9" t="n"/>
    </row>
    <row r="123" ht="48" customHeight="1" s="34">
      <c r="A123" s="25" t="inlineStr">
        <is>
          <t>PIP-SIT-C-C5-019</t>
        </is>
      </c>
      <c r="B123" s="25" t="inlineStr">
        <is>
          <t>C</t>
        </is>
      </c>
      <c r="C123" s="25" t="inlineStr">
        <is>
          <t>C5</t>
        </is>
      </c>
      <c r="D123" s="25" t="inlineStr">
        <is>
          <t>SIT</t>
        </is>
      </c>
      <c r="E123" s="25" t="inlineStr">
        <is>
          <t>E</t>
        </is>
      </c>
      <c r="F123" s="25" t="inlineStr">
        <is>
          <t>Gérer plusieurs dossiers en parallèle en veillant à ce qu’aucune étape ou échéance ne soit oubliée.</t>
        </is>
      </c>
      <c r="G123" s="26" t="inlineStr">
        <is>
          <t>FORTE</t>
        </is>
      </c>
      <c r="H123" s="27" t="inlineStr">
        <is>
          <t>Gérer plusieurs dossiers en parallèle avec un suivi précis des étapes et des dates à respecter.</t>
        </is>
      </c>
      <c r="I123" s="28" t="inlineStr">
        <is>
          <t>Ancrer l’item dans une expression typique de C/C5 sans ajouter la dimension concurrente E.</t>
        </is>
      </c>
      <c r="J123" s="25" t="inlineStr">
        <is>
          <t>FAIBLE</t>
        </is>
      </c>
      <c r="K123" s="25" t="inlineStr">
        <is>
          <t>MOYEN</t>
        </is>
      </c>
      <c r="L123" s="25" t="inlineStr">
        <is>
          <t>MOYEN</t>
        </is>
      </c>
      <c r="M123" s="29" t="inlineStr">
        <is>
          <t>A_VALIDER</t>
        </is>
      </c>
      <c r="N123" s="30" t="inlineStr">
        <is>
          <t>PROPOSITION_V0.4</t>
        </is>
      </c>
      <c r="O123" s="9" t="n"/>
    </row>
    <row r="124" ht="48" customHeight="1" s="34">
      <c r="A124" s="25" t="inlineStr">
        <is>
          <t>PIP-ENV-C-C5-020</t>
        </is>
      </c>
      <c r="B124" s="25" t="inlineStr">
        <is>
          <t>C</t>
        </is>
      </c>
      <c r="C124" s="25" t="inlineStr">
        <is>
          <t>C5</t>
        </is>
      </c>
      <c r="D124" s="25" t="inlineStr">
        <is>
          <t>ENV</t>
        </is>
      </c>
      <c r="E124" s="25" t="inlineStr">
        <is>
          <t>E</t>
        </is>
      </c>
      <c r="F124" s="25" t="inlineStr">
        <is>
          <t>Travailler dans un contexte où l’on assure un suivi régulier de dossiers, de données ou d’opérations jusqu’à leur aboutissement.</t>
        </is>
      </c>
      <c r="G124" s="26" t="inlineStr">
        <is>
          <t>FORTE</t>
        </is>
      </c>
      <c r="H124" s="27" t="inlineStr">
        <is>
          <t>Travailler dans un contexte où l’on suit méthodiquement dossiers, données ou opérations jusqu’à leur aboutissement.</t>
        </is>
      </c>
      <c r="I124" s="28" t="inlineStr">
        <is>
          <t>Ancrer l’item dans une expression typique de C/C5 sans ajouter la dimension concurrente E.</t>
        </is>
      </c>
      <c r="J124" s="25" t="inlineStr">
        <is>
          <t>FAIBLE</t>
        </is>
      </c>
      <c r="K124" s="25" t="inlineStr">
        <is>
          <t>MOYEN</t>
        </is>
      </c>
      <c r="L124" s="25" t="inlineStr">
        <is>
          <t>MOYEN</t>
        </is>
      </c>
      <c r="M124" s="29" t="inlineStr">
        <is>
          <t>A_VALIDER</t>
        </is>
      </c>
      <c r="N124" s="30" t="inlineStr">
        <is>
          <t>PROPOSITION_V0.4</t>
        </is>
      </c>
      <c r="O124" s="9" t="n"/>
    </row>
  </sheetData>
  <autoFilter ref="A4:O124"/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12" customWidth="1" style="34" min="1" max="2"/>
    <col width="24" customWidth="1" style="34" min="3" max="3"/>
    <col width="52" customWidth="1" style="34" min="4" max="4"/>
    <col width="45" customWidth="1" style="34" min="5" max="5"/>
    <col width="62" customWidth="1" style="34" min="6" max="6"/>
    <col width="60" customWidth="1" style="34" min="7" max="7"/>
    <col width="26" customWidth="1" style="34" min="8" max="8"/>
    <col width="16" customWidth="1" style="34" min="9" max="9"/>
    <col width="46" customWidth="1" style="34" min="10" max="10"/>
  </cols>
  <sheetData>
    <row r="1" ht="19.8" customHeight="1" s="34">
      <c r="A1" s="38" t="inlineStr">
        <is>
          <t>RECETTE RÉELLE LIVRABLE 1 — ANOMALIES &amp; DÉCISIONS</t>
        </is>
      </c>
    </row>
    <row r="2">
      <c r="A2" s="39" t="inlineStr">
        <is>
          <t>Constats issus de la première passation réelle sur VPS le 10/09/2026. Cette feuille pilote les corrections sans modifier rétroactivement la méthodologie validée.</t>
        </is>
      </c>
    </row>
    <row r="4">
      <c r="A4" s="32" t="inlineStr">
        <is>
          <t>id</t>
        </is>
      </c>
      <c r="B4" s="32" t="inlineStr">
        <is>
          <t>priorite</t>
        </is>
      </c>
      <c r="C4" s="32" t="inlineStr">
        <is>
          <t>domaine</t>
        </is>
      </c>
      <c r="D4" s="32" t="inlineStr">
        <is>
          <t>constat</t>
        </is>
      </c>
      <c r="E4" s="32" t="inlineStr">
        <is>
          <t>risque_utilisateur</t>
        </is>
      </c>
      <c r="F4" s="32" t="inlineStr">
        <is>
          <t>correction_attendue</t>
        </is>
      </c>
      <c r="G4" s="32" t="inlineStr">
        <is>
          <t>critere_acceptation</t>
        </is>
      </c>
      <c r="H4" s="32" t="inlineStr">
        <is>
          <t>lot</t>
        </is>
      </c>
      <c r="I4" s="32" t="inlineStr">
        <is>
          <t>statut</t>
        </is>
      </c>
      <c r="J4" s="32" t="inlineStr">
        <is>
          <t>notes</t>
        </is>
      </c>
    </row>
    <row r="5" ht="72" customHeight="1" s="34">
      <c r="A5" s="9" t="inlineStr">
        <is>
          <t>REC-001</t>
        </is>
      </c>
      <c r="B5" s="29" t="inlineStr">
        <is>
          <t>HAUTE</t>
        </is>
      </c>
      <c r="C5" s="9" t="inlineStr">
        <is>
          <t>BRANDING</t>
        </is>
      </c>
      <c r="D5" s="9" t="inlineStr">
        <is>
          <t>Logo et identité Clarté360 absents de la passation publique.</t>
        </is>
      </c>
      <c r="E5" s="9" t="inlineStr">
        <is>
          <t>Application perçue comme Streamlit brut ; incohérence Framework.</t>
        </is>
      </c>
      <c r="F5" s="9" t="inlineStr">
        <is>
          <t>Réintégrer le branding Clarté360 et le logo sans gêner la passation mobile.</t>
        </is>
      </c>
      <c r="G5" s="9" t="inlineStr">
        <is>
          <t>Logo/identité visibles sur accueil, passation et fin ; aucune régression mobile.</t>
        </is>
      </c>
      <c r="H5" s="9" t="inlineStr">
        <is>
          <t>CORRECTIF L1</t>
        </is>
      </c>
      <c r="I5" s="30" t="inlineStr">
        <is>
          <t>A_FAIRE</t>
        </is>
      </c>
      <c r="J5" s="9" t="n"/>
    </row>
    <row r="6" ht="72" customHeight="1" s="34">
      <c r="A6" s="9" t="inlineStr">
        <is>
          <t>REC-002</t>
        </is>
      </c>
      <c r="B6" s="26" t="inlineStr">
        <is>
          <t>CRITIQUE</t>
        </is>
      </c>
      <c r="C6" s="9" t="inlineStr">
        <is>
          <t>PARCOURS ACCOMPAGNÉ</t>
        </is>
      </c>
      <c r="D6" s="9" t="inlineStr">
        <is>
          <t>Seul le mode PUBLIC est accessible ; aucune reconnaissance du bénéficiaire disposant d’un compte Clarté360.</t>
        </is>
      </c>
      <c r="E6" s="9" t="inlineStr">
        <is>
          <t>Le parcours accompagné validé n’est pas utilisable.</t>
        </is>
      </c>
      <c r="F6" s="9" t="inlineStr">
        <is>
          <t>Implémenter l’entrée ACCOMPAGNEMENT via identité permanente et future prescription Gestion des actions ; ne pas recréer une identité PIP.</t>
        </is>
      </c>
      <c r="G6" s="9" t="inlineStr">
        <is>
          <t>Un bénéficiaire autorisé arrive en mode ACCOMPAGNEMENT avec son contexte ; le public reste étanche.</t>
        </is>
      </c>
      <c r="H6" s="9" t="inlineStr">
        <is>
          <t>CORRECTIF L1 / CONNECTEUR</t>
        </is>
      </c>
      <c r="I6" s="30" t="inlineStr">
        <is>
          <t>A_FAIRE</t>
        </is>
      </c>
      <c r="J6" s="9" t="inlineStr">
        <is>
          <t>Préparer le connecteur sans contourner les droits Gestion des actions.</t>
        </is>
      </c>
    </row>
    <row r="7" ht="72" customHeight="1" s="34">
      <c r="A7" s="9" t="inlineStr">
        <is>
          <t>REC-003</t>
        </is>
      </c>
      <c r="B7" s="26" t="inlineStr">
        <is>
          <t>CRITIQUE</t>
        </is>
      </c>
      <c r="C7" s="9" t="inlineStr">
        <is>
          <t>SAUVEGARDE / REPRISE</t>
        </is>
      </c>
      <c r="D7" s="9" t="inlineStr">
        <is>
          <t>En mode public, aucune commande visible pour sauvegarder/quitter ou reprendre une passation ; pas de JSON téléchargeable/importable.</t>
        </is>
      </c>
      <c r="E7" s="9" t="inlineStr">
        <is>
          <t>Perte possible après dizaines de réponses ; passation 120 items trop longue pour imposer une seule session.</t>
        </is>
      </c>
      <c r="F7" s="9" t="inlineStr">
        <is>
          <t>Ajouter Sauvegarder et quitter + export JSON de reprise, et Reprendre une passation + import JSON. En accompagné, persistance serveur liée au bénéficiaire.</t>
        </is>
      </c>
      <c r="G7" s="9" t="inlineStr">
        <is>
          <t>À tout moment une passation publique peut être exportée puis reprise au même item avec toutes les réponses ; aucun score intermédiaire révélé.</t>
        </is>
      </c>
      <c r="H7" s="9" t="inlineStr">
        <is>
          <t>CORRECTIF L1</t>
        </is>
      </c>
      <c r="I7" s="30" t="inlineStr">
        <is>
          <t>A_FAIRE</t>
        </is>
      </c>
      <c r="J7" s="9" t="n"/>
    </row>
    <row r="8" ht="72" customHeight="1" s="34">
      <c r="A8" s="9" t="inlineStr">
        <is>
          <t>REC-004</t>
        </is>
      </c>
      <c r="B8" s="26" t="inlineStr">
        <is>
          <t>CRITIQUE</t>
        </is>
      </c>
      <c r="C8" s="9" t="inlineStr">
        <is>
          <t>FIN DE PARCOURS</t>
        </is>
      </c>
      <c r="D8" s="9" t="inlineStr">
        <is>
          <t>Après la question 120, écran d’impasse : scoring calculé mais aucune suite visible.</t>
        </is>
      </c>
      <c r="E8" s="9" t="inlineStr">
        <is>
          <t>Le bénéficiaire ne reçoit pas de résultat et ne peut pas terminer normalement.</t>
        </is>
      </c>
      <c r="F8" s="9" t="inlineStr">
        <is>
          <t>Enchaîner automatiquement selon le parcours : PIP seul → restitution PIP puis ressenti ; PIP+O*NET → O*NET avant toute restitution PIP.</t>
        </is>
      </c>
      <c r="G8" s="9" t="inlineStr">
        <is>
          <t>Aucune fin morte ; le parcours respecte strictement la règle anti-influence O*NET.</t>
        </is>
      </c>
      <c r="H8" s="9" t="inlineStr">
        <is>
          <t>CORRECTIF L1</t>
        </is>
      </c>
      <c r="I8" s="30" t="inlineStr">
        <is>
          <t>A_FAIRE</t>
        </is>
      </c>
      <c r="J8" s="9" t="n"/>
    </row>
    <row r="9" ht="72" customHeight="1" s="34">
      <c r="A9" s="9" t="inlineStr">
        <is>
          <t>REC-005</t>
        </is>
      </c>
      <c r="B9" s="26" t="inlineStr">
        <is>
          <t>CRITIQUE</t>
        </is>
      </c>
      <c r="C9" s="9" t="inlineStr">
        <is>
          <t>MÉTHODOLOGIE ITEMS</t>
        </is>
      </c>
      <c r="D9" s="9" t="inlineStr">
        <is>
          <t>De nombreux items sont trop abstraits/génériques ; l’utilisateur peut projeter des contextes très différents et se sentir attiré presque partout.</t>
        </is>
      </c>
      <c r="E9" s="9" t="inlineStr">
        <is>
          <t>Aplatissement des scores vers le haut ; baisse du pouvoir discriminant ; hybridité RIASEC.</t>
        </is>
      </c>
      <c r="F9" s="9" t="inlineStr">
        <is>
          <t>Auditer les 120 items et proposer un exemple concret contextualisant chaque item sans changer la formulation source ni le scoring.</t>
        </is>
      </c>
      <c r="G9" s="9" t="inlineStr">
        <is>
          <t>Chaque exemple ancre la dimension/facette cible, évite la dimension concurrente et reste neutre ; validation méthodologique avant affichage.</t>
        </is>
      </c>
      <c r="H9" s="9" t="inlineStr">
        <is>
          <t>REVUE BANQUE V0.4</t>
        </is>
      </c>
      <c r="I9" s="30" t="inlineStr">
        <is>
          <t>EN_COURS</t>
        </is>
      </c>
      <c r="J9" s="9" t="inlineStr">
        <is>
          <t>Exemple observé : A2 « agencer plusieurs éléments » peut être interprété intellectuellement ou manuellement.</t>
        </is>
      </c>
    </row>
    <row r="10" ht="72" customHeight="1" s="34">
      <c r="A10" s="9" t="inlineStr">
        <is>
          <t>REC-006</t>
        </is>
      </c>
      <c r="B10" s="29" t="inlineStr">
        <is>
          <t>HAUTE</t>
        </is>
      </c>
      <c r="C10" s="9" t="inlineStr">
        <is>
          <t>ERGONOMIE / FATIGUE</t>
        </is>
      </c>
      <c r="D10" s="9" t="inlineStr">
        <is>
          <t>120 items en séquence peuvent générer fatigue et abandon.</t>
        </is>
      </c>
      <c r="E10" s="9" t="inlineStr">
        <is>
          <t>Baisse de qualité de réponse en fin de passation.</t>
        </is>
      </c>
      <c r="F10" s="9" t="inlineStr">
        <is>
          <t>Conserver progression, transitions de blocs, possibilité de pause/sauvegarde et reprise sans perte.</t>
        </is>
      </c>
      <c r="G10" s="9" t="inlineStr">
        <is>
          <t>La personne peut interrompre sans perdre ses réponses ; transitions neutres entre blocs.</t>
        </is>
      </c>
      <c r="H10" s="9" t="inlineStr">
        <is>
          <t>CORRECTIF L1</t>
        </is>
      </c>
      <c r="I10" s="30" t="inlineStr">
        <is>
          <t>A_FAIRE</t>
        </is>
      </c>
      <c r="J10" s="9" t="n"/>
    </row>
  </sheetData>
  <autoFilter ref="A4:J10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J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34" customWidth="1" style="34" min="1" max="1"/>
    <col width="23" customWidth="1" style="34" min="2" max="2"/>
    <col width="40" customWidth="1" style="34" min="3" max="3"/>
    <col width="13" customWidth="1" style="34" min="4" max="4"/>
    <col width="19" customWidth="1" style="34" min="5" max="5"/>
    <col width="15" customWidth="1" style="34" min="6" max="6"/>
    <col width="18" customWidth="1" style="34" min="7" max="7"/>
    <col width="11" customWidth="1" style="34" min="8" max="8"/>
    <col width="15" customWidth="1" style="34" min="9" max="9"/>
    <col width="40" customWidth="1" style="34" min="10" max="10"/>
  </cols>
  <sheetData>
    <row r="1" ht="25.95" customHeight="1" s="34">
      <c r="A1" s="35" t="inlineStr">
        <is>
          <t>RÈGLES DE CALCUL PIP</t>
        </is>
      </c>
    </row>
    <row r="2" ht="30" customHeight="1" s="34">
      <c r="A2" s="33" t="inlineStr">
        <is>
          <t>Scoring déterministe — aucune IA</t>
        </is>
      </c>
    </row>
    <row r="4" ht="30" customHeight="1" s="34">
      <c r="A4" s="1" t="inlineStr">
        <is>
          <t>calcul_id</t>
        </is>
      </c>
      <c r="B4" s="1" t="inlineStr">
        <is>
          <t>objet</t>
        </is>
      </c>
      <c r="C4" s="1" t="inlineStr">
        <is>
          <t>formule_metier</t>
        </is>
      </c>
      <c r="D4" s="1" t="inlineStr">
        <is>
          <t>parametre_1</t>
        </is>
      </c>
      <c r="E4" s="1" t="inlineStr">
        <is>
          <t>valeur_1</t>
        </is>
      </c>
      <c r="F4" s="1" t="inlineStr">
        <is>
          <t>parametre_2</t>
        </is>
      </c>
      <c r="G4" s="1" t="inlineStr">
        <is>
          <t>valeur_2</t>
        </is>
      </c>
      <c r="H4" s="1" t="inlineStr">
        <is>
          <t>statut</t>
        </is>
      </c>
      <c r="I4" s="1" t="inlineStr">
        <is>
          <t>version</t>
        </is>
      </c>
      <c r="J4" s="1" t="inlineStr">
        <is>
          <t>commentaire</t>
        </is>
      </c>
    </row>
    <row r="5" ht="28.8" customHeight="1" s="34">
      <c r="A5" s="9" t="inlineStr">
        <is>
          <t>SCORE_MOYEN</t>
        </is>
      </c>
      <c r="B5" s="9" t="inlineStr">
        <is>
          <t>Score moyen dimension</t>
        </is>
      </c>
      <c r="C5" s="9" t="inlineStr">
        <is>
          <t>Somme des réponses actives de la dimension / nombre d’items actifs</t>
        </is>
      </c>
      <c r="D5" s="9" t="inlineStr">
        <is>
          <t>min_reponse</t>
        </is>
      </c>
      <c r="E5" s="9" t="n">
        <v>1</v>
      </c>
      <c r="F5" s="9" t="inlineStr">
        <is>
          <t>max_reponse</t>
        </is>
      </c>
      <c r="G5" s="9" t="n">
        <v>5</v>
      </c>
      <c r="H5" s="9" t="inlineStr">
        <is>
          <t>ACTIF</t>
        </is>
      </c>
      <c r="I5" s="9" t="inlineStr">
        <is>
          <t>PIP-SCORE-1.0</t>
        </is>
      </c>
      <c r="J5" s="9" t="inlineStr">
        <is>
          <t>Poids égal par item.</t>
        </is>
      </c>
    </row>
    <row r="6" ht="28.8" customHeight="1" s="34">
      <c r="A6" s="9" t="inlineStr">
        <is>
          <t>INDICE_0_100</t>
        </is>
      </c>
      <c r="B6" s="9" t="inlineStr">
        <is>
          <t>Indice lisible</t>
        </is>
      </c>
      <c r="C6" s="9" t="inlineStr">
        <is>
          <t>25 × (Score_moyen − 1)</t>
        </is>
      </c>
      <c r="D6" s="9" t="inlineStr">
        <is>
          <t>min_indice</t>
        </is>
      </c>
      <c r="E6" s="9" t="n">
        <v>0</v>
      </c>
      <c r="F6" s="9" t="inlineStr">
        <is>
          <t>max_indice</t>
        </is>
      </c>
      <c r="G6" s="9" t="n">
        <v>100</v>
      </c>
      <c r="H6" s="9" t="inlineStr">
        <is>
          <t>ACTIF</t>
        </is>
      </c>
      <c r="I6" s="9" t="inlineStr">
        <is>
          <t>PIP-SCORE-1.0</t>
        </is>
      </c>
      <c r="J6" s="9" t="inlineStr">
        <is>
          <t>Transformation linéaire ; ni percentile ni probabilité.</t>
        </is>
      </c>
    </row>
    <row r="7">
      <c r="A7" s="9" t="inlineStr">
        <is>
          <t>CLASSEMENT</t>
        </is>
      </c>
      <c r="B7" s="9" t="inlineStr">
        <is>
          <t>Ordre RIASEC</t>
        </is>
      </c>
      <c r="C7" s="9" t="inlineStr">
        <is>
          <t>Trier les six indices du plus élevé au plus faible</t>
        </is>
      </c>
      <c r="D7" s="9" t="inlineStr">
        <is>
          <t>egalite</t>
        </is>
      </c>
      <c r="E7" s="9" t="inlineStr">
        <is>
          <t>ne pas départager</t>
        </is>
      </c>
      <c r="F7" s="9" t="inlineStr">
        <is>
          <t>quasi_egalite</t>
        </is>
      </c>
      <c r="G7" s="9" t="inlineStr">
        <is>
          <t>seuil à calibrer</t>
        </is>
      </c>
      <c r="H7" s="9" t="inlineStr">
        <is>
          <t>ACTIF</t>
        </is>
      </c>
      <c r="I7" s="9" t="inlineStr">
        <is>
          <t>PIP-SCORE-1.0</t>
        </is>
      </c>
      <c r="J7" s="9" t="inlineStr">
        <is>
          <t>Les six scores restent l’information principale.</t>
        </is>
      </c>
    </row>
    <row r="8" ht="28.8" customHeight="1" s="34">
      <c r="A8" s="9" t="inlineStr">
        <is>
          <t>CODE_3</t>
        </is>
      </c>
      <c r="B8" s="9" t="inlineStr">
        <is>
          <t>Code Holland</t>
        </is>
      </c>
      <c r="C8" s="9" t="inlineStr">
        <is>
          <t>Trois dimensions les plus élevées si ordre non artificiel</t>
        </is>
      </c>
      <c r="D8" s="9" t="inlineStr">
        <is>
          <t>longueur</t>
        </is>
      </c>
      <c r="E8" s="9" t="n">
        <v>3</v>
      </c>
      <c r="F8" s="9" t="inlineStr">
        <is>
          <t>egalites</t>
        </is>
      </c>
      <c r="G8" s="9" t="inlineStr">
        <is>
          <t>signalées</t>
        </is>
      </c>
      <c r="H8" s="9" t="inlineStr">
        <is>
          <t>ACTIF</t>
        </is>
      </c>
      <c r="I8" s="9" t="inlineStr">
        <is>
          <t>PIP-SCORE-1.0</t>
        </is>
      </c>
      <c r="J8" s="9" t="inlineStr">
        <is>
          <t>Code = raccourci, jamais étiquette identitaire.</t>
        </is>
      </c>
    </row>
    <row r="9">
      <c r="A9" s="9" t="inlineStr">
        <is>
          <t>DIFFERENCIATION</t>
        </is>
      </c>
      <c r="B9" s="9" t="inlineStr">
        <is>
          <t>Différenciation</t>
        </is>
      </c>
      <c r="C9" s="9" t="inlineStr">
        <is>
          <t>max(indice) − min(indice)</t>
        </is>
      </c>
      <c r="D9" s="9" t="inlineStr">
        <is>
          <t>categorie</t>
        </is>
      </c>
      <c r="E9" s="9" t="inlineStr">
        <is>
          <t>non activée</t>
        </is>
      </c>
      <c r="F9" s="9" t="inlineStr">
        <is>
          <t>seuil</t>
        </is>
      </c>
      <c r="G9" s="9" t="inlineStr">
        <is>
          <t>non calibré</t>
        </is>
      </c>
      <c r="H9" s="9" t="inlineStr">
        <is>
          <t>TECHNIQUE</t>
        </is>
      </c>
      <c r="I9" s="9" t="inlineStr">
        <is>
          <t>PIP-SCORE-1.0</t>
        </is>
      </c>
      <c r="J9" s="9" t="inlineStr">
        <is>
          <t>Pas de faible/moyenne/forte avant validation.</t>
        </is>
      </c>
    </row>
    <row r="10" ht="28.8" customHeight="1" s="34">
      <c r="A10" s="9" t="inlineStr">
        <is>
          <t>PROXIMITE_HEX</t>
        </is>
      </c>
      <c r="B10" s="9" t="inlineStr">
        <is>
          <t>Proximité hexagonale</t>
        </is>
      </c>
      <c r="C10" s="9" t="inlineStr">
        <is>
          <t>Distance structurelle entre 2 dimensions dominantes</t>
        </is>
      </c>
      <c r="D10" s="9" t="inlineStr">
        <is>
          <t>ordre</t>
        </is>
      </c>
      <c r="E10" s="9" t="inlineStr">
        <is>
          <t>R-I-A-S-E-C</t>
        </is>
      </c>
      <c r="F10" s="9" t="inlineStr">
        <is>
          <t>usage</t>
        </is>
      </c>
      <c r="G10" s="9" t="inlineStr">
        <is>
          <t>descriptif</t>
        </is>
      </c>
      <c r="H10" s="9" t="inlineStr">
        <is>
          <t>ACTIF</t>
        </is>
      </c>
      <c r="I10" s="9" t="inlineStr">
        <is>
          <t>PIP-SCORE-1.0</t>
        </is>
      </c>
      <c r="J10" s="9" t="inlineStr">
        <is>
          <t>Jamais un jugement de qualité du profil.</t>
        </is>
      </c>
    </row>
  </sheetData>
  <autoFilter ref="A4:J10"/>
  <mergeCells count="2">
    <mergeCell ref="A1:J1"/>
    <mergeCell ref="A2:J2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J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50" customWidth="1" style="34" min="1" max="1"/>
    <col width="12" customWidth="1" style="34" min="2" max="3"/>
    <col width="29" customWidth="1" style="34" min="4" max="4"/>
    <col width="50" customWidth="1" style="34" min="5" max="8"/>
    <col width="13" customWidth="1" style="34" min="9" max="9"/>
    <col width="12" customWidth="1" style="34" min="10" max="10"/>
  </cols>
  <sheetData>
    <row r="1" ht="25.95" customHeight="1" s="34">
      <c r="A1" s="35" t="inlineStr">
        <is>
          <t>TEXTES DE RESTITUTION PIP</t>
        </is>
      </c>
    </row>
    <row r="2" ht="30" customHeight="1" s="34">
      <c r="A2" s="33" t="inlineStr">
        <is>
          <t>Textes métier versionnés. Aucun texte interprétatif substantiel ne doit être codé en dur dans l’application.</t>
        </is>
      </c>
    </row>
    <row r="4" ht="30" customHeight="1" s="34">
      <c r="A4" s="1" t="inlineStr">
        <is>
          <t>rapport_id</t>
        </is>
      </c>
      <c r="B4" s="1" t="inlineStr">
        <is>
          <t>type</t>
        </is>
      </c>
      <c r="C4" s="1" t="inlineStr">
        <is>
          <t>dimension</t>
        </is>
      </c>
      <c r="D4" s="1" t="inlineStr">
        <is>
          <t>titre</t>
        </is>
      </c>
      <c r="E4" s="1" t="inlineStr">
        <is>
          <t>texte_mesure</t>
        </is>
      </c>
      <c r="F4" s="1" t="inlineStr">
        <is>
          <t>texte_ne_mesure_pas</t>
        </is>
      </c>
      <c r="G4" s="1" t="inlineStr">
        <is>
          <t>expressions_possibles</t>
        </is>
      </c>
      <c r="H4" s="1" t="inlineStr">
        <is>
          <t>precaution_lecture</t>
        </is>
      </c>
      <c r="I4" s="1" t="inlineStr">
        <is>
          <t>version</t>
        </is>
      </c>
      <c r="J4" s="1" t="inlineStr">
        <is>
          <t>statut</t>
        </is>
      </c>
    </row>
    <row r="5" ht="72" customHeight="1" s="34">
      <c r="A5" s="9" t="inlineStr">
        <is>
          <t>DIM_R</t>
        </is>
      </c>
      <c r="B5" s="9" t="inlineStr">
        <is>
          <t>DIMENSION</t>
        </is>
      </c>
      <c r="C5" s="9" t="inlineStr">
        <is>
          <t>R</t>
        </is>
      </c>
      <c r="D5" s="9" t="inlineStr">
        <is>
          <t>Réaliste</t>
        </is>
      </c>
      <c r="E5" s="9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5" s="9" t="inlineStr">
        <is>
          <t>Ni dextérité, ni niveau technique, ni goût exclusif pour le travail manuel.</t>
        </is>
      </c>
      <c r="G5" s="9" t="inlineStr">
        <is>
          <t>construire, fabriquer, installer, réparer, utiliser des équipements, intervenir sur le terrain ou le vivant</t>
        </is>
      </c>
      <c r="H5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5" s="9" t="inlineStr">
        <is>
          <t>PIP-RPT-1.0</t>
        </is>
      </c>
      <c r="J5" s="9" t="inlineStr">
        <is>
          <t>ACTIF</t>
        </is>
      </c>
    </row>
    <row r="6" ht="72" customHeight="1" s="34">
      <c r="A6" s="9" t="inlineStr">
        <is>
          <t>DIM_I</t>
        </is>
      </c>
      <c r="B6" s="9" t="inlineStr">
        <is>
          <t>DIMENSION</t>
        </is>
      </c>
      <c r="C6" s="9" t="inlineStr">
        <is>
          <t>I</t>
        </is>
      </c>
      <c r="D6" s="9" t="inlineStr">
        <is>
          <t>Investigateur</t>
        </is>
      </c>
      <c r="E6" s="9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6" s="9" t="inlineStr">
        <is>
          <t>Ni intelligence, ni niveau scolaire, ni étiquette de scientifique.</t>
        </is>
      </c>
      <c r="G6" s="9" t="inlineStr">
        <is>
          <t>analyser, rechercher, enquêter, tester, comprendre un mécanisme ou résoudre un problème complexe</t>
        </is>
      </c>
      <c r="H6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6" s="9" t="inlineStr">
        <is>
          <t>PIP-RPT-1.0</t>
        </is>
      </c>
      <c r="J6" s="9" t="inlineStr">
        <is>
          <t>ACTIF</t>
        </is>
      </c>
    </row>
    <row r="7" ht="57.6" customHeight="1" s="34">
      <c r="A7" s="9" t="inlineStr">
        <is>
          <t>DIM_A</t>
        </is>
      </c>
      <c r="B7" s="9" t="inlineStr">
        <is>
          <t>DIMENSION</t>
        </is>
      </c>
      <c r="C7" s="9" t="inlineStr">
        <is>
          <t>A</t>
        </is>
      </c>
      <c r="D7" s="9" t="inlineStr">
        <is>
          <t>Artistique</t>
        </is>
      </c>
      <c r="E7" s="9" t="inlineStr">
        <is>
          <t>Attirance pour des activités où l’on imagine, crée, compose, conçoit ou exprime quelque chose avec un espace d’originalité, d’interprétation, de sensibilité ou de choix personnel.</t>
        </is>
      </c>
      <c r="F7" s="9" t="inlineStr">
        <is>
          <t>Ni talent artistique, ni originalité personnelle mesurée, ni obligation de métier culturel.</t>
        </is>
      </c>
      <c r="G7" s="9" t="inlineStr">
        <is>
          <t>imaginer, écrire, concevoir, créer visuellement, raconter, designer ou explorer plusieurs solutions</t>
        </is>
      </c>
      <c r="H7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7" s="9" t="inlineStr">
        <is>
          <t>PIP-RPT-1.0</t>
        </is>
      </c>
      <c r="J7" s="9" t="inlineStr">
        <is>
          <t>ACTIF</t>
        </is>
      </c>
    </row>
    <row r="8" ht="57.6" customHeight="1" s="34">
      <c r="A8" s="9" t="inlineStr">
        <is>
          <t>DIM_S</t>
        </is>
      </c>
      <c r="B8" s="9" t="inlineStr">
        <is>
          <t>DIMENSION</t>
        </is>
      </c>
      <c r="C8" s="9" t="inlineStr">
        <is>
          <t>S</t>
        </is>
      </c>
      <c r="D8" s="9" t="inlineStr">
        <is>
          <t>Social</t>
        </is>
      </c>
      <c r="E8" s="9" t="inlineStr">
        <is>
          <t>Attirance pour des activités où l’on aide, enseigne, conseille, accompagne, soigne, soutient ou rend un service directement utile à d’autres personnes.</t>
        </is>
      </c>
      <c r="F8" s="9" t="inlineStr">
        <is>
          <t>Ni empathie, ni sociabilité, ni bonté, ni obligation d’exercer un métier social.</t>
        </is>
      </c>
      <c r="G8" s="9" t="inlineStr">
        <is>
          <t>enseigner, accompagner, conseiller, soigner, assister ou rendre un service utile</t>
        </is>
      </c>
      <c r="H8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8" s="9" t="inlineStr">
        <is>
          <t>PIP-RPT-1.0</t>
        </is>
      </c>
      <c r="J8" s="9" t="inlineStr">
        <is>
          <t>ACTIF</t>
        </is>
      </c>
    </row>
    <row r="9" ht="57.6" customHeight="1" s="34">
      <c r="A9" s="9" t="inlineStr">
        <is>
          <t>DIM_E</t>
        </is>
      </c>
      <c r="B9" s="9" t="inlineStr">
        <is>
          <t>DIMENSION</t>
        </is>
      </c>
      <c r="C9" s="9" t="inlineStr">
        <is>
          <t>E</t>
        </is>
      </c>
      <c r="D9" s="9" t="inlineStr">
        <is>
          <t>Entreprenant</t>
        </is>
      </c>
      <c r="E9" s="9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9" s="9" t="inlineStr">
        <is>
          <t>Ni ambition, ni domination, ni extraversion, ni réussite commerciale.</t>
        </is>
      </c>
      <c r="G9" s="9" t="inlineStr">
        <is>
          <t>initier, développer, convaincre, négocier, décider, manager, représenter ou mobiliser</t>
        </is>
      </c>
      <c r="H9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9" s="9" t="inlineStr">
        <is>
          <t>PIP-RPT-1.0</t>
        </is>
      </c>
      <c r="J9" s="9" t="inlineStr">
        <is>
          <t>ACTIF</t>
        </is>
      </c>
    </row>
    <row r="10" ht="57.6" customHeight="1" s="34">
      <c r="A10" s="9" t="inlineStr">
        <is>
          <t>DIM_C</t>
        </is>
      </c>
      <c r="B10" s="9" t="inlineStr">
        <is>
          <t>DIMENSION</t>
        </is>
      </c>
      <c r="C10" s="9" t="inlineStr">
        <is>
          <t>C</t>
        </is>
      </c>
      <c r="D10" s="9" t="inlineStr">
        <is>
          <t>Conventionnel</t>
        </is>
      </c>
      <c r="E10" s="9" t="inlineStr">
        <is>
          <t>Attirance pour des activités où l’on organise, enregistre, classe, traite, vérifie ou suit des informations, données, dossiers, transactions ou ressources dans un cadre structuré.</t>
        </is>
      </c>
      <c r="F10" s="9" t="inlineStr">
        <is>
          <t>Ni rigidité, ni conscienciosité, ni routine, ni compétence administrative.</t>
        </is>
      </c>
      <c r="G10" s="9" t="inlineStr">
        <is>
          <t>organiser, enregistrer, vérifier, appliquer un cadre, suivre des données, dossiers, flux ou opérations</t>
        </is>
      </c>
      <c r="H10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10" s="9" t="inlineStr">
        <is>
          <t>PIP-RPT-1.0</t>
        </is>
      </c>
      <c r="J10" s="9" t="inlineStr">
        <is>
          <t>ACTIF</t>
        </is>
      </c>
    </row>
    <row r="11" ht="28.8" customHeight="1" s="34">
      <c r="A11" s="9" t="inlineStr">
        <is>
          <t>INTRO</t>
        </is>
      </c>
      <c r="B11" s="9" t="inlineStr">
        <is>
          <t>INTRO</t>
        </is>
      </c>
      <c r="C11" s="9" t="n"/>
      <c r="D11" s="9" t="inlineStr">
        <is>
          <t>Comment lire ce rapport</t>
        </is>
      </c>
      <c r="E11" s="9" t="inlineStr">
        <is>
          <t>Le PIP décrit des intérêts professionnels déclarés.</t>
        </is>
      </c>
      <c r="F11" s="9" t="inlineStr">
        <is>
          <t>Il ne mesure ni compétences, ni aptitudes, ni personnalité, ni valeur morale.</t>
        </is>
      </c>
      <c r="G11" s="9" t="n"/>
      <c r="H11" s="9" t="inlineStr">
        <is>
          <t>Les six dimensions sont présentées ensemble ; aucune dimension n’est bonne ou mauvaise.</t>
        </is>
      </c>
      <c r="I11" s="9" t="inlineStr">
        <is>
          <t>PIP-RPT-1.0</t>
        </is>
      </c>
      <c r="J11" s="9" t="inlineStr">
        <is>
          <t>ACTIF</t>
        </is>
      </c>
    </row>
    <row r="12" ht="28.8" customHeight="1" s="34">
      <c r="A12" s="9" t="inlineStr">
        <is>
          <t>CODE3</t>
        </is>
      </c>
      <c r="B12" s="9" t="inlineStr">
        <is>
          <t>INDICATEUR</t>
        </is>
      </c>
      <c r="C12" s="9" t="n"/>
      <c r="D12" s="9" t="inlineStr">
        <is>
          <t>Votre combinaison dominante</t>
        </is>
      </c>
      <c r="E12" s="9" t="inlineStr">
        <is>
          <t>Le code à trois lettres résume les trois intérêts les plus élevés.</t>
        </is>
      </c>
      <c r="F12" s="9" t="inlineStr">
        <is>
          <t>Il ne constitue ni diagnostic, ni étiquette identitaire, ni choix automatique de métier.</t>
        </is>
      </c>
      <c r="G12" s="9" t="n"/>
      <c r="H12" s="9" t="inlineStr">
        <is>
          <t>Les égalités et scores proches sont explicitement signalés.</t>
        </is>
      </c>
      <c r="I12" s="9" t="inlineStr">
        <is>
          <t>PIP-RPT-1.0</t>
        </is>
      </c>
      <c r="J12" s="9" t="inlineStr">
        <is>
          <t>ACTIF</t>
        </is>
      </c>
    </row>
    <row r="13" ht="28.8" customHeight="1" s="34">
      <c r="A13" s="9" t="inlineStr">
        <is>
          <t>HEX</t>
        </is>
      </c>
      <c r="B13" s="9" t="inlineStr">
        <is>
          <t>INDICATEUR</t>
        </is>
      </c>
      <c r="C13" s="9" t="n"/>
      <c r="D13" s="9" t="inlineStr">
        <is>
          <t>Proximité dans l’hexagone</t>
        </is>
      </c>
      <c r="E13" s="9" t="inlineStr">
        <is>
          <t>La proximité indique une similarité structurelle des domaines selon le modèle RIASEC.</t>
        </is>
      </c>
      <c r="F13" s="9" t="inlineStr">
        <is>
          <t>Elle ne mesure pas la qualité ou la cohérence personnelle d’un individu.</t>
        </is>
      </c>
      <c r="G13" s="9" t="n"/>
      <c r="H13" s="9" t="inlineStr">
        <is>
          <t>Deux intérêts éloignés peuvent parfaitement coexister.</t>
        </is>
      </c>
      <c r="I13" s="9" t="inlineStr">
        <is>
          <t>PIP-RPT-1.0</t>
        </is>
      </c>
      <c r="J13" s="9" t="inlineStr">
        <is>
          <t>ACTIF</t>
        </is>
      </c>
    </row>
    <row r="14" ht="43.2" customHeight="1" s="34">
      <c r="A14" s="9" t="inlineStr">
        <is>
          <t>EQUITE</t>
        </is>
      </c>
      <c r="B14" s="9" t="inlineStr">
        <is>
          <t>PRINCIPE</t>
        </is>
      </c>
      <c r="C14" s="9" t="n"/>
      <c r="D14" s="9" t="inlineStr">
        <is>
          <t>Lecture équitable</t>
        </is>
      </c>
      <c r="E14" s="9" t="inlineStr">
        <is>
          <t>Un résultat inattendu au regard du parcours, du genre, de l’âge, du niveau d’études ou de l’origine n’est pas une anomalie.</t>
        </is>
      </c>
      <c r="F14" s="9" t="inlineStr">
        <is>
          <t>Le rapport ne déduit aucune caractéristique sociale ou personnelle d’un score RIASEC.</t>
        </is>
      </c>
      <c r="G14" s="9" t="n"/>
      <c r="H14" s="9" t="inlineStr">
        <is>
          <t>Interpréter les intérêts déclarés, pas ce que le parcours social “devrait” produire.</t>
        </is>
      </c>
      <c r="I14" s="9" t="inlineStr">
        <is>
          <t>PIP-RPT-1.0</t>
        </is>
      </c>
      <c r="J14" s="9" t="inlineStr">
        <is>
          <t>ACTIF</t>
        </is>
      </c>
    </row>
  </sheetData>
  <autoFilter ref="A4:J14"/>
  <mergeCells count="2">
    <mergeCell ref="A1:J1"/>
    <mergeCell ref="A2:J2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N1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45" customWidth="1" style="34" min="1" max="1"/>
    <col width="27" customWidth="1" style="34" min="2" max="2"/>
    <col width="45" customWidth="1" style="34" min="3" max="3"/>
    <col width="14" customWidth="1" style="34" min="4" max="4"/>
    <col width="13" customWidth="1" style="34" min="5" max="5"/>
    <col width="10" customWidth="1" style="34" min="6" max="6"/>
    <col width="12" customWidth="1" style="34" min="7" max="7"/>
    <col width="10" customWidth="1" style="34" min="8" max="8"/>
    <col width="16" customWidth="1" style="34" min="9" max="9"/>
    <col width="10" customWidth="1" style="34" min="10" max="10"/>
    <col width="12" customWidth="1" style="34" min="11" max="11"/>
    <col width="10" customWidth="1" style="34" min="12" max="12"/>
    <col width="13" customWidth="1" style="34" min="13" max="13"/>
    <col width="10" customWidth="1" style="34" min="14" max="14"/>
  </cols>
  <sheetData>
    <row r="1" ht="25.95" customHeight="1" s="34">
      <c r="A1" s="35" t="inlineStr">
        <is>
          <t>QUESTIONNAIRE FERMÉ DE RESSENTI</t>
        </is>
      </c>
    </row>
    <row r="2" ht="30" customHeight="1" s="34">
      <c r="A2" s="33" t="inlineStr">
        <is>
          <t>Séparé du scoring. PIP + O*NET : après O*NET et avant comparaison détaillée.</t>
        </is>
      </c>
    </row>
    <row r="4" ht="30" customHeight="1" s="34">
      <c r="A4" s="1" t="inlineStr">
        <is>
          <t>ressenti_id</t>
        </is>
      </c>
      <c r="B4" s="1" t="inlineStr">
        <is>
          <t>axe</t>
        </is>
      </c>
      <c r="C4" s="1" t="inlineStr">
        <is>
          <t>libelle</t>
        </is>
      </c>
      <c r="D4" s="1" t="inlineStr">
        <is>
          <t>type_reponse</t>
        </is>
      </c>
      <c r="E4" s="1" t="inlineStr">
        <is>
          <t>option_1</t>
        </is>
      </c>
      <c r="F4" s="1" t="inlineStr">
        <is>
          <t>code_1</t>
        </is>
      </c>
      <c r="G4" s="1" t="inlineStr">
        <is>
          <t>option_2</t>
        </is>
      </c>
      <c r="H4" s="1" t="inlineStr">
        <is>
          <t>code_2</t>
        </is>
      </c>
      <c r="I4" s="1" t="inlineStr">
        <is>
          <t>option_3</t>
        </is>
      </c>
      <c r="J4" s="1" t="inlineStr">
        <is>
          <t>code_3</t>
        </is>
      </c>
      <c r="K4" s="1" t="inlineStr">
        <is>
          <t>option_4</t>
        </is>
      </c>
      <c r="L4" s="1" t="inlineStr">
        <is>
          <t>code_4</t>
        </is>
      </c>
      <c r="M4" s="1" t="inlineStr">
        <is>
          <t>option_5</t>
        </is>
      </c>
      <c r="N4" s="1" t="inlineStr">
        <is>
          <t>code_5</t>
        </is>
      </c>
    </row>
    <row r="5" ht="28.8" customHeight="1" s="34">
      <c r="A5" s="9" t="inlineStr">
        <is>
          <t>RES_GLOB</t>
        </is>
      </c>
      <c r="B5" s="9" t="inlineStr">
        <is>
          <t>Reconnaissance globale</t>
        </is>
      </c>
      <c r="C5" s="9" t="inlineStr">
        <is>
          <t>Dans quelle mesure le profil présenté vous ressemble-t-il ?</t>
        </is>
      </c>
      <c r="D5" s="9" t="inlineStr">
        <is>
          <t>ECHELLE_1_5</t>
        </is>
      </c>
      <c r="E5" s="9" t="inlineStr">
        <is>
          <t>Pas du tout</t>
        </is>
      </c>
      <c r="F5" s="9" t="n">
        <v>1</v>
      </c>
      <c r="G5" s="9" t="inlineStr">
        <is>
          <t>Plutôt pas</t>
        </is>
      </c>
      <c r="H5" s="9" t="n">
        <v>2</v>
      </c>
      <c r="I5" s="9" t="inlineStr">
        <is>
          <t>Moyennement</t>
        </is>
      </c>
      <c r="J5" s="9" t="n">
        <v>3</v>
      </c>
      <c r="K5" s="9" t="inlineStr">
        <is>
          <t>Plutôt oui</t>
        </is>
      </c>
      <c r="L5" s="9" t="n">
        <v>4</v>
      </c>
      <c r="M5" s="9" t="inlineStr">
        <is>
          <t>Tout à fait</t>
        </is>
      </c>
      <c r="N5" s="9" t="n">
        <v>5</v>
      </c>
    </row>
    <row r="6" ht="28.8" customHeight="1" s="34">
      <c r="A6" s="9" t="inlineStr">
        <is>
          <t>RES_DOM</t>
        </is>
      </c>
      <c r="B6" s="9" t="inlineStr">
        <is>
          <t>Dominantes</t>
        </is>
      </c>
      <c r="C6" s="9" t="inlineStr">
        <is>
          <t>Les dimensions qui ressortent le plus correspondent-elles à ce qui vous attire professionnellement ?</t>
        </is>
      </c>
      <c r="D6" s="9" t="inlineStr">
        <is>
          <t>ECHELLE_1_5</t>
        </is>
      </c>
      <c r="E6" s="9" t="inlineStr">
        <is>
          <t>Pas du tout</t>
        </is>
      </c>
      <c r="F6" s="9" t="n">
        <v>1</v>
      </c>
      <c r="G6" s="9" t="inlineStr">
        <is>
          <t>Plutôt pas</t>
        </is>
      </c>
      <c r="H6" s="9" t="n">
        <v>2</v>
      </c>
      <c r="I6" s="9" t="inlineStr">
        <is>
          <t>Moyennement</t>
        </is>
      </c>
      <c r="J6" s="9" t="n">
        <v>3</v>
      </c>
      <c r="K6" s="9" t="inlineStr">
        <is>
          <t>Plutôt oui</t>
        </is>
      </c>
      <c r="L6" s="9" t="n">
        <v>4</v>
      </c>
      <c r="M6" s="9" t="inlineStr">
        <is>
          <t>Tout à fait</t>
        </is>
      </c>
      <c r="N6" s="9" t="n">
        <v>5</v>
      </c>
    </row>
    <row r="7" ht="43.2" customHeight="1" s="34">
      <c r="A7" s="9" t="inlineStr">
        <is>
          <t>RES_NUANCE</t>
        </is>
      </c>
      <c r="B7" s="9" t="inlineStr">
        <is>
          <t>Nuances</t>
        </is>
      </c>
      <c r="C7" s="9" t="inlineStr">
        <is>
          <t>Le rapport rend-il suffisamment compte des différentes façons dont vos intérêts peuvent s’exprimer ?</t>
        </is>
      </c>
      <c r="D7" s="9" t="inlineStr">
        <is>
          <t>ECHELLE_1_5</t>
        </is>
      </c>
      <c r="E7" s="9" t="inlineStr">
        <is>
          <t>Pas du tout</t>
        </is>
      </c>
      <c r="F7" s="9" t="n">
        <v>1</v>
      </c>
      <c r="G7" s="9" t="inlineStr">
        <is>
          <t>Peu</t>
        </is>
      </c>
      <c r="H7" s="9" t="n">
        <v>2</v>
      </c>
      <c r="I7" s="9" t="inlineStr">
        <is>
          <t>Moyennement</t>
        </is>
      </c>
      <c r="J7" s="9" t="n">
        <v>3</v>
      </c>
      <c r="K7" s="9" t="inlineStr">
        <is>
          <t>Bien</t>
        </is>
      </c>
      <c r="L7" s="9" t="n">
        <v>4</v>
      </c>
      <c r="M7" s="9" t="inlineStr">
        <is>
          <t>Tout à fait</t>
        </is>
      </c>
      <c r="N7" s="9" t="n">
        <v>5</v>
      </c>
    </row>
    <row r="8" ht="28.8" customHeight="1" s="34">
      <c r="A8" s="9" t="inlineStr">
        <is>
          <t>RES_SUR</t>
        </is>
      </c>
      <c r="B8" s="9" t="inlineStr">
        <is>
          <t>Surévaluation ressentie</t>
        </is>
      </c>
      <c r="C8" s="9" t="inlineStr">
        <is>
          <t>Une dimension vous paraît-elle trop élevée par rapport à votre ressenti ?</t>
        </is>
      </c>
      <c r="D8" s="9" t="inlineStr">
        <is>
          <t>CHOIX_3</t>
        </is>
      </c>
      <c r="E8" s="9" t="inlineStr">
        <is>
          <t>Non</t>
        </is>
      </c>
      <c r="F8" s="9" t="n">
        <v>1</v>
      </c>
      <c r="G8" s="9" t="inlineStr">
        <is>
          <t>Oui, une</t>
        </is>
      </c>
      <c r="H8" s="9" t="n">
        <v>2</v>
      </c>
      <c r="I8" s="9" t="inlineStr">
        <is>
          <t>Oui, plusieurs</t>
        </is>
      </c>
      <c r="J8" s="9" t="n">
        <v>3</v>
      </c>
      <c r="K8" s="9" t="n"/>
      <c r="L8" s="9" t="n"/>
      <c r="M8" s="9" t="n"/>
      <c r="N8" s="9" t="n"/>
    </row>
    <row r="9" ht="28.8" customHeight="1" s="34">
      <c r="A9" s="9" t="inlineStr">
        <is>
          <t>RES_SOUS</t>
        </is>
      </c>
      <c r="B9" s="9" t="inlineStr">
        <is>
          <t>Sous-évaluation ressentie</t>
        </is>
      </c>
      <c r="C9" s="9" t="inlineStr">
        <is>
          <t>Une dimension vous paraît-elle trop faible par rapport à votre ressenti ?</t>
        </is>
      </c>
      <c r="D9" s="9" t="inlineStr">
        <is>
          <t>CHOIX_3</t>
        </is>
      </c>
      <c r="E9" s="9" t="inlineStr">
        <is>
          <t>Non</t>
        </is>
      </c>
      <c r="F9" s="9" t="n">
        <v>1</v>
      </c>
      <c r="G9" s="9" t="inlineStr">
        <is>
          <t>Oui, une</t>
        </is>
      </c>
      <c r="H9" s="9" t="n">
        <v>2</v>
      </c>
      <c r="I9" s="9" t="inlineStr">
        <is>
          <t>Oui, plusieurs</t>
        </is>
      </c>
      <c r="J9" s="9" t="n">
        <v>3</v>
      </c>
      <c r="K9" s="9" t="n"/>
      <c r="L9" s="9" t="n"/>
      <c r="M9" s="9" t="n"/>
      <c r="N9" s="9" t="n"/>
    </row>
    <row r="10" ht="28.8" customHeight="1" s="34">
      <c r="A10" s="9" t="inlineStr">
        <is>
          <t>RES_UTIL</t>
        </is>
      </c>
      <c r="B10" s="9" t="inlineStr">
        <is>
          <t>Utilité</t>
        </is>
      </c>
      <c r="C10" s="9" t="inlineStr">
        <is>
          <t>Ce résultat vous aide-t-il à mieux comprendre ce qui vous attire dans le travail ?</t>
        </is>
      </c>
      <c r="D10" s="9" t="inlineStr">
        <is>
          <t>ECHELLE_1_5</t>
        </is>
      </c>
      <c r="E10" s="9" t="inlineStr">
        <is>
          <t>Pas du tout</t>
        </is>
      </c>
      <c r="F10" s="9" t="n">
        <v>1</v>
      </c>
      <c r="G10" s="9" t="inlineStr">
        <is>
          <t>Peu</t>
        </is>
      </c>
      <c r="H10" s="9" t="n">
        <v>2</v>
      </c>
      <c r="I10" s="9" t="inlineStr">
        <is>
          <t>Moyennement</t>
        </is>
      </c>
      <c r="J10" s="9" t="n">
        <v>3</v>
      </c>
      <c r="K10" s="9" t="inlineStr">
        <is>
          <t>Oui</t>
        </is>
      </c>
      <c r="L10" s="9" t="n">
        <v>4</v>
      </c>
      <c r="M10" s="9" t="inlineStr">
        <is>
          <t>Beaucoup</t>
        </is>
      </c>
      <c r="N10" s="9" t="n">
        <v>5</v>
      </c>
    </row>
    <row r="11" ht="28.8" customHeight="1" s="34">
      <c r="A11" s="9" t="inlineStr">
        <is>
          <t>RES_DIALOG</t>
        </is>
      </c>
      <c r="B11" s="9" t="inlineStr">
        <is>
          <t>Dialogue</t>
        </is>
      </c>
      <c r="C11" s="9" t="inlineStr">
        <is>
          <t>Souhaitez-vous approfondir certains éléments avec votre accompagnateur ?</t>
        </is>
      </c>
      <c r="D11" s="9" t="inlineStr">
        <is>
          <t>OUI_NON</t>
        </is>
      </c>
      <c r="E11" s="9" t="inlineStr">
        <is>
          <t>Non</t>
        </is>
      </c>
      <c r="F11" s="9" t="n">
        <v>1</v>
      </c>
      <c r="G11" s="9" t="inlineStr">
        <is>
          <t>Oui</t>
        </is>
      </c>
      <c r="H11" s="9" t="n">
        <v>2</v>
      </c>
      <c r="I11" s="9" t="n"/>
      <c r="J11" s="9" t="n"/>
      <c r="K11" s="9" t="n"/>
      <c r="L11" s="9" t="n"/>
      <c r="M11" s="9" t="n"/>
      <c r="N11" s="9" t="n"/>
    </row>
  </sheetData>
  <autoFilter ref="A4:N11"/>
  <mergeCells count="2">
    <mergeCell ref="A2:N2"/>
    <mergeCell ref="A1:N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H3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10" defaultColWidth="8.88671875" defaultRowHeight="14.4"/>
  <cols>
    <col width="55" customWidth="1" style="34" min="1" max="1"/>
    <col width="35" customWidth="1" style="34" min="2" max="2"/>
    <col width="55" customWidth="1" style="34" min="3" max="3"/>
    <col width="12" customWidth="1" style="34" min="4" max="5"/>
    <col width="33" customWidth="1" style="34" min="6" max="6"/>
    <col width="12" customWidth="1" style="34" min="7" max="7"/>
    <col width="55" customWidth="1" style="34" min="8" max="8"/>
  </cols>
  <sheetData>
    <row r="1" ht="25.95" customHeight="1" s="34">
      <c r="A1" s="35" t="inlineStr">
        <is>
          <t>PARAMÈTRES &amp; CONTRÔLES DE PUBLICATION</t>
        </is>
      </c>
    </row>
    <row r="2" ht="30" customHeight="1" s="34">
      <c r="A2" s="33" t="inlineStr">
        <is>
          <t>Les contrôles critiques doivent être OK avant génération de l’export applicatif.</t>
        </is>
      </c>
    </row>
    <row r="3"/>
    <row r="4" ht="30" customHeight="1" s="34">
      <c r="A4" s="10" t="inlineStr">
        <is>
          <t>parametre</t>
        </is>
      </c>
      <c r="B4" s="10" t="inlineStr">
        <is>
          <t>valeur</t>
        </is>
      </c>
      <c r="C4" s="10" t="inlineStr">
        <is>
          <t>type</t>
        </is>
      </c>
      <c r="D4" s="10" t="inlineStr">
        <is>
          <t>modifiable</t>
        </is>
      </c>
      <c r="E4" s="10" t="inlineStr">
        <is>
          <t>version</t>
        </is>
      </c>
      <c r="F4" s="10" t="inlineStr">
        <is>
          <t>source</t>
        </is>
      </c>
      <c r="G4" s="10" t="inlineStr">
        <is>
          <t>controle</t>
        </is>
      </c>
      <c r="H4" s="10" t="inlineStr">
        <is>
          <t>commentaire</t>
        </is>
      </c>
    </row>
    <row r="5">
      <c r="A5" s="9" t="inlineStr">
        <is>
          <t>referentiel_version</t>
        </is>
      </c>
      <c r="B5" s="9" t="inlineStr">
        <is>
          <t>1.0</t>
        </is>
      </c>
      <c r="C5" s="9" t="inlineStr">
        <is>
          <t>texte</t>
        </is>
      </c>
      <c r="D5" s="9" t="inlineStr">
        <is>
          <t>NON</t>
        </is>
      </c>
      <c r="E5" s="9" t="inlineStr">
        <is>
          <t>0.1</t>
        </is>
      </c>
      <c r="F5" s="9" t="inlineStr">
        <is>
          <t>Référentiel méthodologique V1.0</t>
        </is>
      </c>
      <c r="G5" s="9" t="n"/>
      <c r="H5" s="9" t="n"/>
    </row>
    <row r="6">
      <c r="A6" s="9" t="inlineStr">
        <is>
          <t>bank_version</t>
        </is>
      </c>
      <c r="B6" s="9" t="inlineStr">
        <is>
          <t>PIP-BANK-0.4</t>
        </is>
      </c>
      <c r="C6" s="9" t="inlineStr">
        <is>
          <t>texte</t>
        </is>
      </c>
      <c r="D6" s="9" t="inlineStr">
        <is>
          <t>OUI</t>
        </is>
      </c>
      <c r="E6" s="9" t="inlineStr">
        <is>
          <t>0.4</t>
        </is>
      </c>
      <c r="F6" s="9" t="inlineStr">
        <is>
          <t>Tableur maître</t>
        </is>
      </c>
      <c r="G6" s="9" t="n"/>
      <c r="H6" s="9" t="n"/>
    </row>
    <row r="7">
      <c r="A7" s="9" t="inlineStr">
        <is>
          <t>scoring_version</t>
        </is>
      </c>
      <c r="B7" s="9" t="inlineStr">
        <is>
          <t>PIP-SCORE-1.0</t>
        </is>
      </c>
      <c r="C7" s="9" t="inlineStr">
        <is>
          <t>texte</t>
        </is>
      </c>
      <c r="D7" s="9" t="inlineStr">
        <is>
          <t>NON</t>
        </is>
      </c>
      <c r="E7" s="9" t="inlineStr">
        <is>
          <t>0.1</t>
        </is>
      </c>
      <c r="F7" s="9" t="inlineStr">
        <is>
          <t>Référentiel V1.0</t>
        </is>
      </c>
      <c r="G7" s="9" t="n"/>
      <c r="H7" s="9" t="n"/>
    </row>
    <row r="8">
      <c r="A8" s="9" t="inlineStr">
        <is>
          <t>rapport_version</t>
        </is>
      </c>
      <c r="B8" s="9" t="inlineStr">
        <is>
          <t>PIP-RPT-1.0</t>
        </is>
      </c>
      <c r="C8" s="9" t="inlineStr">
        <is>
          <t>texte</t>
        </is>
      </c>
      <c r="D8" s="9" t="inlineStr">
        <is>
          <t>OUI</t>
        </is>
      </c>
      <c r="E8" s="9" t="inlineStr">
        <is>
          <t>0.1</t>
        </is>
      </c>
      <c r="F8" s="9" t="inlineStr">
        <is>
          <t>Tableur maître</t>
        </is>
      </c>
      <c r="G8" s="9" t="n"/>
      <c r="H8" s="9" t="n"/>
    </row>
    <row r="9">
      <c r="A9" s="9" t="inlineStr">
        <is>
          <t>ressenti_version</t>
        </is>
      </c>
      <c r="B9" s="9" t="inlineStr">
        <is>
          <t>PIP-RES-1.0</t>
        </is>
      </c>
      <c r="C9" s="9" t="inlineStr">
        <is>
          <t>texte</t>
        </is>
      </c>
      <c r="D9" s="9" t="inlineStr">
        <is>
          <t>OUI</t>
        </is>
      </c>
      <c r="E9" s="9" t="inlineStr">
        <is>
          <t>0.1</t>
        </is>
      </c>
      <c r="F9" s="9" t="inlineStr">
        <is>
          <t>Tableur maître</t>
        </is>
      </c>
      <c r="G9" s="9" t="n"/>
      <c r="H9" s="9" t="n"/>
    </row>
    <row r="10">
      <c r="A10" s="9" t="inlineStr">
        <is>
          <t>nb_items_experimental</t>
        </is>
      </c>
      <c r="B10" s="9" t="n">
        <v>120</v>
      </c>
      <c r="C10" s="9" t="inlineStr">
        <is>
          <t>entier</t>
        </is>
      </c>
      <c r="D10" s="9" t="inlineStr">
        <is>
          <t>NON</t>
        </is>
      </c>
      <c r="E10" s="9" t="inlineStr">
        <is>
          <t>0.1</t>
        </is>
      </c>
      <c r="F10" s="9" t="inlineStr">
        <is>
          <t>Référentiel V1.0</t>
        </is>
      </c>
      <c r="G10" s="9" t="n"/>
      <c r="H10" s="9" t="n"/>
    </row>
    <row r="11">
      <c r="A11" s="9" t="inlineStr">
        <is>
          <t>nb_items_cible_min</t>
        </is>
      </c>
      <c r="B11" s="9" t="n">
        <v>60</v>
      </c>
      <c r="C11" s="9" t="inlineStr">
        <is>
          <t>entier</t>
        </is>
      </c>
      <c r="D11" s="9" t="inlineStr">
        <is>
          <t>OUI</t>
        </is>
      </c>
      <c r="E11" s="9" t="inlineStr">
        <is>
          <t>0.1</t>
        </is>
      </c>
      <c r="F11" s="9" t="inlineStr">
        <is>
          <t>Référentiel V1.0</t>
        </is>
      </c>
      <c r="G11" s="9" t="n"/>
      <c r="H11" s="9" t="n"/>
    </row>
    <row r="12">
      <c r="A12" s="9" t="inlineStr">
        <is>
          <t>nb_items_cible_max</t>
        </is>
      </c>
      <c r="B12" s="9" t="n">
        <v>72</v>
      </c>
      <c r="C12" s="9" t="inlineStr">
        <is>
          <t>entier</t>
        </is>
      </c>
      <c r="D12" s="9" t="inlineStr">
        <is>
          <t>OUI</t>
        </is>
      </c>
      <c r="E12" s="9" t="inlineStr">
        <is>
          <t>0.1</t>
        </is>
      </c>
      <c r="F12" s="9" t="inlineStr">
        <is>
          <t>Référentiel V1.0</t>
        </is>
      </c>
      <c r="G12" s="9" t="n"/>
      <c r="H12" s="9" t="n"/>
    </row>
    <row r="13">
      <c r="A13" s="9" t="inlineStr">
        <is>
          <t>nb_dimensions</t>
        </is>
      </c>
      <c r="B13" s="9" t="n">
        <v>6</v>
      </c>
      <c r="C13" s="9" t="inlineStr">
        <is>
          <t>entier</t>
        </is>
      </c>
      <c r="D13" s="9" t="inlineStr">
        <is>
          <t>NON</t>
        </is>
      </c>
      <c r="E13" s="9" t="inlineStr">
        <is>
          <t>0.1</t>
        </is>
      </c>
      <c r="F13" s="9" t="inlineStr">
        <is>
          <t>Référentiel V1.0</t>
        </is>
      </c>
      <c r="G13" s="9" t="n"/>
      <c r="H13" s="9" t="n"/>
    </row>
    <row r="14">
      <c r="A14" s="9" t="inlineStr">
        <is>
          <t>nb_facettes</t>
        </is>
      </c>
      <c r="B14" s="9" t="n">
        <v>30</v>
      </c>
      <c r="C14" s="9" t="inlineStr">
        <is>
          <t>entier</t>
        </is>
      </c>
      <c r="D14" s="9" t="inlineStr">
        <is>
          <t>NON</t>
        </is>
      </c>
      <c r="E14" s="9" t="inlineStr">
        <is>
          <t>0.1</t>
        </is>
      </c>
      <c r="F14" s="9" t="inlineStr">
        <is>
          <t>Référentiel V1.0</t>
        </is>
      </c>
      <c r="G14" s="9" t="n"/>
      <c r="H14" s="9" t="n"/>
    </row>
    <row r="15">
      <c r="A15" s="9" t="inlineStr">
        <is>
          <t>reponse_min</t>
        </is>
      </c>
      <c r="B15" s="9" t="n">
        <v>1</v>
      </c>
      <c r="C15" s="9" t="inlineStr">
        <is>
          <t>entier</t>
        </is>
      </c>
      <c r="D15" s="9" t="inlineStr">
        <is>
          <t>NON</t>
        </is>
      </c>
      <c r="E15" s="9" t="inlineStr">
        <is>
          <t>0.1</t>
        </is>
      </c>
      <c r="F15" s="9" t="inlineStr">
        <is>
          <t>Référentiel V1.0</t>
        </is>
      </c>
      <c r="G15" s="9" t="n"/>
      <c r="H15" s="9" t="n"/>
    </row>
    <row r="16">
      <c r="A16" s="9" t="inlineStr">
        <is>
          <t>reponse_max</t>
        </is>
      </c>
      <c r="B16" s="9" t="n">
        <v>5</v>
      </c>
      <c r="C16" s="9" t="inlineStr">
        <is>
          <t>entier</t>
        </is>
      </c>
      <c r="D16" s="9" t="inlineStr">
        <is>
          <t>NON</t>
        </is>
      </c>
      <c r="E16" s="9" t="inlineStr">
        <is>
          <t>0.1</t>
        </is>
      </c>
      <c r="F16" s="9" t="inlineStr">
        <is>
          <t>Référentiel V1.0</t>
        </is>
      </c>
      <c r="G16" s="9" t="n"/>
      <c r="H16" s="9" t="n"/>
    </row>
    <row r="17">
      <c r="A17" s="9" t="inlineStr">
        <is>
          <t>feedback_intermediaire</t>
        </is>
      </c>
      <c r="B17" s="9" t="inlineStr">
        <is>
          <t>NON</t>
        </is>
      </c>
      <c r="C17" s="9" t="inlineStr">
        <is>
          <t>booleen</t>
        </is>
      </c>
      <c r="D17" s="9" t="inlineStr">
        <is>
          <t>NON</t>
        </is>
      </c>
      <c r="E17" s="9" t="inlineStr">
        <is>
          <t>0.1</t>
        </is>
      </c>
      <c r="F17" s="9" t="inlineStr">
        <is>
          <t>CDC</t>
        </is>
      </c>
      <c r="G17" s="9" t="n"/>
      <c r="H17" s="9" t="n"/>
    </row>
    <row r="18">
      <c r="A18" s="9" t="inlineStr">
        <is>
          <t>ia_dans_mesure</t>
        </is>
      </c>
      <c r="B18" s="9" t="inlineStr">
        <is>
          <t>NON</t>
        </is>
      </c>
      <c r="C18" s="9" t="inlineStr">
        <is>
          <t>booleen</t>
        </is>
      </c>
      <c r="D18" s="9" t="inlineStr">
        <is>
          <t>NON</t>
        </is>
      </c>
      <c r="E18" s="9" t="inlineStr">
        <is>
          <t>0.1</t>
        </is>
      </c>
      <c r="F18" s="9" t="inlineStr">
        <is>
          <t>CDC</t>
        </is>
      </c>
      <c r="G18" s="9" t="n"/>
      <c r="H18" s="9" t="n"/>
    </row>
    <row r="19">
      <c r="A19" s="9" t="inlineStr">
        <is>
          <t>onet_seul_autorise</t>
        </is>
      </c>
      <c r="B19" s="9" t="inlineStr">
        <is>
          <t>NON</t>
        </is>
      </c>
      <c r="C19" s="9" t="inlineStr">
        <is>
          <t>booleen</t>
        </is>
      </c>
      <c r="D19" s="9" t="inlineStr">
        <is>
          <t>NON</t>
        </is>
      </c>
      <c r="E19" s="9" t="inlineStr">
        <is>
          <t>0.1</t>
        </is>
      </c>
      <c r="F19" s="9" t="inlineStr">
        <is>
          <t>Décision projet</t>
        </is>
      </c>
      <c r="G19" s="9" t="n"/>
      <c r="H19" s="9" t="inlineStr">
        <is>
          <t>O*NET uniquement après PIP.</t>
        </is>
      </c>
    </row>
    <row r="20">
      <c r="A20" s="9" t="inlineStr">
        <is>
          <t>onet_integration_cible</t>
        </is>
      </c>
      <c r="B20" s="9" t="inlineStr">
        <is>
          <t>API_WEB_SERVICES</t>
        </is>
      </c>
      <c r="C20" s="9" t="inlineStr">
        <is>
          <t>texte</t>
        </is>
      </c>
      <c r="D20" s="9" t="inlineStr">
        <is>
          <t>OUI</t>
        </is>
      </c>
      <c r="E20" s="9" t="inlineStr">
        <is>
          <t>0.1</t>
        </is>
      </c>
      <c r="F20" s="9" t="inlineStr">
        <is>
          <t>Décision projet</t>
        </is>
      </c>
      <c r="G20" s="9" t="n"/>
      <c r="H20" s="9" t="inlineStr">
        <is>
          <t>La clé API reste sur le VPS, jamais dans le classeur.</t>
        </is>
      </c>
    </row>
    <row r="21"/>
    <row r="22"/>
    <row r="23">
      <c r="A23" s="40" t="inlineStr">
        <is>
          <t>CONTRÔLES AUTOMATIQUES</t>
        </is>
      </c>
    </row>
    <row r="24">
      <c r="A24" s="9" t="inlineStr">
        <is>
          <t>CTRL_001</t>
        </is>
      </c>
      <c r="B24" s="9" t="inlineStr">
        <is>
          <t>Nombre de lignes banque = 120</t>
        </is>
      </c>
      <c r="C24" s="8">
        <f>IF(COUNTA(QUESTIONS!$A$5:$A$124)=120,"OK","ERREUR")</f>
        <v/>
      </c>
      <c r="D24" s="11" t="inlineStr">
        <is>
          <t>CRITIQUE</t>
        </is>
      </c>
    </row>
    <row r="25">
      <c r="A25" s="9" t="inlineStr">
        <is>
          <t>CTRL_002</t>
        </is>
      </c>
      <c r="B25" s="9" t="inlineStr">
        <is>
          <t>IDs uniques</t>
        </is>
      </c>
      <c r="C25" s="8">
        <f>IF(COUNTA(QUESTIONS!$A$5:$A$124)=SUMPRODUCT(1/COUNTIF(QUESTIONS!$A$5:$A$124,QUESTIONS!$A$5:$A$124)),"OK","ERREUR")</f>
        <v/>
      </c>
      <c r="D25" s="11" t="inlineStr">
        <is>
          <t>CRITIQUE</t>
        </is>
      </c>
    </row>
    <row r="26">
      <c r="A26" s="9" t="inlineStr">
        <is>
          <t>CTRL_003</t>
        </is>
      </c>
      <c r="B26" s="9" t="inlineStr">
        <is>
          <t>6 dimensions présentes</t>
        </is>
      </c>
      <c r="C26" s="8">
        <f>IF(COUNTA(DIMENSIONS!$B$5:$B$34)&gt;0,"OK","ERREUR")</f>
        <v/>
      </c>
      <c r="D26" s="11" t="inlineStr">
        <is>
          <t>CRITIQUE</t>
        </is>
      </c>
    </row>
    <row r="27">
      <c r="A27" s="9" t="inlineStr">
        <is>
          <t>CTRL_004</t>
        </is>
      </c>
      <c r="B27" s="9" t="inlineStr">
        <is>
          <t>30 facettes présentes</t>
        </is>
      </c>
      <c r="C27" s="8">
        <f>IF(COUNTA(DIMENSIONS!$A$5:$A$34)=30,"OK","ERREUR")</f>
        <v/>
      </c>
      <c r="D27" s="11" t="inlineStr">
        <is>
          <t>CRITIQUE</t>
        </is>
      </c>
    </row>
    <row r="28">
      <c r="A28" s="9" t="inlineStr">
        <is>
          <t>CTRL_005</t>
        </is>
      </c>
      <c r="B28" s="9" t="inlineStr">
        <is>
          <t>20 candidats par dimension</t>
        </is>
      </c>
      <c r="C28" s="8">
        <f>IF(AND(COUNTIF(QUESTIONS!$H$5:$H$124,"R")=20,COUNTIF(QUESTIONS!$H$5:$H$124,"I")=20,COUNTIF(QUESTIONS!$H$5:$H$124,"A")=20,COUNTIF(QUESTIONS!$H$5:$H$124,"S")=20,COUNTIF(QUESTIONS!$H$5:$H$124,"E")=20,COUNTIF(QUESTIONS!$H$5:$H$124,"C")=20),"OK","ERREUR")</f>
        <v/>
      </c>
      <c r="D28" s="11" t="inlineStr">
        <is>
          <t>CRITIQUE</t>
        </is>
      </c>
    </row>
    <row r="29">
      <c r="A29" s="9" t="inlineStr">
        <is>
          <t>CTRL_006</t>
        </is>
      </c>
      <c r="B29" s="9" t="inlineStr">
        <is>
          <t>Aucun item PILOTE/ACTIF incomplet</t>
        </is>
      </c>
      <c r="C29" s="8">
        <f>IF(COUNTIF(QUESTIONS!$AP$5:$AP$124,"A_COMPLETER")=0,"OK","ERREUR")</f>
        <v/>
      </c>
      <c r="D29" s="11" t="inlineStr">
        <is>
          <t>CRITIQUE</t>
        </is>
      </c>
    </row>
    <row r="30">
      <c r="A30" s="9" t="inlineStr">
        <is>
          <t>CTRL_007</t>
        </is>
      </c>
      <c r="B30" s="9" t="inlineStr">
        <is>
          <t>Aucun O*NET seul</t>
        </is>
      </c>
      <c r="C30" s="8">
        <f>IF(B19="NON","OK","ERREUR")</f>
        <v/>
      </c>
      <c r="D30" s="11" t="inlineStr">
        <is>
          <t>CRITIQUE</t>
        </is>
      </c>
    </row>
  </sheetData>
  <mergeCells count="3">
    <mergeCell ref="A23:H23"/>
    <mergeCell ref="A2:H2"/>
    <mergeCell ref="A1:H1"/>
  </mergeCells>
  <conditionalFormatting sqref="C24:C30">
    <cfRule type="expression" priority="1" dxfId="0">
      <formula>C24="ERREUR"</formula>
    </cfRule>
  </conditionalFormatting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R1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26" customWidth="1" style="34" min="1" max="1"/>
    <col width="17" customWidth="1" style="34" min="2" max="4"/>
    <col width="18" customWidth="1" style="34" min="5" max="5"/>
    <col width="10" customWidth="1" style="34" min="6" max="6"/>
    <col width="12" customWidth="1" style="34" min="7" max="7"/>
    <col width="16" customWidth="1" style="34" min="8" max="9"/>
    <col width="21" customWidth="1" style="34" min="10" max="10"/>
    <col width="26" customWidth="1" style="34" min="11" max="11"/>
    <col width="23" customWidth="1" style="34" min="12" max="12"/>
    <col width="22" customWidth="1" style="34" min="13" max="13"/>
    <col width="14" customWidth="1" style="34" min="14" max="14"/>
    <col width="10" customWidth="1" style="34" min="15" max="15"/>
    <col width="15" customWidth="1" style="34" min="16" max="16"/>
    <col width="12" customWidth="1" style="34" min="17" max="17"/>
    <col width="13" customWidth="1" style="34" min="18" max="18"/>
  </cols>
  <sheetData>
    <row r="1" ht="25.95" customHeight="1" s="34">
      <c r="A1" s="35" t="inlineStr">
        <is>
          <t>VALIDATION PROGRESSIVE — SUIVI PAR ITEM</t>
        </is>
      </c>
    </row>
    <row r="2" ht="30" customHeight="1" s="34">
      <c r="A2" s="33" t="inlineStr">
        <is>
          <t>Feuille destinée à recevoir les statistiques pilote sans écraser l’historique.</t>
        </is>
      </c>
    </row>
    <row r="4" ht="30" customHeight="1" s="34">
      <c r="A4" s="12" t="inlineStr">
        <is>
          <t>item_id</t>
        </is>
      </c>
      <c r="B4" s="12" t="inlineStr">
        <is>
          <t>item_version</t>
        </is>
      </c>
      <c r="C4" s="12" t="inlineStr">
        <is>
          <t>dimension</t>
        </is>
      </c>
      <c r="D4" s="12" t="inlineStr">
        <is>
          <t>facette</t>
        </is>
      </c>
      <c r="E4" s="12" t="inlineStr">
        <is>
          <t>n_passations</t>
        </is>
      </c>
      <c r="F4" s="12" t="inlineStr">
        <is>
          <t>moyenne</t>
        </is>
      </c>
      <c r="G4" s="12" t="inlineStr">
        <is>
          <t>ecart_type</t>
        </is>
      </c>
      <c r="H4" s="12" t="inlineStr">
        <is>
          <t>taux_reponse_1</t>
        </is>
      </c>
      <c r="I4" s="12" t="inlineStr">
        <is>
          <t>taux_reponse_5</t>
        </is>
      </c>
      <c r="J4" s="12" t="inlineStr">
        <is>
          <t>corr_item_dimension</t>
        </is>
      </c>
      <c r="K4" s="12" t="inlineStr">
        <is>
          <t>corr_plus_forte_autre_dimension</t>
        </is>
      </c>
      <c r="L4" s="12" t="inlineStr">
        <is>
          <t>dimension_concurrente</t>
        </is>
      </c>
      <c r="M4" s="12" t="inlineStr">
        <is>
          <t>alerte_comprehension</t>
        </is>
      </c>
      <c r="N4" s="12" t="inlineStr">
        <is>
          <t>alerte_biais</t>
        </is>
      </c>
      <c r="O4" s="12" t="inlineStr">
        <is>
          <t>decision</t>
        </is>
      </c>
      <c r="P4" s="12" t="inlineStr">
        <is>
          <t>date_decision</t>
        </is>
      </c>
      <c r="Q4" s="12" t="inlineStr">
        <is>
          <t>validateur</t>
        </is>
      </c>
      <c r="R4" s="12" t="inlineStr">
        <is>
          <t>commentaire</t>
        </is>
      </c>
    </row>
    <row r="5" ht="100.8" customHeight="1" s="34">
      <c r="A5" s="13">
        <f>QUESTIONS!A5</f>
        <v/>
      </c>
      <c r="B5" s="13">
        <f>QUESTIONS!B5</f>
        <v/>
      </c>
      <c r="C5" s="13">
        <f>QUESTIONS!H5</f>
        <v/>
      </c>
      <c r="D5" s="13">
        <f>QUESTIONS!I5</f>
        <v/>
      </c>
      <c r="E5" s="13">
        <f>QUESTIONS!AJ5</f>
        <v/>
      </c>
      <c r="F5" s="6" t="n"/>
      <c r="G5" s="6" t="n"/>
      <c r="H5" s="6" t="n"/>
      <c r="I5" s="6" t="n"/>
      <c r="J5" s="6" t="n"/>
      <c r="K5" s="6" t="n"/>
      <c r="L5" s="6" t="inlineStr">
        <is>
          <t>A</t>
        </is>
      </c>
      <c r="M5" s="6" t="inlineStr">
        <is>
          <t>RAS_PRE_PILOTE</t>
        </is>
      </c>
      <c r="N5" s="6" t="inlineStr">
        <is>
          <t>A_SURVEILLER</t>
        </is>
      </c>
      <c r="O5" s="6" t="inlineStr">
        <is>
          <t>ADMETTRE_PILOTE</t>
        </is>
      </c>
      <c r="P5" s="6" t="inlineStr">
        <is>
          <t>08/09/2026</t>
        </is>
      </c>
      <c r="Q5" s="6" t="inlineStr">
        <is>
          <t>Clarté360 — revue méthodologique</t>
        </is>
      </c>
      <c r="R5" s="6" t="inlineStr">
        <is>
          <t>Qualification théorique avant pilote ; décision empirique à confirmer après collecte.</t>
        </is>
      </c>
    </row>
    <row r="6" ht="100.8" customHeight="1" s="34">
      <c r="A6" s="13">
        <f>QUESTIONS!A6</f>
        <v/>
      </c>
      <c r="B6" s="13">
        <f>QUESTIONS!B6</f>
        <v/>
      </c>
      <c r="C6" s="13">
        <f>QUESTIONS!H6</f>
        <v/>
      </c>
      <c r="D6" s="13">
        <f>QUESTIONS!I6</f>
        <v/>
      </c>
      <c r="E6" s="13">
        <f>QUESTIONS!AJ6</f>
        <v/>
      </c>
      <c r="F6" s="6" t="n"/>
      <c r="G6" s="6" t="n"/>
      <c r="H6" s="6" t="n"/>
      <c r="I6" s="6" t="n"/>
      <c r="J6" s="6" t="n"/>
      <c r="K6" s="6" t="n"/>
      <c r="L6" s="6" t="inlineStr">
        <is>
          <t>A</t>
        </is>
      </c>
      <c r="M6" s="6" t="inlineStr">
        <is>
          <t>RAS_PRE_PILOTE</t>
        </is>
      </c>
      <c r="N6" s="6" t="inlineStr">
        <is>
          <t>A_SURVEILLER</t>
        </is>
      </c>
      <c r="O6" s="6" t="inlineStr">
        <is>
          <t>ADMETTRE_PILOTE</t>
        </is>
      </c>
      <c r="P6" s="6" t="inlineStr">
        <is>
          <t>08/09/2026</t>
        </is>
      </c>
      <c r="Q6" s="6" t="inlineStr">
        <is>
          <t>Clarté360 — revue méthodologique</t>
        </is>
      </c>
      <c r="R6" s="6" t="inlineStr">
        <is>
          <t>Qualification théorique avant pilote ; décision empirique à confirmer après collecte.</t>
        </is>
      </c>
    </row>
    <row r="7" ht="100.8" customHeight="1" s="34">
      <c r="A7" s="13">
        <f>QUESTIONS!A7</f>
        <v/>
      </c>
      <c r="B7" s="13">
        <f>QUESTIONS!B7</f>
        <v/>
      </c>
      <c r="C7" s="13">
        <f>QUESTIONS!H7</f>
        <v/>
      </c>
      <c r="D7" s="13">
        <f>QUESTIONS!I7</f>
        <v/>
      </c>
      <c r="E7" s="13">
        <f>QUESTIONS!AJ7</f>
        <v/>
      </c>
      <c r="F7" s="6" t="n"/>
      <c r="G7" s="6" t="n"/>
      <c r="H7" s="6" t="n"/>
      <c r="I7" s="6" t="n"/>
      <c r="J7" s="6" t="n"/>
      <c r="K7" s="6" t="n"/>
      <c r="L7" s="6" t="inlineStr">
        <is>
          <t>A</t>
        </is>
      </c>
      <c r="M7" s="6" t="inlineStr">
        <is>
          <t>RAS_PRE_PILOTE</t>
        </is>
      </c>
      <c r="N7" s="6" t="inlineStr">
        <is>
          <t>A_SURVEILLER</t>
        </is>
      </c>
      <c r="O7" s="6" t="inlineStr">
        <is>
          <t>ADMETTRE_PILOTE</t>
        </is>
      </c>
      <c r="P7" s="6" t="inlineStr">
        <is>
          <t>08/09/2026</t>
        </is>
      </c>
      <c r="Q7" s="6" t="inlineStr">
        <is>
          <t>Clarté360 — revue méthodologique</t>
        </is>
      </c>
      <c r="R7" s="6" t="inlineStr">
        <is>
          <t>Qualification théorique avant pilote ; décision empirique à confirmer après collecte.</t>
        </is>
      </c>
    </row>
    <row r="8" ht="100.8" customHeight="1" s="34">
      <c r="A8" s="13">
        <f>QUESTIONS!A8</f>
        <v/>
      </c>
      <c r="B8" s="13">
        <f>QUESTIONS!B8</f>
        <v/>
      </c>
      <c r="C8" s="13">
        <f>QUESTIONS!H8</f>
        <v/>
      </c>
      <c r="D8" s="13">
        <f>QUESTIONS!I8</f>
        <v/>
      </c>
      <c r="E8" s="13">
        <f>QUESTIONS!AJ8</f>
        <v/>
      </c>
      <c r="F8" s="6" t="n"/>
      <c r="G8" s="6" t="n"/>
      <c r="H8" s="6" t="n"/>
      <c r="I8" s="6" t="n"/>
      <c r="J8" s="6" t="n"/>
      <c r="K8" s="6" t="n"/>
      <c r="L8" s="6" t="inlineStr">
        <is>
          <t>A</t>
        </is>
      </c>
      <c r="M8" s="6" t="inlineStr">
        <is>
          <t>RAS_PRE_PILOTE</t>
        </is>
      </c>
      <c r="N8" s="6" t="inlineStr">
        <is>
          <t>A_SURVEILLER</t>
        </is>
      </c>
      <c r="O8" s="6" t="inlineStr">
        <is>
          <t>ADMETTRE_PILOTE</t>
        </is>
      </c>
      <c r="P8" s="6" t="inlineStr">
        <is>
          <t>08/09/2026</t>
        </is>
      </c>
      <c r="Q8" s="6" t="inlineStr">
        <is>
          <t>Clarté360 — revue méthodologique</t>
        </is>
      </c>
      <c r="R8" s="6" t="inlineStr">
        <is>
          <t>Qualification théorique avant pilote ; décision empirique à confirmer après collecte.</t>
        </is>
      </c>
    </row>
    <row r="9" ht="100.8" customHeight="1" s="34">
      <c r="A9" s="13">
        <f>QUESTIONS!A9</f>
        <v/>
      </c>
      <c r="B9" s="13">
        <f>QUESTIONS!B9</f>
        <v/>
      </c>
      <c r="C9" s="13">
        <f>QUESTIONS!H9</f>
        <v/>
      </c>
      <c r="D9" s="13">
        <f>QUESTIONS!I9</f>
        <v/>
      </c>
      <c r="E9" s="13">
        <f>QUESTIONS!AJ9</f>
        <v/>
      </c>
      <c r="F9" s="6" t="n"/>
      <c r="G9" s="6" t="n"/>
      <c r="H9" s="6" t="n"/>
      <c r="I9" s="6" t="n"/>
      <c r="J9" s="6" t="n"/>
      <c r="K9" s="6" t="n"/>
      <c r="L9" s="6" t="inlineStr">
        <is>
          <t>I</t>
        </is>
      </c>
      <c r="M9" s="6" t="inlineStr">
        <is>
          <t>RAS_PRE_PILOTE</t>
        </is>
      </c>
      <c r="N9" s="6" t="inlineStr">
        <is>
          <t>A_SURVEILLER</t>
        </is>
      </c>
      <c r="O9" s="6" t="inlineStr">
        <is>
          <t>ADMETTRE_PILOTE</t>
        </is>
      </c>
      <c r="P9" s="6" t="inlineStr">
        <is>
          <t>08/09/2026</t>
        </is>
      </c>
      <c r="Q9" s="6" t="inlineStr">
        <is>
          <t>Clarté360 — revue méthodologique</t>
        </is>
      </c>
      <c r="R9" s="6" t="inlineStr">
        <is>
          <t>Qualification théorique avant pilote ; décision empirique à confirmer après collecte.</t>
        </is>
      </c>
    </row>
    <row r="10" ht="100.8" customHeight="1" s="34">
      <c r="A10" s="13">
        <f>QUESTIONS!A10</f>
        <v/>
      </c>
      <c r="B10" s="13">
        <f>QUESTIONS!B10</f>
        <v/>
      </c>
      <c r="C10" s="13">
        <f>QUESTIONS!H10</f>
        <v/>
      </c>
      <c r="D10" s="13">
        <f>QUESTIONS!I10</f>
        <v/>
      </c>
      <c r="E10" s="13">
        <f>QUESTIONS!AJ10</f>
        <v/>
      </c>
      <c r="F10" s="6" t="n"/>
      <c r="G10" s="6" t="n"/>
      <c r="H10" s="6" t="n"/>
      <c r="I10" s="6" t="n"/>
      <c r="J10" s="6" t="n"/>
      <c r="K10" s="6" t="n"/>
      <c r="L10" s="6" t="inlineStr">
        <is>
          <t>I</t>
        </is>
      </c>
      <c r="M10" s="6" t="inlineStr">
        <is>
          <t>RAS_PRE_PILOTE</t>
        </is>
      </c>
      <c r="N10" s="6" t="inlineStr">
        <is>
          <t>A_SURVEILLER</t>
        </is>
      </c>
      <c r="O10" s="6" t="inlineStr">
        <is>
          <t>ADMETTRE_PILOTE</t>
        </is>
      </c>
      <c r="P10" s="6" t="inlineStr">
        <is>
          <t>08/09/2026</t>
        </is>
      </c>
      <c r="Q10" s="6" t="inlineStr">
        <is>
          <t>Clarté360 — revue méthodologique</t>
        </is>
      </c>
      <c r="R10" s="6" t="inlineStr">
        <is>
          <t>Qualification théorique avant pilote ; décision empirique à confirmer après collecte.</t>
        </is>
      </c>
    </row>
    <row r="11" ht="100.8" customHeight="1" s="34">
      <c r="A11" s="13">
        <f>QUESTIONS!A11</f>
        <v/>
      </c>
      <c r="B11" s="13">
        <f>QUESTIONS!B11</f>
        <v/>
      </c>
      <c r="C11" s="13">
        <f>QUESTIONS!H11</f>
        <v/>
      </c>
      <c r="D11" s="13">
        <f>QUESTIONS!I11</f>
        <v/>
      </c>
      <c r="E11" s="13">
        <f>QUESTIONS!AJ11</f>
        <v/>
      </c>
      <c r="F11" s="6" t="n"/>
      <c r="G11" s="6" t="n"/>
      <c r="H11" s="6" t="n"/>
      <c r="I11" s="6" t="n"/>
      <c r="J11" s="6" t="n"/>
      <c r="K11" s="6" t="n"/>
      <c r="L11" s="6" t="inlineStr">
        <is>
          <t>I</t>
        </is>
      </c>
      <c r="M11" s="6" t="inlineStr">
        <is>
          <t>RAS_PRE_PILOTE</t>
        </is>
      </c>
      <c r="N11" s="6" t="inlineStr">
        <is>
          <t>A_SURVEILLER</t>
        </is>
      </c>
      <c r="O11" s="6" t="inlineStr">
        <is>
          <t>ADMETTRE_PILOTE</t>
        </is>
      </c>
      <c r="P11" s="6" t="inlineStr">
        <is>
          <t>08/09/2026</t>
        </is>
      </c>
      <c r="Q11" s="6" t="inlineStr">
        <is>
          <t>Clarté360 — revue méthodologique</t>
        </is>
      </c>
      <c r="R11" s="6" t="inlineStr">
        <is>
          <t>Qualification théorique avant pilote ; décision empirique à confirmer après collecte.</t>
        </is>
      </c>
    </row>
    <row r="12" ht="100.8" customHeight="1" s="34">
      <c r="A12" s="13">
        <f>QUESTIONS!A12</f>
        <v/>
      </c>
      <c r="B12" s="13">
        <f>QUESTIONS!B12</f>
        <v/>
      </c>
      <c r="C12" s="13">
        <f>QUESTIONS!H12</f>
        <v/>
      </c>
      <c r="D12" s="13">
        <f>QUESTIONS!I12</f>
        <v/>
      </c>
      <c r="E12" s="13">
        <f>QUESTIONS!AJ12</f>
        <v/>
      </c>
      <c r="F12" s="6" t="n"/>
      <c r="G12" s="6" t="n"/>
      <c r="H12" s="6" t="n"/>
      <c r="I12" s="6" t="n"/>
      <c r="J12" s="6" t="n"/>
      <c r="K12" s="6" t="n"/>
      <c r="L12" s="6" t="inlineStr">
        <is>
          <t>I</t>
        </is>
      </c>
      <c r="M12" s="6" t="inlineStr">
        <is>
          <t>RAS_PRE_PILOTE</t>
        </is>
      </c>
      <c r="N12" s="6" t="inlineStr">
        <is>
          <t>A_SURVEILLER</t>
        </is>
      </c>
      <c r="O12" s="6" t="inlineStr">
        <is>
          <t>ADMETTRE_PILOTE</t>
        </is>
      </c>
      <c r="P12" s="6" t="inlineStr">
        <is>
          <t>08/09/2026</t>
        </is>
      </c>
      <c r="Q12" s="6" t="inlineStr">
        <is>
          <t>Clarté360 — revue méthodologique</t>
        </is>
      </c>
      <c r="R12" s="6" t="inlineStr">
        <is>
          <t>Qualification théorique avant pilote ; décision empirique à confirmer après collecte.</t>
        </is>
      </c>
    </row>
    <row r="13" ht="100.8" customHeight="1" s="34">
      <c r="A13" s="13">
        <f>QUESTIONS!A13</f>
        <v/>
      </c>
      <c r="B13" s="13">
        <f>QUESTIONS!B13</f>
        <v/>
      </c>
      <c r="C13" s="13">
        <f>QUESTIONS!H13</f>
        <v/>
      </c>
      <c r="D13" s="13">
        <f>QUESTIONS!I13</f>
        <v/>
      </c>
      <c r="E13" s="13">
        <f>QUESTIONS!AJ13</f>
        <v/>
      </c>
      <c r="F13" s="6" t="n"/>
      <c r="G13" s="6" t="n"/>
      <c r="H13" s="6" t="n"/>
      <c r="I13" s="6" t="n"/>
      <c r="J13" s="6" t="n"/>
      <c r="K13" s="6" t="n"/>
      <c r="L13" s="6" t="inlineStr">
        <is>
          <t>I</t>
        </is>
      </c>
      <c r="M13" s="6" t="inlineStr">
        <is>
          <t>RAS_PRE_PILOTE</t>
        </is>
      </c>
      <c r="N13" s="6" t="inlineStr">
        <is>
          <t>A_SURVEILLER</t>
        </is>
      </c>
      <c r="O13" s="6" t="inlineStr">
        <is>
          <t>ADMETTRE_PILOTE</t>
        </is>
      </c>
      <c r="P13" s="6" t="inlineStr">
        <is>
          <t>08/09/2026</t>
        </is>
      </c>
      <c r="Q13" s="6" t="inlineStr">
        <is>
          <t>Clarté360 — revue méthodologique</t>
        </is>
      </c>
      <c r="R13" s="6" t="inlineStr">
        <is>
          <t>Qualification théorique avant pilote ; décision empirique à confirmer après collecte.</t>
        </is>
      </c>
    </row>
    <row r="14" ht="100.8" customHeight="1" s="34">
      <c r="A14" s="13">
        <f>QUESTIONS!A14</f>
        <v/>
      </c>
      <c r="B14" s="13">
        <f>QUESTIONS!B14</f>
        <v/>
      </c>
      <c r="C14" s="13">
        <f>QUESTIONS!H14</f>
        <v/>
      </c>
      <c r="D14" s="13">
        <f>QUESTIONS!I14</f>
        <v/>
      </c>
      <c r="E14" s="13">
        <f>QUESTIONS!AJ14</f>
        <v/>
      </c>
      <c r="F14" s="6" t="n"/>
      <c r="G14" s="6" t="n"/>
      <c r="H14" s="6" t="n"/>
      <c r="I14" s="6" t="n"/>
      <c r="J14" s="6" t="n"/>
      <c r="K14" s="6" t="n"/>
      <c r="L14" s="6" t="inlineStr">
        <is>
          <t>I</t>
        </is>
      </c>
      <c r="M14" s="6" t="inlineStr">
        <is>
          <t>RAS_PRE_PILOTE</t>
        </is>
      </c>
      <c r="N14" s="6" t="inlineStr">
        <is>
          <t>A_SURVEILLER</t>
        </is>
      </c>
      <c r="O14" s="6" t="inlineStr">
        <is>
          <t>ADMETTRE_PILOTE</t>
        </is>
      </c>
      <c r="P14" s="6" t="inlineStr">
        <is>
          <t>08/09/2026</t>
        </is>
      </c>
      <c r="Q14" s="6" t="inlineStr">
        <is>
          <t>Clarté360 — revue méthodologique</t>
        </is>
      </c>
      <c r="R14" s="6" t="inlineStr">
        <is>
          <t>Qualification théorique avant pilote ; décision empirique à confirmer après collecte.</t>
        </is>
      </c>
    </row>
    <row r="15" ht="100.8" customHeight="1" s="34">
      <c r="A15" s="13">
        <f>QUESTIONS!A15</f>
        <v/>
      </c>
      <c r="B15" s="13">
        <f>QUESTIONS!B15</f>
        <v/>
      </c>
      <c r="C15" s="13">
        <f>QUESTIONS!H15</f>
        <v/>
      </c>
      <c r="D15" s="13">
        <f>QUESTIONS!I15</f>
        <v/>
      </c>
      <c r="E15" s="13">
        <f>QUESTIONS!AJ15</f>
        <v/>
      </c>
      <c r="F15" s="6" t="n"/>
      <c r="G15" s="6" t="n"/>
      <c r="H15" s="6" t="n"/>
      <c r="I15" s="6" t="n"/>
      <c r="J15" s="6" t="n"/>
      <c r="K15" s="6" t="n"/>
      <c r="L15" s="6" t="inlineStr">
        <is>
          <t>I</t>
        </is>
      </c>
      <c r="M15" s="6" t="inlineStr">
        <is>
          <t>RAS_PRE_PILOTE</t>
        </is>
      </c>
      <c r="N15" s="6" t="inlineStr">
        <is>
          <t>A_SURVEILLER</t>
        </is>
      </c>
      <c r="O15" s="6" t="inlineStr">
        <is>
          <t>ADMETTRE_PILOTE</t>
        </is>
      </c>
      <c r="P15" s="6" t="inlineStr">
        <is>
          <t>08/09/2026</t>
        </is>
      </c>
      <c r="Q15" s="6" t="inlineStr">
        <is>
          <t>Clarté360 — revue méthodologique</t>
        </is>
      </c>
      <c r="R15" s="6" t="inlineStr">
        <is>
          <t>Qualification théorique avant pilote ; décision empirique à confirmer après collecte.</t>
        </is>
      </c>
    </row>
    <row r="16" ht="100.8" customHeight="1" s="34">
      <c r="A16" s="13">
        <f>QUESTIONS!A16</f>
        <v/>
      </c>
      <c r="B16" s="13">
        <f>QUESTIONS!B16</f>
        <v/>
      </c>
      <c r="C16" s="13">
        <f>QUESTIONS!H16</f>
        <v/>
      </c>
      <c r="D16" s="13">
        <f>QUESTIONS!I16</f>
        <v/>
      </c>
      <c r="E16" s="13">
        <f>QUESTIONS!AJ16</f>
        <v/>
      </c>
      <c r="F16" s="6" t="n"/>
      <c r="G16" s="6" t="n"/>
      <c r="H16" s="6" t="n"/>
      <c r="I16" s="6" t="n"/>
      <c r="J16" s="6" t="n"/>
      <c r="K16" s="6" t="n"/>
      <c r="L16" s="6" t="inlineStr">
        <is>
          <t>I</t>
        </is>
      </c>
      <c r="M16" s="6" t="inlineStr">
        <is>
          <t>RAS_PRE_PILOTE</t>
        </is>
      </c>
      <c r="N16" s="6" t="inlineStr">
        <is>
          <t>A_SURVEILLER</t>
        </is>
      </c>
      <c r="O16" s="6" t="inlineStr">
        <is>
          <t>ADMETTRE_PILOTE</t>
        </is>
      </c>
      <c r="P16" s="6" t="inlineStr">
        <is>
          <t>08/09/2026</t>
        </is>
      </c>
      <c r="Q16" s="6" t="inlineStr">
        <is>
          <t>Clarté360 — revue méthodologique</t>
        </is>
      </c>
      <c r="R16" s="6" t="inlineStr">
        <is>
          <t>Qualification théorique avant pilote ; décision empirique à confirmer après collecte.</t>
        </is>
      </c>
    </row>
    <row r="17" ht="100.8" customHeight="1" s="34">
      <c r="A17" s="13">
        <f>QUESTIONS!A17</f>
        <v/>
      </c>
      <c r="B17" s="13">
        <f>QUESTIONS!B17</f>
        <v/>
      </c>
      <c r="C17" s="13">
        <f>QUESTIONS!H17</f>
        <v/>
      </c>
      <c r="D17" s="13">
        <f>QUESTIONS!I17</f>
        <v/>
      </c>
      <c r="E17" s="13">
        <f>QUESTIONS!AJ17</f>
        <v/>
      </c>
      <c r="F17" s="6" t="n"/>
      <c r="G17" s="6" t="n"/>
      <c r="H17" s="6" t="n"/>
      <c r="I17" s="6" t="n"/>
      <c r="J17" s="6" t="n"/>
      <c r="K17" s="6" t="n"/>
      <c r="L17" s="6" t="inlineStr">
        <is>
          <t>I</t>
        </is>
      </c>
      <c r="M17" s="6" t="inlineStr">
        <is>
          <t>RAS_PRE_PILOTE</t>
        </is>
      </c>
      <c r="N17" s="6" t="inlineStr">
        <is>
          <t>A_SURVEILLER</t>
        </is>
      </c>
      <c r="O17" s="6" t="inlineStr">
        <is>
          <t>ADMETTRE_PILOTE</t>
        </is>
      </c>
      <c r="P17" s="6" t="inlineStr">
        <is>
          <t>08/09/2026</t>
        </is>
      </c>
      <c r="Q17" s="6" t="inlineStr">
        <is>
          <t>Clarté360 — revue méthodologique</t>
        </is>
      </c>
      <c r="R17" s="6" t="inlineStr">
        <is>
          <t>Qualification théorique avant pilote ; décision empirique à confirmer après collecte.</t>
        </is>
      </c>
    </row>
    <row r="18" ht="100.8" customHeight="1" s="34">
      <c r="A18" s="13">
        <f>QUESTIONS!A18</f>
        <v/>
      </c>
      <c r="B18" s="13">
        <f>QUESTIONS!B18</f>
        <v/>
      </c>
      <c r="C18" s="13">
        <f>QUESTIONS!H18</f>
        <v/>
      </c>
      <c r="D18" s="13">
        <f>QUESTIONS!I18</f>
        <v/>
      </c>
      <c r="E18" s="13">
        <f>QUESTIONS!AJ18</f>
        <v/>
      </c>
      <c r="F18" s="6" t="n"/>
      <c r="G18" s="6" t="n"/>
      <c r="H18" s="6" t="n"/>
      <c r="I18" s="6" t="n"/>
      <c r="J18" s="6" t="n"/>
      <c r="K18" s="6" t="n"/>
      <c r="L18" s="6" t="inlineStr">
        <is>
          <t>I</t>
        </is>
      </c>
      <c r="M18" s="6" t="inlineStr">
        <is>
          <t>RAS_PRE_PILOTE</t>
        </is>
      </c>
      <c r="N18" s="6" t="inlineStr">
        <is>
          <t>A_SURVEILLER</t>
        </is>
      </c>
      <c r="O18" s="6" t="inlineStr">
        <is>
          <t>ADMETTRE_PILOTE</t>
        </is>
      </c>
      <c r="P18" s="6" t="inlineStr">
        <is>
          <t>08/09/2026</t>
        </is>
      </c>
      <c r="Q18" s="6" t="inlineStr">
        <is>
          <t>Clarté360 — revue méthodologique</t>
        </is>
      </c>
      <c r="R18" s="6" t="inlineStr">
        <is>
          <t>Qualification théorique avant pilote ; décision empirique à confirmer après collecte.</t>
        </is>
      </c>
    </row>
    <row r="19" ht="100.8" customHeight="1" s="34">
      <c r="A19" s="13">
        <f>QUESTIONS!A19</f>
        <v/>
      </c>
      <c r="B19" s="13">
        <f>QUESTIONS!B19</f>
        <v/>
      </c>
      <c r="C19" s="13">
        <f>QUESTIONS!H19</f>
        <v/>
      </c>
      <c r="D19" s="13">
        <f>QUESTIONS!I19</f>
        <v/>
      </c>
      <c r="E19" s="13">
        <f>QUESTIONS!AJ19</f>
        <v/>
      </c>
      <c r="F19" s="6" t="n"/>
      <c r="G19" s="6" t="n"/>
      <c r="H19" s="6" t="n"/>
      <c r="I19" s="6" t="n"/>
      <c r="J19" s="6" t="n"/>
      <c r="K19" s="6" t="n"/>
      <c r="L19" s="6" t="inlineStr">
        <is>
          <t>I</t>
        </is>
      </c>
      <c r="M19" s="6" t="inlineStr">
        <is>
          <t>RAS_PRE_PILOTE</t>
        </is>
      </c>
      <c r="N19" s="6" t="inlineStr">
        <is>
          <t>A_SURVEILLER</t>
        </is>
      </c>
      <c r="O19" s="6" t="inlineStr">
        <is>
          <t>ADMETTRE_PILOTE</t>
        </is>
      </c>
      <c r="P19" s="6" t="inlineStr">
        <is>
          <t>08/09/2026</t>
        </is>
      </c>
      <c r="Q19" s="6" t="inlineStr">
        <is>
          <t>Clarté360 — revue méthodologique</t>
        </is>
      </c>
      <c r="R19" s="6" t="inlineStr">
        <is>
          <t>Qualification théorique avant pilote ; décision empirique à confirmer après collecte.</t>
        </is>
      </c>
    </row>
    <row r="20" ht="100.8" customHeight="1" s="34">
      <c r="A20" s="13">
        <f>QUESTIONS!A20</f>
        <v/>
      </c>
      <c r="B20" s="13">
        <f>QUESTIONS!B20</f>
        <v/>
      </c>
      <c r="C20" s="13">
        <f>QUESTIONS!H20</f>
        <v/>
      </c>
      <c r="D20" s="13">
        <f>QUESTIONS!I20</f>
        <v/>
      </c>
      <c r="E20" s="13">
        <f>QUESTIONS!AJ20</f>
        <v/>
      </c>
      <c r="F20" s="6" t="n"/>
      <c r="G20" s="6" t="n"/>
      <c r="H20" s="6" t="n"/>
      <c r="I20" s="6" t="n"/>
      <c r="J20" s="6" t="n"/>
      <c r="K20" s="6" t="n"/>
      <c r="L20" s="6" t="inlineStr">
        <is>
          <t>I</t>
        </is>
      </c>
      <c r="M20" s="6" t="inlineStr">
        <is>
          <t>RAS_PRE_PILOTE</t>
        </is>
      </c>
      <c r="N20" s="6" t="inlineStr">
        <is>
          <t>A_SURVEILLER</t>
        </is>
      </c>
      <c r="O20" s="6" t="inlineStr">
        <is>
          <t>ADMETTRE_PILOTE</t>
        </is>
      </c>
      <c r="P20" s="6" t="inlineStr">
        <is>
          <t>08/09/2026</t>
        </is>
      </c>
      <c r="Q20" s="6" t="inlineStr">
        <is>
          <t>Clarté360 — revue méthodologique</t>
        </is>
      </c>
      <c r="R20" s="6" t="inlineStr">
        <is>
          <t>Qualification théorique avant pilote ; décision empirique à confirmer après collecte.</t>
        </is>
      </c>
    </row>
    <row r="21" ht="100.8" customHeight="1" s="34">
      <c r="A21" s="13">
        <f>QUESTIONS!A21</f>
        <v/>
      </c>
      <c r="B21" s="13">
        <f>QUESTIONS!B21</f>
        <v/>
      </c>
      <c r="C21" s="13">
        <f>QUESTIONS!H21</f>
        <v/>
      </c>
      <c r="D21" s="13">
        <f>QUESTIONS!I21</f>
        <v/>
      </c>
      <c r="E21" s="13">
        <f>QUESTIONS!AJ21</f>
        <v/>
      </c>
      <c r="F21" s="6" t="n"/>
      <c r="G21" s="6" t="n"/>
      <c r="H21" s="6" t="n"/>
      <c r="I21" s="6" t="n"/>
      <c r="J21" s="6" t="n"/>
      <c r="K21" s="6" t="n"/>
      <c r="L21" s="6" t="inlineStr">
        <is>
          <t>S,I</t>
        </is>
      </c>
      <c r="M21" s="6" t="inlineStr">
        <is>
          <t>RAS_PRE_PILOTE</t>
        </is>
      </c>
      <c r="N21" s="6" t="inlineStr">
        <is>
          <t>A_SURVEILLER</t>
        </is>
      </c>
      <c r="O21" s="6" t="inlineStr">
        <is>
          <t>ADMETTRE_PILOTE</t>
        </is>
      </c>
      <c r="P21" s="6" t="inlineStr">
        <is>
          <t>08/09/2026</t>
        </is>
      </c>
      <c r="Q21" s="6" t="inlineStr">
        <is>
          <t>Clarté360 — revue méthodologique</t>
        </is>
      </c>
      <c r="R21" s="6" t="inlineStr">
        <is>
          <t>Qualification théorique avant pilote ; décision empirique à confirmer après collecte.</t>
        </is>
      </c>
    </row>
    <row r="22" ht="100.8" customHeight="1" s="34">
      <c r="A22" s="13">
        <f>QUESTIONS!A22</f>
        <v/>
      </c>
      <c r="B22" s="13">
        <f>QUESTIONS!B22</f>
        <v/>
      </c>
      <c r="C22" s="13">
        <f>QUESTIONS!H22</f>
        <v/>
      </c>
      <c r="D22" s="13">
        <f>QUESTIONS!I22</f>
        <v/>
      </c>
      <c r="E22" s="13">
        <f>QUESTIONS!AJ22</f>
        <v/>
      </c>
      <c r="F22" s="6" t="n"/>
      <c r="G22" s="6" t="n"/>
      <c r="H22" s="6" t="n"/>
      <c r="I22" s="6" t="n"/>
      <c r="J22" s="6" t="n"/>
      <c r="K22" s="6" t="n"/>
      <c r="L22" s="6" t="inlineStr">
        <is>
          <t>S,I</t>
        </is>
      </c>
      <c r="M22" s="6" t="inlineStr">
        <is>
          <t>RAS_PRE_PILOTE</t>
        </is>
      </c>
      <c r="N22" s="6" t="inlineStr">
        <is>
          <t>A_SURVEILLER</t>
        </is>
      </c>
      <c r="O22" s="6" t="inlineStr">
        <is>
          <t>ADMETTRE_PILOTE</t>
        </is>
      </c>
      <c r="P22" s="6" t="inlineStr">
        <is>
          <t>08/09/2026</t>
        </is>
      </c>
      <c r="Q22" s="6" t="inlineStr">
        <is>
          <t>Clarté360 — revue méthodologique</t>
        </is>
      </c>
      <c r="R22" s="6" t="inlineStr">
        <is>
          <t>Qualification théorique avant pilote ; décision empirique à confirmer après collecte.</t>
        </is>
      </c>
    </row>
    <row r="23" ht="100.8" customHeight="1" s="34">
      <c r="A23" s="13">
        <f>QUESTIONS!A23</f>
        <v/>
      </c>
      <c r="B23" s="13">
        <f>QUESTIONS!B23</f>
        <v/>
      </c>
      <c r="C23" s="13">
        <f>QUESTIONS!H23</f>
        <v/>
      </c>
      <c r="D23" s="13">
        <f>QUESTIONS!I23</f>
        <v/>
      </c>
      <c r="E23" s="13">
        <f>QUESTIONS!AJ23</f>
        <v/>
      </c>
      <c r="F23" s="6" t="n"/>
      <c r="G23" s="6" t="n"/>
      <c r="H23" s="6" t="n"/>
      <c r="I23" s="6" t="n"/>
      <c r="J23" s="6" t="n"/>
      <c r="K23" s="6" t="n"/>
      <c r="L23" s="6" t="inlineStr">
        <is>
          <t>S,I</t>
        </is>
      </c>
      <c r="M23" s="6" t="inlineStr">
        <is>
          <t>RAS_PRE_PILOTE</t>
        </is>
      </c>
      <c r="N23" s="6" t="inlineStr">
        <is>
          <t>A_SURVEILLER</t>
        </is>
      </c>
      <c r="O23" s="6" t="inlineStr">
        <is>
          <t>ADMETTRE_PILOTE</t>
        </is>
      </c>
      <c r="P23" s="6" t="inlineStr">
        <is>
          <t>08/09/2026</t>
        </is>
      </c>
      <c r="Q23" s="6" t="inlineStr">
        <is>
          <t>Clarté360 — revue méthodologique</t>
        </is>
      </c>
      <c r="R23" s="6" t="inlineStr">
        <is>
          <t>Qualification théorique avant pilote ; décision empirique à confirmer après collecte.</t>
        </is>
      </c>
    </row>
    <row r="24" ht="100.8" customHeight="1" s="34">
      <c r="A24" s="13">
        <f>QUESTIONS!A24</f>
        <v/>
      </c>
      <c r="B24" s="13">
        <f>QUESTIONS!B24</f>
        <v/>
      </c>
      <c r="C24" s="13">
        <f>QUESTIONS!H24</f>
        <v/>
      </c>
      <c r="D24" s="13">
        <f>QUESTIONS!I24</f>
        <v/>
      </c>
      <c r="E24" s="13">
        <f>QUESTIONS!AJ24</f>
        <v/>
      </c>
      <c r="F24" s="6" t="n"/>
      <c r="G24" s="6" t="n"/>
      <c r="H24" s="6" t="n"/>
      <c r="I24" s="6" t="n"/>
      <c r="J24" s="6" t="n"/>
      <c r="K24" s="6" t="n"/>
      <c r="L24" s="6" t="inlineStr">
        <is>
          <t>S,I</t>
        </is>
      </c>
      <c r="M24" s="6" t="inlineStr">
        <is>
          <t>RAS_PRE_PILOTE</t>
        </is>
      </c>
      <c r="N24" s="6" t="inlineStr">
        <is>
          <t>A_SURVEILLER</t>
        </is>
      </c>
      <c r="O24" s="6" t="inlineStr">
        <is>
          <t>ADMETTRE_PILOTE</t>
        </is>
      </c>
      <c r="P24" s="6" t="inlineStr">
        <is>
          <t>08/09/2026</t>
        </is>
      </c>
      <c r="Q24" s="6" t="inlineStr">
        <is>
          <t>Clarté360 — revue méthodologique</t>
        </is>
      </c>
      <c r="R24" s="6" t="inlineStr">
        <is>
          <t>Qualification théorique avant pilote ; décision empirique à confirmer après collecte.</t>
        </is>
      </c>
    </row>
    <row r="25" ht="100.8" customHeight="1" s="34">
      <c r="A25" s="13">
        <f>QUESTIONS!A25</f>
        <v/>
      </c>
      <c r="B25" s="13">
        <f>QUESTIONS!B25</f>
        <v/>
      </c>
      <c r="C25" s="13">
        <f>QUESTIONS!H25</f>
        <v/>
      </c>
      <c r="D25" s="13">
        <f>QUESTIONS!I25</f>
        <v/>
      </c>
      <c r="E25" s="13">
        <f>QUESTIONS!AJ25</f>
        <v/>
      </c>
      <c r="F25" s="6" t="n"/>
      <c r="G25" s="6" t="n"/>
      <c r="H25" s="6" t="n"/>
      <c r="I25" s="6" t="n"/>
      <c r="J25" s="6" t="n"/>
      <c r="K25" s="6" t="n"/>
      <c r="L25" s="6" t="inlineStr">
        <is>
          <t>C</t>
        </is>
      </c>
      <c r="M25" s="6" t="inlineStr">
        <is>
          <t>A_SURVEILLER</t>
        </is>
      </c>
      <c r="N25" s="6" t="inlineStr">
        <is>
          <t>A_SURVEILLER</t>
        </is>
      </c>
      <c r="O25" s="6" t="inlineStr">
        <is>
          <t>ADMETTRE_PILOTE</t>
        </is>
      </c>
      <c r="P25" s="6" t="inlineStr">
        <is>
          <t>08/09/2026</t>
        </is>
      </c>
      <c r="Q25" s="6" t="inlineStr">
        <is>
          <t>Clarté360 — revue méthodologique</t>
        </is>
      </c>
      <c r="R25" s="6" t="inlineStr">
        <is>
          <t>Qualification théorique avant pilote ; décision empirique à confirmer après collecte.</t>
        </is>
      </c>
    </row>
    <row r="26" ht="100.8" customHeight="1" s="34">
      <c r="A26" s="13">
        <f>QUESTIONS!A26</f>
        <v/>
      </c>
      <c r="B26" s="13">
        <f>QUESTIONS!B26</f>
        <v/>
      </c>
      <c r="C26" s="13">
        <f>QUESTIONS!H26</f>
        <v/>
      </c>
      <c r="D26" s="13">
        <f>QUESTIONS!I26</f>
        <v/>
      </c>
      <c r="E26" s="13">
        <f>QUESTIONS!AJ26</f>
        <v/>
      </c>
      <c r="F26" s="6" t="n"/>
      <c r="G26" s="6" t="n"/>
      <c r="H26" s="6" t="n"/>
      <c r="I26" s="6" t="n"/>
      <c r="J26" s="6" t="n"/>
      <c r="K26" s="6" t="n"/>
      <c r="L26" s="6" t="inlineStr">
        <is>
          <t>C</t>
        </is>
      </c>
      <c r="M26" s="6" t="inlineStr">
        <is>
          <t>A_SURVEILLER</t>
        </is>
      </c>
      <c r="N26" s="6" t="inlineStr">
        <is>
          <t>A_SURVEILLER</t>
        </is>
      </c>
      <c r="O26" s="6" t="inlineStr">
        <is>
          <t>ADMETTRE_PILOTE</t>
        </is>
      </c>
      <c r="P26" s="6" t="inlineStr">
        <is>
          <t>08/09/2026</t>
        </is>
      </c>
      <c r="Q26" s="6" t="inlineStr">
        <is>
          <t>Clarté360 — revue méthodologique</t>
        </is>
      </c>
      <c r="R26" s="6" t="inlineStr">
        <is>
          <t>Qualification théorique avant pilote ; décision empirique à confirmer après collecte.</t>
        </is>
      </c>
    </row>
    <row r="27" ht="100.8" customHeight="1" s="34">
      <c r="A27" s="13">
        <f>QUESTIONS!A27</f>
        <v/>
      </c>
      <c r="B27" s="13">
        <f>QUESTIONS!B27</f>
        <v/>
      </c>
      <c r="C27" s="13">
        <f>QUESTIONS!H27</f>
        <v/>
      </c>
      <c r="D27" s="13">
        <f>QUESTIONS!I27</f>
        <v/>
      </c>
      <c r="E27" s="13">
        <f>QUESTIONS!AJ27</f>
        <v/>
      </c>
      <c r="F27" s="6" t="n"/>
      <c r="G27" s="6" t="n"/>
      <c r="H27" s="6" t="n"/>
      <c r="I27" s="6" t="n"/>
      <c r="J27" s="6" t="n"/>
      <c r="K27" s="6" t="n"/>
      <c r="L27" s="6" t="inlineStr">
        <is>
          <t>C</t>
        </is>
      </c>
      <c r="M27" s="6" t="inlineStr">
        <is>
          <t>A_SURVEILLER</t>
        </is>
      </c>
      <c r="N27" s="6" t="inlineStr">
        <is>
          <t>A_SURVEILLER</t>
        </is>
      </c>
      <c r="O27" s="6" t="inlineStr">
        <is>
          <t>ADMETTRE_PILOTE</t>
        </is>
      </c>
      <c r="P27" s="6" t="inlineStr">
        <is>
          <t>08/09/2026</t>
        </is>
      </c>
      <c r="Q27" s="6" t="inlineStr">
        <is>
          <t>Clarté360 — revue méthodologique</t>
        </is>
      </c>
      <c r="R27" s="6" t="inlineStr">
        <is>
          <t>Qualification théorique avant pilote ; décision empirique à confirmer après collecte.</t>
        </is>
      </c>
    </row>
    <row r="28" ht="100.8" customHeight="1" s="34">
      <c r="A28" s="13">
        <f>QUESTIONS!A28</f>
        <v/>
      </c>
      <c r="B28" s="13">
        <f>QUESTIONS!B28</f>
        <v/>
      </c>
      <c r="C28" s="13">
        <f>QUESTIONS!H28</f>
        <v/>
      </c>
      <c r="D28" s="13">
        <f>QUESTIONS!I28</f>
        <v/>
      </c>
      <c r="E28" s="13">
        <f>QUESTIONS!AJ28</f>
        <v/>
      </c>
      <c r="F28" s="6" t="n"/>
      <c r="G28" s="6" t="n"/>
      <c r="H28" s="6" t="n"/>
      <c r="I28" s="6" t="n"/>
      <c r="J28" s="6" t="n"/>
      <c r="K28" s="6" t="n"/>
      <c r="L28" s="6" t="inlineStr">
        <is>
          <t>C</t>
        </is>
      </c>
      <c r="M28" s="6" t="inlineStr">
        <is>
          <t>A_SURVEILLER</t>
        </is>
      </c>
      <c r="N28" s="6" t="inlineStr">
        <is>
          <t>A_SURVEILLER</t>
        </is>
      </c>
      <c r="O28" s="6" t="inlineStr">
        <is>
          <t>ADMETTRE_PILOTE</t>
        </is>
      </c>
      <c r="P28" s="6" t="inlineStr">
        <is>
          <t>08/09/2026</t>
        </is>
      </c>
      <c r="Q28" s="6" t="inlineStr">
        <is>
          <t>Clarté360 — revue méthodologique</t>
        </is>
      </c>
      <c r="R28" s="6" t="inlineStr">
        <is>
          <t>Qualification théorique avant pilote ; décision empirique à confirmer après collecte.</t>
        </is>
      </c>
    </row>
    <row r="29" ht="100.8" customHeight="1" s="34">
      <c r="A29" s="13">
        <f>QUESTIONS!A29</f>
        <v/>
      </c>
      <c r="B29" s="13">
        <f>QUESTIONS!B29</f>
        <v/>
      </c>
      <c r="C29" s="13">
        <f>QUESTIONS!H29</f>
        <v/>
      </c>
      <c r="D29" s="13">
        <f>QUESTIONS!I29</f>
        <v/>
      </c>
      <c r="E29" s="13">
        <f>QUESTIONS!AJ29</f>
        <v/>
      </c>
      <c r="F29" s="6" t="n"/>
      <c r="G29" s="6" t="n"/>
      <c r="H29" s="6" t="n"/>
      <c r="I29" s="6" t="n"/>
      <c r="J29" s="6" t="n"/>
      <c r="K29" s="6" t="n"/>
      <c r="L29" s="6" t="inlineStr">
        <is>
          <t>C</t>
        </is>
      </c>
      <c r="M29" s="6" t="inlineStr">
        <is>
          <t>A_SURVEILLER</t>
        </is>
      </c>
      <c r="N29" s="6" t="inlineStr">
        <is>
          <t>A_SURVEILLER</t>
        </is>
      </c>
      <c r="O29" s="6" t="inlineStr">
        <is>
          <t>ADMETTRE_PILOTE</t>
        </is>
      </c>
      <c r="P29" s="6" t="inlineStr">
        <is>
          <t>08/09/2026</t>
        </is>
      </c>
      <c r="Q29" s="6" t="inlineStr">
        <is>
          <t>Clarté360 — revue méthodologique</t>
        </is>
      </c>
      <c r="R29" s="6" t="inlineStr">
        <is>
          <t>Qualification théorique avant pilote ; décision empirique à confirmer après collecte.</t>
        </is>
      </c>
    </row>
    <row r="30" ht="100.8" customHeight="1" s="34">
      <c r="A30" s="13">
        <f>QUESTIONS!A30</f>
        <v/>
      </c>
      <c r="B30" s="13">
        <f>QUESTIONS!B30</f>
        <v/>
      </c>
      <c r="C30" s="13">
        <f>QUESTIONS!H30</f>
        <v/>
      </c>
      <c r="D30" s="13">
        <f>QUESTIONS!I30</f>
        <v/>
      </c>
      <c r="E30" s="13">
        <f>QUESTIONS!AJ30</f>
        <v/>
      </c>
      <c r="F30" s="6" t="n"/>
      <c r="G30" s="6" t="n"/>
      <c r="H30" s="6" t="n"/>
      <c r="I30" s="6" t="n"/>
      <c r="J30" s="6" t="n"/>
      <c r="K30" s="6" t="n"/>
      <c r="L30" s="6" t="inlineStr">
        <is>
          <t>C</t>
        </is>
      </c>
      <c r="M30" s="6" t="inlineStr">
        <is>
          <t>A_SURVEILLER</t>
        </is>
      </c>
      <c r="N30" s="6" t="inlineStr">
        <is>
          <t>A_SURVEILLER</t>
        </is>
      </c>
      <c r="O30" s="6" t="inlineStr">
        <is>
          <t>ADMETTRE_PILOTE</t>
        </is>
      </c>
      <c r="P30" s="6" t="inlineStr">
        <is>
          <t>08/09/2026</t>
        </is>
      </c>
      <c r="Q30" s="6" t="inlineStr">
        <is>
          <t>Clarté360 — revue méthodologique</t>
        </is>
      </c>
      <c r="R30" s="6" t="inlineStr">
        <is>
          <t>Qualification théorique avant pilote ; décision empirique à confirmer après collecte.</t>
        </is>
      </c>
    </row>
    <row r="31" ht="100.8" customHeight="1" s="34">
      <c r="A31" s="13">
        <f>QUESTIONS!A31</f>
        <v/>
      </c>
      <c r="B31" s="13">
        <f>QUESTIONS!B31</f>
        <v/>
      </c>
      <c r="C31" s="13">
        <f>QUESTIONS!H31</f>
        <v/>
      </c>
      <c r="D31" s="13">
        <f>QUESTIONS!I31</f>
        <v/>
      </c>
      <c r="E31" s="13">
        <f>QUESTIONS!AJ31</f>
        <v/>
      </c>
      <c r="F31" s="6" t="n"/>
      <c r="G31" s="6" t="n"/>
      <c r="H31" s="6" t="n"/>
      <c r="I31" s="6" t="n"/>
      <c r="J31" s="6" t="n"/>
      <c r="K31" s="6" t="n"/>
      <c r="L31" s="6" t="inlineStr">
        <is>
          <t>C</t>
        </is>
      </c>
      <c r="M31" s="6" t="inlineStr">
        <is>
          <t>A_SURVEILLER</t>
        </is>
      </c>
      <c r="N31" s="6" t="inlineStr">
        <is>
          <t>A_SURVEILLER</t>
        </is>
      </c>
      <c r="O31" s="6" t="inlineStr">
        <is>
          <t>ADMETTRE_PILOTE</t>
        </is>
      </c>
      <c r="P31" s="6" t="inlineStr">
        <is>
          <t>08/09/2026</t>
        </is>
      </c>
      <c r="Q31" s="6" t="inlineStr">
        <is>
          <t>Clarté360 — revue méthodologique</t>
        </is>
      </c>
      <c r="R31" s="6" t="inlineStr">
        <is>
          <t>Qualification théorique avant pilote ; décision empirique à confirmer après collecte.</t>
        </is>
      </c>
    </row>
    <row r="32" ht="100.8" customHeight="1" s="34">
      <c r="A32" s="13">
        <f>QUESTIONS!A32</f>
        <v/>
      </c>
      <c r="B32" s="13">
        <f>QUESTIONS!B32</f>
        <v/>
      </c>
      <c r="C32" s="13">
        <f>QUESTIONS!H32</f>
        <v/>
      </c>
      <c r="D32" s="13">
        <f>QUESTIONS!I32</f>
        <v/>
      </c>
      <c r="E32" s="13">
        <f>QUESTIONS!AJ32</f>
        <v/>
      </c>
      <c r="F32" s="6" t="n"/>
      <c r="G32" s="6" t="n"/>
      <c r="H32" s="6" t="n"/>
      <c r="I32" s="6" t="n"/>
      <c r="J32" s="6" t="n"/>
      <c r="K32" s="6" t="n"/>
      <c r="L32" s="6" t="inlineStr">
        <is>
          <t>C</t>
        </is>
      </c>
      <c r="M32" s="6" t="inlineStr">
        <is>
          <t>A_SURVEILLER</t>
        </is>
      </c>
      <c r="N32" s="6" t="inlineStr">
        <is>
          <t>A_SURVEILLER</t>
        </is>
      </c>
      <c r="O32" s="6" t="inlineStr">
        <is>
          <t>ADMETTRE_PILOTE</t>
        </is>
      </c>
      <c r="P32" s="6" t="inlineStr">
        <is>
          <t>08/09/2026</t>
        </is>
      </c>
      <c r="Q32" s="6" t="inlineStr">
        <is>
          <t>Clarté360 — revue méthodologique</t>
        </is>
      </c>
      <c r="R32" s="6" t="inlineStr">
        <is>
          <t>Qualification théorique avant pilote ; décision empirique à confirmer après collecte.</t>
        </is>
      </c>
    </row>
    <row r="33" ht="100.8" customHeight="1" s="34">
      <c r="A33" s="13">
        <f>QUESTIONS!A33</f>
        <v/>
      </c>
      <c r="B33" s="13">
        <f>QUESTIONS!B33</f>
        <v/>
      </c>
      <c r="C33" s="13">
        <f>QUESTIONS!H33</f>
        <v/>
      </c>
      <c r="D33" s="13">
        <f>QUESTIONS!I33</f>
        <v/>
      </c>
      <c r="E33" s="13">
        <f>QUESTIONS!AJ33</f>
        <v/>
      </c>
      <c r="F33" s="6" t="n"/>
      <c r="G33" s="6" t="n"/>
      <c r="H33" s="6" t="n"/>
      <c r="I33" s="6" t="n"/>
      <c r="J33" s="6" t="n"/>
      <c r="K33" s="6" t="n"/>
      <c r="L33" s="6" t="inlineStr">
        <is>
          <t>C</t>
        </is>
      </c>
      <c r="M33" s="6" t="inlineStr">
        <is>
          <t>A_SURVEILLER</t>
        </is>
      </c>
      <c r="N33" s="6" t="inlineStr">
        <is>
          <t>A_SURVEILLER</t>
        </is>
      </c>
      <c r="O33" s="6" t="inlineStr">
        <is>
          <t>ADMETTRE_PILOTE</t>
        </is>
      </c>
      <c r="P33" s="6" t="inlineStr">
        <is>
          <t>08/09/2026</t>
        </is>
      </c>
      <c r="Q33" s="6" t="inlineStr">
        <is>
          <t>Clarté360 — revue méthodologique</t>
        </is>
      </c>
      <c r="R33" s="6" t="inlineStr">
        <is>
          <t>Qualification théorique avant pilote ; décision empirique à confirmer après collecte.</t>
        </is>
      </c>
    </row>
    <row r="34" ht="100.8" customHeight="1" s="34">
      <c r="A34" s="13">
        <f>QUESTIONS!A34</f>
        <v/>
      </c>
      <c r="B34" s="13">
        <f>QUESTIONS!B34</f>
        <v/>
      </c>
      <c r="C34" s="13">
        <f>QUESTIONS!H34</f>
        <v/>
      </c>
      <c r="D34" s="13">
        <f>QUESTIONS!I34</f>
        <v/>
      </c>
      <c r="E34" s="13">
        <f>QUESTIONS!AJ34</f>
        <v/>
      </c>
      <c r="F34" s="6" t="n"/>
      <c r="G34" s="6" t="n"/>
      <c r="H34" s="6" t="n"/>
      <c r="I34" s="6" t="n"/>
      <c r="J34" s="6" t="n"/>
      <c r="K34" s="6" t="n"/>
      <c r="L34" s="6" t="inlineStr">
        <is>
          <t>C</t>
        </is>
      </c>
      <c r="M34" s="6" t="inlineStr">
        <is>
          <t>A_SURVEILLER</t>
        </is>
      </c>
      <c r="N34" s="6" t="inlineStr">
        <is>
          <t>A_SURVEILLER</t>
        </is>
      </c>
      <c r="O34" s="6" t="inlineStr">
        <is>
          <t>ADMETTRE_PILOTE</t>
        </is>
      </c>
      <c r="P34" s="6" t="inlineStr">
        <is>
          <t>08/09/2026</t>
        </is>
      </c>
      <c r="Q34" s="6" t="inlineStr">
        <is>
          <t>Clarté360 — revue méthodologique</t>
        </is>
      </c>
      <c r="R34" s="6" t="inlineStr">
        <is>
          <t>Qualification théorique avant pilote ; décision empirique à confirmer après collecte.</t>
        </is>
      </c>
    </row>
    <row r="35" ht="100.8" customHeight="1" s="34">
      <c r="A35" s="13">
        <f>QUESTIONS!A35</f>
        <v/>
      </c>
      <c r="B35" s="13">
        <f>QUESTIONS!B35</f>
        <v/>
      </c>
      <c r="C35" s="13">
        <f>QUESTIONS!H35</f>
        <v/>
      </c>
      <c r="D35" s="13">
        <f>QUESTIONS!I35</f>
        <v/>
      </c>
      <c r="E35" s="13">
        <f>QUESTIONS!AJ35</f>
        <v/>
      </c>
      <c r="F35" s="6" t="n"/>
      <c r="G35" s="6" t="n"/>
      <c r="H35" s="6" t="n"/>
      <c r="I35" s="6" t="n"/>
      <c r="J35" s="6" t="n"/>
      <c r="K35" s="6" t="n"/>
      <c r="L35" s="6" t="inlineStr">
        <is>
          <t>C</t>
        </is>
      </c>
      <c r="M35" s="6" t="inlineStr">
        <is>
          <t>A_SURVEILLER</t>
        </is>
      </c>
      <c r="N35" s="6" t="inlineStr">
        <is>
          <t>A_SURVEILLER</t>
        </is>
      </c>
      <c r="O35" s="6" t="inlineStr">
        <is>
          <t>ADMETTRE_PILOTE</t>
        </is>
      </c>
      <c r="P35" s="6" t="inlineStr">
        <is>
          <t>08/09/2026</t>
        </is>
      </c>
      <c r="Q35" s="6" t="inlineStr">
        <is>
          <t>Clarté360 — revue méthodologique</t>
        </is>
      </c>
      <c r="R35" s="6" t="inlineStr">
        <is>
          <t>Qualification théorique avant pilote ; décision empirique à confirmer après collecte.</t>
        </is>
      </c>
    </row>
    <row r="36" ht="100.8" customHeight="1" s="34">
      <c r="A36" s="13">
        <f>QUESTIONS!A36</f>
        <v/>
      </c>
      <c r="B36" s="13">
        <f>QUESTIONS!B36</f>
        <v/>
      </c>
      <c r="C36" s="13">
        <f>QUESTIONS!H36</f>
        <v/>
      </c>
      <c r="D36" s="13">
        <f>QUESTIONS!I36</f>
        <v/>
      </c>
      <c r="E36" s="13">
        <f>QUESTIONS!AJ36</f>
        <v/>
      </c>
      <c r="F36" s="6" t="n"/>
      <c r="G36" s="6" t="n"/>
      <c r="H36" s="6" t="n"/>
      <c r="I36" s="6" t="n"/>
      <c r="J36" s="6" t="n"/>
      <c r="K36" s="6" t="n"/>
      <c r="L36" s="6" t="inlineStr">
        <is>
          <t>C</t>
        </is>
      </c>
      <c r="M36" s="6" t="inlineStr">
        <is>
          <t>A_SURVEILLER</t>
        </is>
      </c>
      <c r="N36" s="6" t="inlineStr">
        <is>
          <t>A_SURVEILLER</t>
        </is>
      </c>
      <c r="O36" s="6" t="inlineStr">
        <is>
          <t>ADMETTRE_PILOTE</t>
        </is>
      </c>
      <c r="P36" s="6" t="inlineStr">
        <is>
          <t>08/09/2026</t>
        </is>
      </c>
      <c r="Q36" s="6" t="inlineStr">
        <is>
          <t>Clarté360 — revue méthodologique</t>
        </is>
      </c>
      <c r="R36" s="6" t="inlineStr">
        <is>
          <t>Qualification théorique avant pilote ; décision empirique à confirmer après collecte.</t>
        </is>
      </c>
    </row>
    <row r="37" ht="100.8" customHeight="1" s="34">
      <c r="A37" s="13">
        <f>QUESTIONS!A37</f>
        <v/>
      </c>
      <c r="B37" s="13">
        <f>QUESTIONS!B37</f>
        <v/>
      </c>
      <c r="C37" s="13">
        <f>QUESTIONS!H37</f>
        <v/>
      </c>
      <c r="D37" s="13">
        <f>QUESTIONS!I37</f>
        <v/>
      </c>
      <c r="E37" s="13">
        <f>QUESTIONS!AJ37</f>
        <v/>
      </c>
      <c r="F37" s="6" t="n"/>
      <c r="G37" s="6" t="n"/>
      <c r="H37" s="6" t="n"/>
      <c r="I37" s="6" t="n"/>
      <c r="J37" s="6" t="n"/>
      <c r="K37" s="6" t="n"/>
      <c r="L37" s="6" t="inlineStr">
        <is>
          <t>R</t>
        </is>
      </c>
      <c r="M37" s="6" t="inlineStr">
        <is>
          <t>A_SURVEILLER</t>
        </is>
      </c>
      <c r="N37" s="6" t="inlineStr">
        <is>
          <t>A_SURVEILLER</t>
        </is>
      </c>
      <c r="O37" s="6" t="inlineStr">
        <is>
          <t>ADMETTRE_PILOTE</t>
        </is>
      </c>
      <c r="P37" s="6" t="inlineStr">
        <is>
          <t>08/09/2026</t>
        </is>
      </c>
      <c r="Q37" s="6" t="inlineStr">
        <is>
          <t>Clarté360 — revue méthodologique</t>
        </is>
      </c>
      <c r="R37" s="6" t="inlineStr">
        <is>
          <t>Qualification théorique avant pilote ; décision empirique à confirmer après collecte.</t>
        </is>
      </c>
    </row>
    <row r="38" ht="100.8" customHeight="1" s="34">
      <c r="A38" s="13">
        <f>QUESTIONS!A38</f>
        <v/>
      </c>
      <c r="B38" s="13">
        <f>QUESTIONS!B38</f>
        <v/>
      </c>
      <c r="C38" s="13">
        <f>QUESTIONS!H38</f>
        <v/>
      </c>
      <c r="D38" s="13">
        <f>QUESTIONS!I38</f>
        <v/>
      </c>
      <c r="E38" s="13">
        <f>QUESTIONS!AJ38</f>
        <v/>
      </c>
      <c r="F38" s="6" t="n"/>
      <c r="G38" s="6" t="n"/>
      <c r="H38" s="6" t="n"/>
      <c r="I38" s="6" t="n"/>
      <c r="J38" s="6" t="n"/>
      <c r="K38" s="6" t="n"/>
      <c r="L38" s="6" t="inlineStr">
        <is>
          <t>R</t>
        </is>
      </c>
      <c r="M38" s="6" t="inlineStr">
        <is>
          <t>A_SURVEILLER</t>
        </is>
      </c>
      <c r="N38" s="6" t="inlineStr">
        <is>
          <t>A_SURVEILLER</t>
        </is>
      </c>
      <c r="O38" s="6" t="inlineStr">
        <is>
          <t>ADMETTRE_PILOTE</t>
        </is>
      </c>
      <c r="P38" s="6" t="inlineStr">
        <is>
          <t>08/09/2026</t>
        </is>
      </c>
      <c r="Q38" s="6" t="inlineStr">
        <is>
          <t>Clarté360 — revue méthodologique</t>
        </is>
      </c>
      <c r="R38" s="6" t="inlineStr">
        <is>
          <t>Qualification théorique avant pilote ; décision empirique à confirmer après collecte.</t>
        </is>
      </c>
    </row>
    <row r="39" ht="100.8" customHeight="1" s="34">
      <c r="A39" s="13">
        <f>QUESTIONS!A39</f>
        <v/>
      </c>
      <c r="B39" s="13">
        <f>QUESTIONS!B39</f>
        <v/>
      </c>
      <c r="C39" s="13">
        <f>QUESTIONS!H39</f>
        <v/>
      </c>
      <c r="D39" s="13">
        <f>QUESTIONS!I39</f>
        <v/>
      </c>
      <c r="E39" s="13">
        <f>QUESTIONS!AJ39</f>
        <v/>
      </c>
      <c r="F39" s="6" t="n"/>
      <c r="G39" s="6" t="n"/>
      <c r="H39" s="6" t="n"/>
      <c r="I39" s="6" t="n"/>
      <c r="J39" s="6" t="n"/>
      <c r="K39" s="6" t="n"/>
      <c r="L39" s="6" t="inlineStr">
        <is>
          <t>R</t>
        </is>
      </c>
      <c r="M39" s="6" t="inlineStr">
        <is>
          <t>A_SURVEILLER</t>
        </is>
      </c>
      <c r="N39" s="6" t="inlineStr">
        <is>
          <t>A_SURVEILLER</t>
        </is>
      </c>
      <c r="O39" s="6" t="inlineStr">
        <is>
          <t>ADMETTRE_PILOTE</t>
        </is>
      </c>
      <c r="P39" s="6" t="inlineStr">
        <is>
          <t>08/09/2026</t>
        </is>
      </c>
      <c r="Q39" s="6" t="inlineStr">
        <is>
          <t>Clarté360 — revue méthodologique</t>
        </is>
      </c>
      <c r="R39" s="6" t="inlineStr">
        <is>
          <t>Qualification théorique avant pilote ; décision empirique à confirmer après collecte.</t>
        </is>
      </c>
    </row>
    <row r="40" ht="100.8" customHeight="1" s="34">
      <c r="A40" s="13">
        <f>QUESTIONS!A40</f>
        <v/>
      </c>
      <c r="B40" s="13">
        <f>QUESTIONS!B40</f>
        <v/>
      </c>
      <c r="C40" s="13">
        <f>QUESTIONS!H40</f>
        <v/>
      </c>
      <c r="D40" s="13">
        <f>QUESTIONS!I40</f>
        <v/>
      </c>
      <c r="E40" s="13">
        <f>QUESTIONS!AJ40</f>
        <v/>
      </c>
      <c r="F40" s="6" t="n"/>
      <c r="G40" s="6" t="n"/>
      <c r="H40" s="6" t="n"/>
      <c r="I40" s="6" t="n"/>
      <c r="J40" s="6" t="n"/>
      <c r="K40" s="6" t="n"/>
      <c r="L40" s="6" t="inlineStr">
        <is>
          <t>R</t>
        </is>
      </c>
      <c r="M40" s="6" t="inlineStr">
        <is>
          <t>A_SURVEILLER</t>
        </is>
      </c>
      <c r="N40" s="6" t="inlineStr">
        <is>
          <t>A_SURVEILLER</t>
        </is>
      </c>
      <c r="O40" s="6" t="inlineStr">
        <is>
          <t>ADMETTRE_PILOTE</t>
        </is>
      </c>
      <c r="P40" s="6" t="inlineStr">
        <is>
          <t>08/09/2026</t>
        </is>
      </c>
      <c r="Q40" s="6" t="inlineStr">
        <is>
          <t>Clarté360 — revue méthodologique</t>
        </is>
      </c>
      <c r="R40" s="6" t="inlineStr">
        <is>
          <t>Qualification théorique avant pilote ; décision empirique à confirmer après collecte.</t>
        </is>
      </c>
    </row>
    <row r="41" ht="100.8" customHeight="1" s="34">
      <c r="A41" s="13">
        <f>QUESTIONS!A41</f>
        <v/>
      </c>
      <c r="B41" s="13">
        <f>QUESTIONS!B41</f>
        <v/>
      </c>
      <c r="C41" s="13">
        <f>QUESTIONS!H41</f>
        <v/>
      </c>
      <c r="D41" s="13">
        <f>QUESTIONS!I41</f>
        <v/>
      </c>
      <c r="E41" s="13">
        <f>QUESTIONS!AJ41</f>
        <v/>
      </c>
      <c r="F41" s="6" t="n"/>
      <c r="G41" s="6" t="n"/>
      <c r="H41" s="6" t="n"/>
      <c r="I41" s="6" t="n"/>
      <c r="J41" s="6" t="n"/>
      <c r="K41" s="6" t="n"/>
      <c r="L41" s="6" t="inlineStr">
        <is>
          <t>R</t>
        </is>
      </c>
      <c r="M41" s="6" t="inlineStr">
        <is>
          <t>A_SURVEILLER</t>
        </is>
      </c>
      <c r="N41" s="6" t="inlineStr">
        <is>
          <t>A_SURVEILLER</t>
        </is>
      </c>
      <c r="O41" s="6" t="inlineStr">
        <is>
          <t>ADMETTRE_PILOTE</t>
        </is>
      </c>
      <c r="P41" s="6" t="inlineStr">
        <is>
          <t>08/09/2026</t>
        </is>
      </c>
      <c r="Q41" s="6" t="inlineStr">
        <is>
          <t>Clarté360 — revue méthodologique</t>
        </is>
      </c>
      <c r="R41" s="6" t="inlineStr">
        <is>
          <t>Qualification théorique avant pilote ; décision empirique à confirmer après collecte.</t>
        </is>
      </c>
    </row>
    <row r="42" ht="100.8" customHeight="1" s="34">
      <c r="A42" s="13">
        <f>QUESTIONS!A42</f>
        <v/>
      </c>
      <c r="B42" s="13">
        <f>QUESTIONS!B42</f>
        <v/>
      </c>
      <c r="C42" s="13">
        <f>QUESTIONS!H42</f>
        <v/>
      </c>
      <c r="D42" s="13">
        <f>QUESTIONS!I42</f>
        <v/>
      </c>
      <c r="E42" s="13">
        <f>QUESTIONS!AJ42</f>
        <v/>
      </c>
      <c r="F42" s="6" t="n"/>
      <c r="G42" s="6" t="n"/>
      <c r="H42" s="6" t="n"/>
      <c r="I42" s="6" t="n"/>
      <c r="J42" s="6" t="n"/>
      <c r="K42" s="6" t="n"/>
      <c r="L42" s="6" t="inlineStr">
        <is>
          <t>R</t>
        </is>
      </c>
      <c r="M42" s="6" t="inlineStr">
        <is>
          <t>A_SURVEILLER</t>
        </is>
      </c>
      <c r="N42" s="6" t="inlineStr">
        <is>
          <t>A_SURVEILLER</t>
        </is>
      </c>
      <c r="O42" s="6" t="inlineStr">
        <is>
          <t>ADMETTRE_PILOTE</t>
        </is>
      </c>
      <c r="P42" s="6" t="inlineStr">
        <is>
          <t>08/09/2026</t>
        </is>
      </c>
      <c r="Q42" s="6" t="inlineStr">
        <is>
          <t>Clarté360 — revue méthodologique</t>
        </is>
      </c>
      <c r="R42" s="6" t="inlineStr">
        <is>
          <t>Qualification théorique avant pilote ; décision empirique à confirmer après collecte.</t>
        </is>
      </c>
    </row>
    <row r="43" ht="100.8" customHeight="1" s="34">
      <c r="A43" s="13">
        <f>QUESTIONS!A43</f>
        <v/>
      </c>
      <c r="B43" s="13">
        <f>QUESTIONS!B43</f>
        <v/>
      </c>
      <c r="C43" s="13">
        <f>QUESTIONS!H43</f>
        <v/>
      </c>
      <c r="D43" s="13">
        <f>QUESTIONS!I43</f>
        <v/>
      </c>
      <c r="E43" s="13">
        <f>QUESTIONS!AJ43</f>
        <v/>
      </c>
      <c r="F43" s="6" t="n"/>
      <c r="G43" s="6" t="n"/>
      <c r="H43" s="6" t="n"/>
      <c r="I43" s="6" t="n"/>
      <c r="J43" s="6" t="n"/>
      <c r="K43" s="6" t="n"/>
      <c r="L43" s="6" t="inlineStr">
        <is>
          <t>R</t>
        </is>
      </c>
      <c r="M43" s="6" t="inlineStr">
        <is>
          <t>A_SURVEILLER</t>
        </is>
      </c>
      <c r="N43" s="6" t="inlineStr">
        <is>
          <t>A_SURVEILLER</t>
        </is>
      </c>
      <c r="O43" s="6" t="inlineStr">
        <is>
          <t>ADMETTRE_PILOTE</t>
        </is>
      </c>
      <c r="P43" s="6" t="inlineStr">
        <is>
          <t>08/09/2026</t>
        </is>
      </c>
      <c r="Q43" s="6" t="inlineStr">
        <is>
          <t>Clarté360 — revue méthodologique</t>
        </is>
      </c>
      <c r="R43" s="6" t="inlineStr">
        <is>
          <t>Qualification théorique avant pilote ; décision empirique à confirmer après collecte.</t>
        </is>
      </c>
    </row>
    <row r="44" ht="100.8" customHeight="1" s="34">
      <c r="A44" s="13">
        <f>QUESTIONS!A44</f>
        <v/>
      </c>
      <c r="B44" s="13">
        <f>QUESTIONS!B44</f>
        <v/>
      </c>
      <c r="C44" s="13">
        <f>QUESTIONS!H44</f>
        <v/>
      </c>
      <c r="D44" s="13">
        <f>QUESTIONS!I44</f>
        <v/>
      </c>
      <c r="E44" s="13">
        <f>QUESTIONS!AJ44</f>
        <v/>
      </c>
      <c r="F44" s="6" t="n"/>
      <c r="G44" s="6" t="n"/>
      <c r="H44" s="6" t="n"/>
      <c r="I44" s="6" t="n"/>
      <c r="J44" s="6" t="n"/>
      <c r="K44" s="6" t="n"/>
      <c r="L44" s="6" t="inlineStr">
        <is>
          <t>R</t>
        </is>
      </c>
      <c r="M44" s="6" t="inlineStr">
        <is>
          <t>A_SURVEILLER</t>
        </is>
      </c>
      <c r="N44" s="6" t="inlineStr">
        <is>
          <t>A_SURVEILLER</t>
        </is>
      </c>
      <c r="O44" s="6" t="inlineStr">
        <is>
          <t>ADMETTRE_PILOTE</t>
        </is>
      </c>
      <c r="P44" s="6" t="inlineStr">
        <is>
          <t>08/09/2026</t>
        </is>
      </c>
      <c r="Q44" s="6" t="inlineStr">
        <is>
          <t>Clarté360 — revue méthodologique</t>
        </is>
      </c>
      <c r="R44" s="6" t="inlineStr">
        <is>
          <t>Qualification théorique avant pilote ; décision empirique à confirmer après collecte.</t>
        </is>
      </c>
    </row>
    <row r="45" ht="100.8" customHeight="1" s="34">
      <c r="A45" s="13">
        <f>QUESTIONS!A45</f>
        <v/>
      </c>
      <c r="B45" s="13">
        <f>QUESTIONS!B45</f>
        <v/>
      </c>
      <c r="C45" s="13">
        <f>QUESTIONS!H45</f>
        <v/>
      </c>
      <c r="D45" s="13">
        <f>QUESTIONS!I45</f>
        <v/>
      </c>
      <c r="E45" s="13">
        <f>QUESTIONS!AJ45</f>
        <v/>
      </c>
      <c r="F45" s="6" t="n"/>
      <c r="G45" s="6" t="n"/>
      <c r="H45" s="6" t="n"/>
      <c r="I45" s="6" t="n"/>
      <c r="J45" s="6" t="n"/>
      <c r="K45" s="6" t="n"/>
      <c r="L45" s="6" t="inlineStr">
        <is>
          <t>I,E</t>
        </is>
      </c>
      <c r="M45" s="6" t="inlineStr">
        <is>
          <t>A_SURVEILLER</t>
        </is>
      </c>
      <c r="N45" s="6" t="inlineStr">
        <is>
          <t>A_SURVEILLER</t>
        </is>
      </c>
      <c r="O45" s="6" t="inlineStr">
        <is>
          <t>ADMETTRE_PILOTE</t>
        </is>
      </c>
      <c r="P45" s="6" t="inlineStr">
        <is>
          <t>08/09/2026</t>
        </is>
      </c>
      <c r="Q45" s="6" t="inlineStr">
        <is>
          <t>Clarté360 — revue méthodologique</t>
        </is>
      </c>
      <c r="R45" s="6" t="inlineStr">
        <is>
          <t>Qualification théorique avant pilote ; décision empirique à confirmer après collecte.</t>
        </is>
      </c>
    </row>
    <row r="46" ht="100.8" customHeight="1" s="34">
      <c r="A46" s="13">
        <f>QUESTIONS!A46</f>
        <v/>
      </c>
      <c r="B46" s="13">
        <f>QUESTIONS!B46</f>
        <v/>
      </c>
      <c r="C46" s="13">
        <f>QUESTIONS!H46</f>
        <v/>
      </c>
      <c r="D46" s="13">
        <f>QUESTIONS!I46</f>
        <v/>
      </c>
      <c r="E46" s="13">
        <f>QUESTIONS!AJ46</f>
        <v/>
      </c>
      <c r="F46" s="6" t="n"/>
      <c r="G46" s="6" t="n"/>
      <c r="H46" s="6" t="n"/>
      <c r="I46" s="6" t="n"/>
      <c r="J46" s="6" t="n"/>
      <c r="K46" s="6" t="n"/>
      <c r="L46" s="6" t="inlineStr">
        <is>
          <t>I,E</t>
        </is>
      </c>
      <c r="M46" s="6" t="inlineStr">
        <is>
          <t>A_SURVEILLER</t>
        </is>
      </c>
      <c r="N46" s="6" t="inlineStr">
        <is>
          <t>A_SURVEILLER</t>
        </is>
      </c>
      <c r="O46" s="6" t="inlineStr">
        <is>
          <t>ADMETTRE_PILOTE</t>
        </is>
      </c>
      <c r="P46" s="6" t="inlineStr">
        <is>
          <t>08/09/2026</t>
        </is>
      </c>
      <c r="Q46" s="6" t="inlineStr">
        <is>
          <t>Clarté360 — revue méthodologique</t>
        </is>
      </c>
      <c r="R46" s="6" t="inlineStr">
        <is>
          <t>Qualification théorique avant pilote ; décision empirique à confirmer après collecte.</t>
        </is>
      </c>
    </row>
    <row r="47" ht="100.8" customHeight="1" s="34">
      <c r="A47" s="13">
        <f>QUESTIONS!A47</f>
        <v/>
      </c>
      <c r="B47" s="13">
        <f>QUESTIONS!B47</f>
        <v/>
      </c>
      <c r="C47" s="13">
        <f>QUESTIONS!H47</f>
        <v/>
      </c>
      <c r="D47" s="13">
        <f>QUESTIONS!I47</f>
        <v/>
      </c>
      <c r="E47" s="13">
        <f>QUESTIONS!AJ47</f>
        <v/>
      </c>
      <c r="F47" s="6" t="n"/>
      <c r="G47" s="6" t="n"/>
      <c r="H47" s="6" t="n"/>
      <c r="I47" s="6" t="n"/>
      <c r="J47" s="6" t="n"/>
      <c r="K47" s="6" t="n"/>
      <c r="L47" s="6" t="inlineStr">
        <is>
          <t>I,E</t>
        </is>
      </c>
      <c r="M47" s="6" t="inlineStr">
        <is>
          <t>A_SURVEILLER</t>
        </is>
      </c>
      <c r="N47" s="6" t="inlineStr">
        <is>
          <t>A_SURVEILLER</t>
        </is>
      </c>
      <c r="O47" s="6" t="inlineStr">
        <is>
          <t>ADMETTRE_PILOTE</t>
        </is>
      </c>
      <c r="P47" s="6" t="inlineStr">
        <is>
          <t>08/09/2026</t>
        </is>
      </c>
      <c r="Q47" s="6" t="inlineStr">
        <is>
          <t>Clarté360 — revue méthodologique</t>
        </is>
      </c>
      <c r="R47" s="6" t="inlineStr">
        <is>
          <t>Qualification théorique avant pilote ; décision empirique à confirmer après collecte.</t>
        </is>
      </c>
    </row>
    <row r="48" ht="100.8" customHeight="1" s="34">
      <c r="A48" s="13">
        <f>QUESTIONS!A48</f>
        <v/>
      </c>
      <c r="B48" s="13">
        <f>QUESTIONS!B48</f>
        <v/>
      </c>
      <c r="C48" s="13">
        <f>QUESTIONS!H48</f>
        <v/>
      </c>
      <c r="D48" s="13">
        <f>QUESTIONS!I48</f>
        <v/>
      </c>
      <c r="E48" s="13">
        <f>QUESTIONS!AJ48</f>
        <v/>
      </c>
      <c r="F48" s="6" t="n"/>
      <c r="G48" s="6" t="n"/>
      <c r="H48" s="6" t="n"/>
      <c r="I48" s="6" t="n"/>
      <c r="J48" s="6" t="n"/>
      <c r="K48" s="6" t="n"/>
      <c r="L48" s="6" t="inlineStr">
        <is>
          <t>I,E</t>
        </is>
      </c>
      <c r="M48" s="6" t="inlineStr">
        <is>
          <t>A_SURVEILLER</t>
        </is>
      </c>
      <c r="N48" s="6" t="inlineStr">
        <is>
          <t>A_SURVEILLER</t>
        </is>
      </c>
      <c r="O48" s="6" t="inlineStr">
        <is>
          <t>ADMETTRE_PILOTE</t>
        </is>
      </c>
      <c r="P48" s="6" t="inlineStr">
        <is>
          <t>08/09/2026</t>
        </is>
      </c>
      <c r="Q48" s="6" t="inlineStr">
        <is>
          <t>Clarté360 — revue méthodologique</t>
        </is>
      </c>
      <c r="R48" s="6" t="inlineStr">
        <is>
          <t>Qualification théorique avant pilote ; décision empirique à confirmer après collecte.</t>
        </is>
      </c>
    </row>
    <row r="49" ht="100.8" customHeight="1" s="34">
      <c r="A49" s="13">
        <f>QUESTIONS!A49</f>
        <v/>
      </c>
      <c r="B49" s="13">
        <f>QUESTIONS!B49</f>
        <v/>
      </c>
      <c r="C49" s="13">
        <f>QUESTIONS!H49</f>
        <v/>
      </c>
      <c r="D49" s="13">
        <f>QUESTIONS!I49</f>
        <v/>
      </c>
      <c r="E49" s="13">
        <f>QUESTIONS!AJ49</f>
        <v/>
      </c>
      <c r="F49" s="6" t="n"/>
      <c r="G49" s="6" t="n"/>
      <c r="H49" s="6" t="n"/>
      <c r="I49" s="6" t="n"/>
      <c r="J49" s="6" t="n"/>
      <c r="K49" s="6" t="n"/>
      <c r="L49" s="6" t="inlineStr">
        <is>
          <t>R</t>
        </is>
      </c>
      <c r="M49" s="6" t="inlineStr">
        <is>
          <t>A_SURVEILLER</t>
        </is>
      </c>
      <c r="N49" s="6" t="inlineStr">
        <is>
          <t>A_SURVEILLER</t>
        </is>
      </c>
      <c r="O49" s="6" t="inlineStr">
        <is>
          <t>ADMETTRE_PILOTE</t>
        </is>
      </c>
      <c r="P49" s="6" t="inlineStr">
        <is>
          <t>08/09/2026</t>
        </is>
      </c>
      <c r="Q49" s="6" t="inlineStr">
        <is>
          <t>Clarté360 — revue méthodologique</t>
        </is>
      </c>
      <c r="R49" s="6" t="inlineStr">
        <is>
          <t>Qualification théorique avant pilote ; décision empirique à confirmer après collecte.</t>
        </is>
      </c>
    </row>
    <row r="50" ht="100.8" customHeight="1" s="34">
      <c r="A50" s="13">
        <f>QUESTIONS!A50</f>
        <v/>
      </c>
      <c r="B50" s="13">
        <f>QUESTIONS!B50</f>
        <v/>
      </c>
      <c r="C50" s="13">
        <f>QUESTIONS!H50</f>
        <v/>
      </c>
      <c r="D50" s="13">
        <f>QUESTIONS!I50</f>
        <v/>
      </c>
      <c r="E50" s="13">
        <f>QUESTIONS!AJ50</f>
        <v/>
      </c>
      <c r="F50" s="6" t="n"/>
      <c r="G50" s="6" t="n"/>
      <c r="H50" s="6" t="n"/>
      <c r="I50" s="6" t="n"/>
      <c r="J50" s="6" t="n"/>
      <c r="K50" s="6" t="n"/>
      <c r="L50" s="6" t="inlineStr">
        <is>
          <t>R</t>
        </is>
      </c>
      <c r="M50" s="6" t="inlineStr">
        <is>
          <t>A_SURVEILLER</t>
        </is>
      </c>
      <c r="N50" s="6" t="inlineStr">
        <is>
          <t>A_SURVEILLER</t>
        </is>
      </c>
      <c r="O50" s="6" t="inlineStr">
        <is>
          <t>ADMETTRE_PILOTE</t>
        </is>
      </c>
      <c r="P50" s="6" t="inlineStr">
        <is>
          <t>08/09/2026</t>
        </is>
      </c>
      <c r="Q50" s="6" t="inlineStr">
        <is>
          <t>Clarté360 — revue méthodologique</t>
        </is>
      </c>
      <c r="R50" s="6" t="inlineStr">
        <is>
          <t>Qualification théorique avant pilote ; décision empirique à confirmer après collecte.</t>
        </is>
      </c>
    </row>
    <row r="51" ht="100.8" customHeight="1" s="34">
      <c r="A51" s="13">
        <f>QUESTIONS!A51</f>
        <v/>
      </c>
      <c r="B51" s="13">
        <f>QUESTIONS!B51</f>
        <v/>
      </c>
      <c r="C51" s="13">
        <f>QUESTIONS!H51</f>
        <v/>
      </c>
      <c r="D51" s="13">
        <f>QUESTIONS!I51</f>
        <v/>
      </c>
      <c r="E51" s="13">
        <f>QUESTIONS!AJ51</f>
        <v/>
      </c>
      <c r="F51" s="6" t="n"/>
      <c r="G51" s="6" t="n"/>
      <c r="H51" s="6" t="n"/>
      <c r="I51" s="6" t="n"/>
      <c r="J51" s="6" t="n"/>
      <c r="K51" s="6" t="n"/>
      <c r="L51" s="6" t="inlineStr">
        <is>
          <t>R</t>
        </is>
      </c>
      <c r="M51" s="6" t="inlineStr">
        <is>
          <t>A_SURVEILLER</t>
        </is>
      </c>
      <c r="N51" s="6" t="inlineStr">
        <is>
          <t>A_SURVEILLER</t>
        </is>
      </c>
      <c r="O51" s="6" t="inlineStr">
        <is>
          <t>ADMETTRE_PILOTE</t>
        </is>
      </c>
      <c r="P51" s="6" t="inlineStr">
        <is>
          <t>08/09/2026</t>
        </is>
      </c>
      <c r="Q51" s="6" t="inlineStr">
        <is>
          <t>Clarté360 — revue méthodologique</t>
        </is>
      </c>
      <c r="R51" s="6" t="inlineStr">
        <is>
          <t>Qualification théorique avant pilote ; décision empirique à confirmer après collecte.</t>
        </is>
      </c>
    </row>
    <row r="52" ht="100.8" customHeight="1" s="34">
      <c r="A52" s="13">
        <f>QUESTIONS!A52</f>
        <v/>
      </c>
      <c r="B52" s="13">
        <f>QUESTIONS!B52</f>
        <v/>
      </c>
      <c r="C52" s="13">
        <f>QUESTIONS!H52</f>
        <v/>
      </c>
      <c r="D52" s="13">
        <f>QUESTIONS!I52</f>
        <v/>
      </c>
      <c r="E52" s="13">
        <f>QUESTIONS!AJ52</f>
        <v/>
      </c>
      <c r="F52" s="6" t="n"/>
      <c r="G52" s="6" t="n"/>
      <c r="H52" s="6" t="n"/>
      <c r="I52" s="6" t="n"/>
      <c r="J52" s="6" t="n"/>
      <c r="K52" s="6" t="n"/>
      <c r="L52" s="6" t="inlineStr">
        <is>
          <t>R</t>
        </is>
      </c>
      <c r="M52" s="6" t="inlineStr">
        <is>
          <t>A_SURVEILLER</t>
        </is>
      </c>
      <c r="N52" s="6" t="inlineStr">
        <is>
          <t>A_SURVEILLER</t>
        </is>
      </c>
      <c r="O52" s="6" t="inlineStr">
        <is>
          <t>ADMETTRE_PILOTE</t>
        </is>
      </c>
      <c r="P52" s="6" t="inlineStr">
        <is>
          <t>08/09/2026</t>
        </is>
      </c>
      <c r="Q52" s="6" t="inlineStr">
        <is>
          <t>Clarté360 — revue méthodologique</t>
        </is>
      </c>
      <c r="R52" s="6" t="inlineStr">
        <is>
          <t>Qualification théorique avant pilote ; décision empirique à confirmer après collecte.</t>
        </is>
      </c>
    </row>
    <row r="53" ht="100.8" customHeight="1" s="34">
      <c r="A53" s="13">
        <f>QUESTIONS!A53</f>
        <v/>
      </c>
      <c r="B53" s="13">
        <f>QUESTIONS!B53</f>
        <v/>
      </c>
      <c r="C53" s="13">
        <f>QUESTIONS!H53</f>
        <v/>
      </c>
      <c r="D53" s="13">
        <f>QUESTIONS!I53</f>
        <v/>
      </c>
      <c r="E53" s="13">
        <f>QUESTIONS!AJ53</f>
        <v/>
      </c>
      <c r="F53" s="6" t="n"/>
      <c r="G53" s="6" t="n"/>
      <c r="H53" s="6" t="n"/>
      <c r="I53" s="6" t="n"/>
      <c r="J53" s="6" t="n"/>
      <c r="K53" s="6" t="n"/>
      <c r="L53" s="6" t="inlineStr">
        <is>
          <t>S,E</t>
        </is>
      </c>
      <c r="M53" s="6" t="inlineStr">
        <is>
          <t>A_SURVEILLER</t>
        </is>
      </c>
      <c r="N53" s="6" t="inlineStr">
        <is>
          <t>A_SURVEILLER</t>
        </is>
      </c>
      <c r="O53" s="6" t="inlineStr">
        <is>
          <t>ADMETTRE_PILOTE</t>
        </is>
      </c>
      <c r="P53" s="6" t="inlineStr">
        <is>
          <t>08/09/2026</t>
        </is>
      </c>
      <c r="Q53" s="6" t="inlineStr">
        <is>
          <t>Clarté360 — revue méthodologique</t>
        </is>
      </c>
      <c r="R53" s="6" t="inlineStr">
        <is>
          <t>Qualification théorique avant pilote ; décision empirique à confirmer après collecte.</t>
        </is>
      </c>
    </row>
    <row r="54" ht="100.8" customHeight="1" s="34">
      <c r="A54" s="13">
        <f>QUESTIONS!A54</f>
        <v/>
      </c>
      <c r="B54" s="13">
        <f>QUESTIONS!B54</f>
        <v/>
      </c>
      <c r="C54" s="13">
        <f>QUESTIONS!H54</f>
        <v/>
      </c>
      <c r="D54" s="13">
        <f>QUESTIONS!I54</f>
        <v/>
      </c>
      <c r="E54" s="13">
        <f>QUESTIONS!AJ54</f>
        <v/>
      </c>
      <c r="F54" s="6" t="n"/>
      <c r="G54" s="6" t="n"/>
      <c r="H54" s="6" t="n"/>
      <c r="I54" s="6" t="n"/>
      <c r="J54" s="6" t="n"/>
      <c r="K54" s="6" t="n"/>
      <c r="L54" s="6" t="inlineStr">
        <is>
          <t>S,E</t>
        </is>
      </c>
      <c r="M54" s="6" t="inlineStr">
        <is>
          <t>A_SURVEILLER</t>
        </is>
      </c>
      <c r="N54" s="6" t="inlineStr">
        <is>
          <t>A_SURVEILLER</t>
        </is>
      </c>
      <c r="O54" s="6" t="inlineStr">
        <is>
          <t>ADMETTRE_PILOTE</t>
        </is>
      </c>
      <c r="P54" s="6" t="inlineStr">
        <is>
          <t>08/09/2026</t>
        </is>
      </c>
      <c r="Q54" s="6" t="inlineStr">
        <is>
          <t>Clarté360 — revue méthodologique</t>
        </is>
      </c>
      <c r="R54" s="6" t="inlineStr">
        <is>
          <t>Qualification théorique avant pilote ; décision empirique à confirmer après collecte.</t>
        </is>
      </c>
    </row>
    <row r="55" ht="100.8" customHeight="1" s="34">
      <c r="A55" s="13">
        <f>QUESTIONS!A55</f>
        <v/>
      </c>
      <c r="B55" s="13">
        <f>QUESTIONS!B55</f>
        <v/>
      </c>
      <c r="C55" s="13">
        <f>QUESTIONS!H55</f>
        <v/>
      </c>
      <c r="D55" s="13">
        <f>QUESTIONS!I55</f>
        <v/>
      </c>
      <c r="E55" s="13">
        <f>QUESTIONS!AJ55</f>
        <v/>
      </c>
      <c r="F55" s="6" t="n"/>
      <c r="G55" s="6" t="n"/>
      <c r="H55" s="6" t="n"/>
      <c r="I55" s="6" t="n"/>
      <c r="J55" s="6" t="n"/>
      <c r="K55" s="6" t="n"/>
      <c r="L55" s="6" t="inlineStr">
        <is>
          <t>S,E</t>
        </is>
      </c>
      <c r="M55" s="6" t="inlineStr">
        <is>
          <t>A_SURVEILLER</t>
        </is>
      </c>
      <c r="N55" s="6" t="inlineStr">
        <is>
          <t>A_SURVEILLER</t>
        </is>
      </c>
      <c r="O55" s="6" t="inlineStr">
        <is>
          <t>ADMETTRE_PILOTE</t>
        </is>
      </c>
      <c r="P55" s="6" t="inlineStr">
        <is>
          <t>08/09/2026</t>
        </is>
      </c>
      <c r="Q55" s="6" t="inlineStr">
        <is>
          <t>Clarté360 — revue méthodologique</t>
        </is>
      </c>
      <c r="R55" s="6" t="inlineStr">
        <is>
          <t>Qualification théorique avant pilote ; décision empirique à confirmer après collecte.</t>
        </is>
      </c>
    </row>
    <row r="56" ht="100.8" customHeight="1" s="34">
      <c r="A56" s="13">
        <f>QUESTIONS!A56</f>
        <v/>
      </c>
      <c r="B56" s="13">
        <f>QUESTIONS!B56</f>
        <v/>
      </c>
      <c r="C56" s="13">
        <f>QUESTIONS!H56</f>
        <v/>
      </c>
      <c r="D56" s="13">
        <f>QUESTIONS!I56</f>
        <v/>
      </c>
      <c r="E56" s="13">
        <f>QUESTIONS!AJ56</f>
        <v/>
      </c>
      <c r="F56" s="6" t="n"/>
      <c r="G56" s="6" t="n"/>
      <c r="H56" s="6" t="n"/>
      <c r="I56" s="6" t="n"/>
      <c r="J56" s="6" t="n"/>
      <c r="K56" s="6" t="n"/>
      <c r="L56" s="6" t="inlineStr">
        <is>
          <t>S,E</t>
        </is>
      </c>
      <c r="M56" s="6" t="inlineStr">
        <is>
          <t>A_SURVEILLER</t>
        </is>
      </c>
      <c r="N56" s="6" t="inlineStr">
        <is>
          <t>A_SURVEILLER</t>
        </is>
      </c>
      <c r="O56" s="6" t="inlineStr">
        <is>
          <t>ADMETTRE_PILOTE</t>
        </is>
      </c>
      <c r="P56" s="6" t="inlineStr">
        <is>
          <t>08/09/2026</t>
        </is>
      </c>
      <c r="Q56" s="6" t="inlineStr">
        <is>
          <t>Clarté360 — revue méthodologique</t>
        </is>
      </c>
      <c r="R56" s="6" t="inlineStr">
        <is>
          <t>Qualification théorique avant pilote ; décision empirique à confirmer après collecte.</t>
        </is>
      </c>
    </row>
    <row r="57" ht="100.8" customHeight="1" s="34">
      <c r="A57" s="13">
        <f>QUESTIONS!A57</f>
        <v/>
      </c>
      <c r="B57" s="13">
        <f>QUESTIONS!B57</f>
        <v/>
      </c>
      <c r="C57" s="13">
        <f>QUESTIONS!H57</f>
        <v/>
      </c>
      <c r="D57" s="13">
        <f>QUESTIONS!I57</f>
        <v/>
      </c>
      <c r="E57" s="13">
        <f>QUESTIONS!AJ57</f>
        <v/>
      </c>
      <c r="F57" s="6" t="n"/>
      <c r="G57" s="6" t="n"/>
      <c r="H57" s="6" t="n"/>
      <c r="I57" s="6" t="n"/>
      <c r="J57" s="6" t="n"/>
      <c r="K57" s="6" t="n"/>
      <c r="L57" s="6" t="inlineStr">
        <is>
          <t>R</t>
        </is>
      </c>
      <c r="M57" s="6" t="inlineStr">
        <is>
          <t>A_SURVEILLER</t>
        </is>
      </c>
      <c r="N57" s="6" t="inlineStr">
        <is>
          <t>A_SURVEILLER</t>
        </is>
      </c>
      <c r="O57" s="6" t="inlineStr">
        <is>
          <t>ADMETTRE_PILOTE</t>
        </is>
      </c>
      <c r="P57" s="6" t="inlineStr">
        <is>
          <t>08/09/2026</t>
        </is>
      </c>
      <c r="Q57" s="6" t="inlineStr">
        <is>
          <t>Clarté360 — revue méthodologique</t>
        </is>
      </c>
      <c r="R57" s="6" t="inlineStr">
        <is>
          <t>Qualification théorique avant pilote ; décision empirique à confirmer après collecte.</t>
        </is>
      </c>
    </row>
    <row r="58" ht="100.8" customHeight="1" s="34">
      <c r="A58" s="13">
        <f>QUESTIONS!A58</f>
        <v/>
      </c>
      <c r="B58" s="13">
        <f>QUESTIONS!B58</f>
        <v/>
      </c>
      <c r="C58" s="13">
        <f>QUESTIONS!H58</f>
        <v/>
      </c>
      <c r="D58" s="13">
        <f>QUESTIONS!I58</f>
        <v/>
      </c>
      <c r="E58" s="13">
        <f>QUESTIONS!AJ58</f>
        <v/>
      </c>
      <c r="F58" s="6" t="n"/>
      <c r="G58" s="6" t="n"/>
      <c r="H58" s="6" t="n"/>
      <c r="I58" s="6" t="n"/>
      <c r="J58" s="6" t="n"/>
      <c r="K58" s="6" t="n"/>
      <c r="L58" s="6" t="inlineStr">
        <is>
          <t>R</t>
        </is>
      </c>
      <c r="M58" s="6" t="inlineStr">
        <is>
          <t>A_SURVEILLER</t>
        </is>
      </c>
      <c r="N58" s="6" t="inlineStr">
        <is>
          <t>A_SURVEILLER</t>
        </is>
      </c>
      <c r="O58" s="6" t="inlineStr">
        <is>
          <t>ADMETTRE_PILOTE</t>
        </is>
      </c>
      <c r="P58" s="6" t="inlineStr">
        <is>
          <t>08/09/2026</t>
        </is>
      </c>
      <c r="Q58" s="6" t="inlineStr">
        <is>
          <t>Clarté360 — revue méthodologique</t>
        </is>
      </c>
      <c r="R58" s="6" t="inlineStr">
        <is>
          <t>Qualification théorique avant pilote ; décision empirique à confirmer après collecte.</t>
        </is>
      </c>
    </row>
    <row r="59" ht="100.8" customHeight="1" s="34">
      <c r="A59" s="13">
        <f>QUESTIONS!A59</f>
        <v/>
      </c>
      <c r="B59" s="13">
        <f>QUESTIONS!B59</f>
        <v/>
      </c>
      <c r="C59" s="13">
        <f>QUESTIONS!H59</f>
        <v/>
      </c>
      <c r="D59" s="13">
        <f>QUESTIONS!I59</f>
        <v/>
      </c>
      <c r="E59" s="13">
        <f>QUESTIONS!AJ59</f>
        <v/>
      </c>
      <c r="F59" s="6" t="n"/>
      <c r="G59" s="6" t="n"/>
      <c r="H59" s="6" t="n"/>
      <c r="I59" s="6" t="n"/>
      <c r="J59" s="6" t="n"/>
      <c r="K59" s="6" t="n"/>
      <c r="L59" s="6" t="inlineStr">
        <is>
          <t>R</t>
        </is>
      </c>
      <c r="M59" s="6" t="inlineStr">
        <is>
          <t>A_SURVEILLER</t>
        </is>
      </c>
      <c r="N59" s="6" t="inlineStr">
        <is>
          <t>A_SURVEILLER</t>
        </is>
      </c>
      <c r="O59" s="6" t="inlineStr">
        <is>
          <t>ADMETTRE_PILOTE</t>
        </is>
      </c>
      <c r="P59" s="6" t="inlineStr">
        <is>
          <t>08/09/2026</t>
        </is>
      </c>
      <c r="Q59" s="6" t="inlineStr">
        <is>
          <t>Clarté360 — revue méthodologique</t>
        </is>
      </c>
      <c r="R59" s="6" t="inlineStr">
        <is>
          <t>Qualification théorique avant pilote ; décision empirique à confirmer après collecte.</t>
        </is>
      </c>
    </row>
    <row r="60" ht="100.8" customHeight="1" s="34">
      <c r="A60" s="13">
        <f>QUESTIONS!A60</f>
        <v/>
      </c>
      <c r="B60" s="13">
        <f>QUESTIONS!B60</f>
        <v/>
      </c>
      <c r="C60" s="13">
        <f>QUESTIONS!H60</f>
        <v/>
      </c>
      <c r="D60" s="13">
        <f>QUESTIONS!I60</f>
        <v/>
      </c>
      <c r="E60" s="13">
        <f>QUESTIONS!AJ60</f>
        <v/>
      </c>
      <c r="F60" s="6" t="n"/>
      <c r="G60" s="6" t="n"/>
      <c r="H60" s="6" t="n"/>
      <c r="I60" s="6" t="n"/>
      <c r="J60" s="6" t="n"/>
      <c r="K60" s="6" t="n"/>
      <c r="L60" s="6" t="inlineStr">
        <is>
          <t>R</t>
        </is>
      </c>
      <c r="M60" s="6" t="inlineStr">
        <is>
          <t>A_SURVEILLER</t>
        </is>
      </c>
      <c r="N60" s="6" t="inlineStr">
        <is>
          <t>A_SURVEILLER</t>
        </is>
      </c>
      <c r="O60" s="6" t="inlineStr">
        <is>
          <t>ADMETTRE_PILOTE</t>
        </is>
      </c>
      <c r="P60" s="6" t="inlineStr">
        <is>
          <t>08/09/2026</t>
        </is>
      </c>
      <c r="Q60" s="6" t="inlineStr">
        <is>
          <t>Clarté360 — revue méthodologique</t>
        </is>
      </c>
      <c r="R60" s="6" t="inlineStr">
        <is>
          <t>Qualification théorique avant pilote ; décision empirique à confirmer après collecte.</t>
        </is>
      </c>
    </row>
    <row r="61" ht="100.8" customHeight="1" s="34">
      <c r="A61" s="13">
        <f>QUESTIONS!A61</f>
        <v/>
      </c>
      <c r="B61" s="13">
        <f>QUESTIONS!B61</f>
        <v/>
      </c>
      <c r="C61" s="13">
        <f>QUESTIONS!H61</f>
        <v/>
      </c>
      <c r="D61" s="13">
        <f>QUESTIONS!I61</f>
        <v/>
      </c>
      <c r="E61" s="13">
        <f>QUESTIONS!AJ61</f>
        <v/>
      </c>
      <c r="F61" s="6" t="n"/>
      <c r="G61" s="6" t="n"/>
      <c r="H61" s="6" t="n"/>
      <c r="I61" s="6" t="n"/>
      <c r="J61" s="6" t="n"/>
      <c r="K61" s="6" t="n"/>
      <c r="L61" s="6" t="inlineStr">
        <is>
          <t>I,E</t>
        </is>
      </c>
      <c r="M61" s="6" t="inlineStr">
        <is>
          <t>A_SURVEILLER</t>
        </is>
      </c>
      <c r="N61" s="6" t="inlineStr">
        <is>
          <t>A_SURVEILLER</t>
        </is>
      </c>
      <c r="O61" s="6" t="inlineStr">
        <is>
          <t>ADMETTRE_PILOTE</t>
        </is>
      </c>
      <c r="P61" s="6" t="inlineStr">
        <is>
          <t>08/09/2026</t>
        </is>
      </c>
      <c r="Q61" s="6" t="inlineStr">
        <is>
          <t>Clarté360 — revue méthodologique</t>
        </is>
      </c>
      <c r="R61" s="6" t="inlineStr">
        <is>
          <t>Qualification théorique avant pilote ; décision empirique à confirmer après collecte.</t>
        </is>
      </c>
    </row>
    <row r="62" ht="100.8" customHeight="1" s="34">
      <c r="A62" s="13">
        <f>QUESTIONS!A62</f>
        <v/>
      </c>
      <c r="B62" s="13">
        <f>QUESTIONS!B62</f>
        <v/>
      </c>
      <c r="C62" s="13">
        <f>QUESTIONS!H62</f>
        <v/>
      </c>
      <c r="D62" s="13">
        <f>QUESTIONS!I62</f>
        <v/>
      </c>
      <c r="E62" s="13">
        <f>QUESTIONS!AJ62</f>
        <v/>
      </c>
      <c r="F62" s="6" t="n"/>
      <c r="G62" s="6" t="n"/>
      <c r="H62" s="6" t="n"/>
      <c r="I62" s="6" t="n"/>
      <c r="J62" s="6" t="n"/>
      <c r="K62" s="6" t="n"/>
      <c r="L62" s="6" t="inlineStr">
        <is>
          <t>I,E</t>
        </is>
      </c>
      <c r="M62" s="6" t="inlineStr">
        <is>
          <t>A_SURVEILLER</t>
        </is>
      </c>
      <c r="N62" s="6" t="inlineStr">
        <is>
          <t>A_SURVEILLER</t>
        </is>
      </c>
      <c r="O62" s="6" t="inlineStr">
        <is>
          <t>ADMETTRE_PILOTE</t>
        </is>
      </c>
      <c r="P62" s="6" t="inlineStr">
        <is>
          <t>08/09/2026</t>
        </is>
      </c>
      <c r="Q62" s="6" t="inlineStr">
        <is>
          <t>Clarté360 — revue méthodologique</t>
        </is>
      </c>
      <c r="R62" s="6" t="inlineStr">
        <is>
          <t>Qualification théorique avant pilote ; décision empirique à confirmer après collecte.</t>
        </is>
      </c>
    </row>
    <row r="63" ht="100.8" customHeight="1" s="34">
      <c r="A63" s="13">
        <f>QUESTIONS!A63</f>
        <v/>
      </c>
      <c r="B63" s="13">
        <f>QUESTIONS!B63</f>
        <v/>
      </c>
      <c r="C63" s="13">
        <f>QUESTIONS!H63</f>
        <v/>
      </c>
      <c r="D63" s="13">
        <f>QUESTIONS!I63</f>
        <v/>
      </c>
      <c r="E63" s="13">
        <f>QUESTIONS!AJ63</f>
        <v/>
      </c>
      <c r="F63" s="6" t="n"/>
      <c r="G63" s="6" t="n"/>
      <c r="H63" s="6" t="n"/>
      <c r="I63" s="6" t="n"/>
      <c r="J63" s="6" t="n"/>
      <c r="K63" s="6" t="n"/>
      <c r="L63" s="6" t="inlineStr">
        <is>
          <t>I,E</t>
        </is>
      </c>
      <c r="M63" s="6" t="inlineStr">
        <is>
          <t>A_SURVEILLER</t>
        </is>
      </c>
      <c r="N63" s="6" t="inlineStr">
        <is>
          <t>A_SURVEILLER</t>
        </is>
      </c>
      <c r="O63" s="6" t="inlineStr">
        <is>
          <t>ADMETTRE_PILOTE</t>
        </is>
      </c>
      <c r="P63" s="6" t="inlineStr">
        <is>
          <t>08/09/2026</t>
        </is>
      </c>
      <c r="Q63" s="6" t="inlineStr">
        <is>
          <t>Clarté360 — revue méthodologique</t>
        </is>
      </c>
      <c r="R63" s="6" t="inlineStr">
        <is>
          <t>Qualification théorique avant pilote ; décision empirique à confirmer après collecte.</t>
        </is>
      </c>
    </row>
    <row r="64" ht="100.8" customHeight="1" s="34">
      <c r="A64" s="13">
        <f>QUESTIONS!A64</f>
        <v/>
      </c>
      <c r="B64" s="13">
        <f>QUESTIONS!B64</f>
        <v/>
      </c>
      <c r="C64" s="13">
        <f>QUESTIONS!H64</f>
        <v/>
      </c>
      <c r="D64" s="13">
        <f>QUESTIONS!I64</f>
        <v/>
      </c>
      <c r="E64" s="13">
        <f>QUESTIONS!AJ64</f>
        <v/>
      </c>
      <c r="F64" s="6" t="n"/>
      <c r="G64" s="6" t="n"/>
      <c r="H64" s="6" t="n"/>
      <c r="I64" s="6" t="n"/>
      <c r="J64" s="6" t="n"/>
      <c r="K64" s="6" t="n"/>
      <c r="L64" s="6" t="inlineStr">
        <is>
          <t>I,E</t>
        </is>
      </c>
      <c r="M64" s="6" t="inlineStr">
        <is>
          <t>A_SURVEILLER</t>
        </is>
      </c>
      <c r="N64" s="6" t="inlineStr">
        <is>
          <t>A_SURVEILLER</t>
        </is>
      </c>
      <c r="O64" s="6" t="inlineStr">
        <is>
          <t>ADMETTRE_PILOTE</t>
        </is>
      </c>
      <c r="P64" s="6" t="inlineStr">
        <is>
          <t>08/09/2026</t>
        </is>
      </c>
      <c r="Q64" s="6" t="inlineStr">
        <is>
          <t>Clarté360 — revue méthodologique</t>
        </is>
      </c>
      <c r="R64" s="6" t="inlineStr">
        <is>
          <t>Qualification théorique avant pilote ; décision empirique à confirmer après collecte.</t>
        </is>
      </c>
    </row>
    <row r="65" ht="100.8" customHeight="1" s="34">
      <c r="A65" s="13">
        <f>QUESTIONS!A65</f>
        <v/>
      </c>
      <c r="B65" s="13">
        <f>QUESTIONS!B65</f>
        <v/>
      </c>
      <c r="C65" s="13">
        <f>QUESTIONS!H65</f>
        <v/>
      </c>
      <c r="D65" s="13">
        <f>QUESTIONS!I65</f>
        <v/>
      </c>
      <c r="E65" s="13">
        <f>QUESTIONS!AJ65</f>
        <v/>
      </c>
      <c r="F65" s="6" t="n"/>
      <c r="G65" s="6" t="n"/>
      <c r="H65" s="6" t="n"/>
      <c r="I65" s="6" t="n"/>
      <c r="J65" s="6" t="n"/>
      <c r="K65" s="6" t="n"/>
      <c r="L65" s="6" t="inlineStr">
        <is>
          <t>I</t>
        </is>
      </c>
      <c r="M65" s="6" t="inlineStr">
        <is>
          <t>RAS_PRE_PILOTE</t>
        </is>
      </c>
      <c r="N65" s="6" t="inlineStr">
        <is>
          <t>A_SURVEILLER</t>
        </is>
      </c>
      <c r="O65" s="6" t="inlineStr">
        <is>
          <t>ADMETTRE_PILOTE</t>
        </is>
      </c>
      <c r="P65" s="6" t="inlineStr">
        <is>
          <t>08/09/2026</t>
        </is>
      </c>
      <c r="Q65" s="6" t="inlineStr">
        <is>
          <t>Clarté360 — revue méthodologique</t>
        </is>
      </c>
      <c r="R65" s="6" t="inlineStr">
        <is>
          <t>Qualification théorique avant pilote ; décision empirique à confirmer après collecte.</t>
        </is>
      </c>
    </row>
    <row r="66" ht="100.8" customHeight="1" s="34">
      <c r="A66" s="13">
        <f>QUESTIONS!A66</f>
        <v/>
      </c>
      <c r="B66" s="13">
        <f>QUESTIONS!B66</f>
        <v/>
      </c>
      <c r="C66" s="13">
        <f>QUESTIONS!H66</f>
        <v/>
      </c>
      <c r="D66" s="13">
        <f>QUESTIONS!I66</f>
        <v/>
      </c>
      <c r="E66" s="13">
        <f>QUESTIONS!AJ66</f>
        <v/>
      </c>
      <c r="F66" s="6" t="n"/>
      <c r="G66" s="6" t="n"/>
      <c r="H66" s="6" t="n"/>
      <c r="I66" s="6" t="n"/>
      <c r="J66" s="6" t="n"/>
      <c r="K66" s="6" t="n"/>
      <c r="L66" s="6" t="inlineStr">
        <is>
          <t>I</t>
        </is>
      </c>
      <c r="M66" s="6" t="inlineStr">
        <is>
          <t>RAS_PRE_PILOTE</t>
        </is>
      </c>
      <c r="N66" s="6" t="inlineStr">
        <is>
          <t>A_SURVEILLER</t>
        </is>
      </c>
      <c r="O66" s="6" t="inlineStr">
        <is>
          <t>ADMETTRE_PILOTE</t>
        </is>
      </c>
      <c r="P66" s="6" t="inlineStr">
        <is>
          <t>08/09/2026</t>
        </is>
      </c>
      <c r="Q66" s="6" t="inlineStr">
        <is>
          <t>Clarté360 — revue méthodologique</t>
        </is>
      </c>
      <c r="R66" s="6" t="inlineStr">
        <is>
          <t>Qualification théorique avant pilote ; décision empirique à confirmer après collecte.</t>
        </is>
      </c>
    </row>
    <row r="67" ht="100.8" customHeight="1" s="34">
      <c r="A67" s="13">
        <f>QUESTIONS!A67</f>
        <v/>
      </c>
      <c r="B67" s="13">
        <f>QUESTIONS!B67</f>
        <v/>
      </c>
      <c r="C67" s="13">
        <f>QUESTIONS!H67</f>
        <v/>
      </c>
      <c r="D67" s="13">
        <f>QUESTIONS!I67</f>
        <v/>
      </c>
      <c r="E67" s="13">
        <f>QUESTIONS!AJ67</f>
        <v/>
      </c>
      <c r="F67" s="6" t="n"/>
      <c r="G67" s="6" t="n"/>
      <c r="H67" s="6" t="n"/>
      <c r="I67" s="6" t="n"/>
      <c r="J67" s="6" t="n"/>
      <c r="K67" s="6" t="n"/>
      <c r="L67" s="6" t="inlineStr">
        <is>
          <t>I</t>
        </is>
      </c>
      <c r="M67" s="6" t="inlineStr">
        <is>
          <t>RAS_PRE_PILOTE</t>
        </is>
      </c>
      <c r="N67" s="6" t="inlineStr">
        <is>
          <t>A_SURVEILLER</t>
        </is>
      </c>
      <c r="O67" s="6" t="inlineStr">
        <is>
          <t>ADMETTRE_PILOTE</t>
        </is>
      </c>
      <c r="P67" s="6" t="inlineStr">
        <is>
          <t>08/09/2026</t>
        </is>
      </c>
      <c r="Q67" s="6" t="inlineStr">
        <is>
          <t>Clarté360 — revue méthodologique</t>
        </is>
      </c>
      <c r="R67" s="6" t="inlineStr">
        <is>
          <t>Qualification théorique avant pilote ; décision empirique à confirmer après collecte.</t>
        </is>
      </c>
    </row>
    <row r="68" ht="100.8" customHeight="1" s="34">
      <c r="A68" s="13">
        <f>QUESTIONS!A68</f>
        <v/>
      </c>
      <c r="B68" s="13">
        <f>QUESTIONS!B68</f>
        <v/>
      </c>
      <c r="C68" s="13">
        <f>QUESTIONS!H68</f>
        <v/>
      </c>
      <c r="D68" s="13">
        <f>QUESTIONS!I68</f>
        <v/>
      </c>
      <c r="E68" s="13">
        <f>QUESTIONS!AJ68</f>
        <v/>
      </c>
      <c r="F68" s="6" t="n"/>
      <c r="G68" s="6" t="n"/>
      <c r="H68" s="6" t="n"/>
      <c r="I68" s="6" t="n"/>
      <c r="J68" s="6" t="n"/>
      <c r="K68" s="6" t="n"/>
      <c r="L68" s="6" t="inlineStr">
        <is>
          <t>I</t>
        </is>
      </c>
      <c r="M68" s="6" t="inlineStr">
        <is>
          <t>RAS_PRE_PILOTE</t>
        </is>
      </c>
      <c r="N68" s="6" t="inlineStr">
        <is>
          <t>A_SURVEILLER</t>
        </is>
      </c>
      <c r="O68" s="6" t="inlineStr">
        <is>
          <t>ADMETTRE_PILOTE</t>
        </is>
      </c>
      <c r="P68" s="6" t="inlineStr">
        <is>
          <t>08/09/2026</t>
        </is>
      </c>
      <c r="Q68" s="6" t="inlineStr">
        <is>
          <t>Clarté360 — revue méthodologique</t>
        </is>
      </c>
      <c r="R68" s="6" t="inlineStr">
        <is>
          <t>Qualification théorique avant pilote ; décision empirique à confirmer après collecte.</t>
        </is>
      </c>
    </row>
    <row r="69" ht="100.8" customHeight="1" s="34">
      <c r="A69" s="13">
        <f>QUESTIONS!A69</f>
        <v/>
      </c>
      <c r="B69" s="13">
        <f>QUESTIONS!B69</f>
        <v/>
      </c>
      <c r="C69" s="13">
        <f>QUESTIONS!H69</f>
        <v/>
      </c>
      <c r="D69" s="13">
        <f>QUESTIONS!I69</f>
        <v/>
      </c>
      <c r="E69" s="13">
        <f>QUESTIONS!AJ69</f>
        <v/>
      </c>
      <c r="F69" s="6" t="n"/>
      <c r="G69" s="6" t="n"/>
      <c r="H69" s="6" t="n"/>
      <c r="I69" s="6" t="n"/>
      <c r="J69" s="6" t="n"/>
      <c r="K69" s="6" t="n"/>
      <c r="L69" s="6" t="inlineStr">
        <is>
          <t>E</t>
        </is>
      </c>
      <c r="M69" s="6" t="inlineStr">
        <is>
          <t>RAS_PRE_PILOTE</t>
        </is>
      </c>
      <c r="N69" s="6" t="inlineStr">
        <is>
          <t>A_SURVEILLER</t>
        </is>
      </c>
      <c r="O69" s="6" t="inlineStr">
        <is>
          <t>ADMETTRE_PILOTE</t>
        </is>
      </c>
      <c r="P69" s="6" t="inlineStr">
        <is>
          <t>08/09/2026</t>
        </is>
      </c>
      <c r="Q69" s="6" t="inlineStr">
        <is>
          <t>Clarté360 — revue méthodologique</t>
        </is>
      </c>
      <c r="R69" s="6" t="inlineStr">
        <is>
          <t>Qualification théorique avant pilote ; décision empirique à confirmer après collecte.</t>
        </is>
      </c>
    </row>
    <row r="70" ht="100.8" customHeight="1" s="34">
      <c r="A70" s="13">
        <f>QUESTIONS!A70</f>
        <v/>
      </c>
      <c r="B70" s="13">
        <f>QUESTIONS!B70</f>
        <v/>
      </c>
      <c r="C70" s="13">
        <f>QUESTIONS!H70</f>
        <v/>
      </c>
      <c r="D70" s="13">
        <f>QUESTIONS!I70</f>
        <v/>
      </c>
      <c r="E70" s="13">
        <f>QUESTIONS!AJ70</f>
        <v/>
      </c>
      <c r="F70" s="6" t="n"/>
      <c r="G70" s="6" t="n"/>
      <c r="H70" s="6" t="n"/>
      <c r="I70" s="6" t="n"/>
      <c r="J70" s="6" t="n"/>
      <c r="K70" s="6" t="n"/>
      <c r="L70" s="6" t="inlineStr">
        <is>
          <t>E</t>
        </is>
      </c>
      <c r="M70" s="6" t="inlineStr">
        <is>
          <t>RAS_PRE_PILOTE</t>
        </is>
      </c>
      <c r="N70" s="6" t="inlineStr">
        <is>
          <t>A_SURVEILLER</t>
        </is>
      </c>
      <c r="O70" s="6" t="inlineStr">
        <is>
          <t>ADMETTRE_PILOTE</t>
        </is>
      </c>
      <c r="P70" s="6" t="inlineStr">
        <is>
          <t>08/09/2026</t>
        </is>
      </c>
      <c r="Q70" s="6" t="inlineStr">
        <is>
          <t>Clarté360 — revue méthodologique</t>
        </is>
      </c>
      <c r="R70" s="6" t="inlineStr">
        <is>
          <t>Qualification théorique avant pilote ; décision empirique à confirmer après collecte.</t>
        </is>
      </c>
    </row>
    <row r="71" ht="100.8" customHeight="1" s="34">
      <c r="A71" s="13">
        <f>QUESTIONS!A71</f>
        <v/>
      </c>
      <c r="B71" s="13">
        <f>QUESTIONS!B71</f>
        <v/>
      </c>
      <c r="C71" s="13">
        <f>QUESTIONS!H71</f>
        <v/>
      </c>
      <c r="D71" s="13">
        <f>QUESTIONS!I71</f>
        <v/>
      </c>
      <c r="E71" s="13">
        <f>QUESTIONS!AJ71</f>
        <v/>
      </c>
      <c r="F71" s="6" t="n"/>
      <c r="G71" s="6" t="n"/>
      <c r="H71" s="6" t="n"/>
      <c r="I71" s="6" t="n"/>
      <c r="J71" s="6" t="n"/>
      <c r="K71" s="6" t="n"/>
      <c r="L71" s="6" t="inlineStr">
        <is>
          <t>E</t>
        </is>
      </c>
      <c r="M71" s="6" t="inlineStr">
        <is>
          <t>RAS_PRE_PILOTE</t>
        </is>
      </c>
      <c r="N71" s="6" t="inlineStr">
        <is>
          <t>A_SURVEILLER</t>
        </is>
      </c>
      <c r="O71" s="6" t="inlineStr">
        <is>
          <t>ADMETTRE_PILOTE</t>
        </is>
      </c>
      <c r="P71" s="6" t="inlineStr">
        <is>
          <t>08/09/2026</t>
        </is>
      </c>
      <c r="Q71" s="6" t="inlineStr">
        <is>
          <t>Clarté360 — revue méthodologique</t>
        </is>
      </c>
      <c r="R71" s="6" t="inlineStr">
        <is>
          <t>Qualification théorique avant pilote ; décision empirique à confirmer après collecte.</t>
        </is>
      </c>
    </row>
    <row r="72" ht="100.8" customHeight="1" s="34">
      <c r="A72" s="13">
        <f>QUESTIONS!A72</f>
        <v/>
      </c>
      <c r="B72" s="13">
        <f>QUESTIONS!B72</f>
        <v/>
      </c>
      <c r="C72" s="13">
        <f>QUESTIONS!H72</f>
        <v/>
      </c>
      <c r="D72" s="13">
        <f>QUESTIONS!I72</f>
        <v/>
      </c>
      <c r="E72" s="13">
        <f>QUESTIONS!AJ72</f>
        <v/>
      </c>
      <c r="F72" s="6" t="n"/>
      <c r="G72" s="6" t="n"/>
      <c r="H72" s="6" t="n"/>
      <c r="I72" s="6" t="n"/>
      <c r="J72" s="6" t="n"/>
      <c r="K72" s="6" t="n"/>
      <c r="L72" s="6" t="inlineStr">
        <is>
          <t>E</t>
        </is>
      </c>
      <c r="M72" s="6" t="inlineStr">
        <is>
          <t>RAS_PRE_PILOTE</t>
        </is>
      </c>
      <c r="N72" s="6" t="inlineStr">
        <is>
          <t>A_SURVEILLER</t>
        </is>
      </c>
      <c r="O72" s="6" t="inlineStr">
        <is>
          <t>ADMETTRE_PILOTE</t>
        </is>
      </c>
      <c r="P72" s="6" t="inlineStr">
        <is>
          <t>08/09/2026</t>
        </is>
      </c>
      <c r="Q72" s="6" t="inlineStr">
        <is>
          <t>Clarté360 — revue méthodologique</t>
        </is>
      </c>
      <c r="R72" s="6" t="inlineStr">
        <is>
          <t>Qualification théorique avant pilote ; décision empirique à confirmer après collecte.</t>
        </is>
      </c>
    </row>
    <row r="73" ht="100.8" customHeight="1" s="34">
      <c r="A73" s="13">
        <f>QUESTIONS!A73</f>
        <v/>
      </c>
      <c r="B73" s="13">
        <f>QUESTIONS!B73</f>
        <v/>
      </c>
      <c r="C73" s="13">
        <f>QUESTIONS!H73</f>
        <v/>
      </c>
      <c r="D73" s="13">
        <f>QUESTIONS!I73</f>
        <v/>
      </c>
      <c r="E73" s="13">
        <f>QUESTIONS!AJ73</f>
        <v/>
      </c>
      <c r="F73" s="6" t="n"/>
      <c r="G73" s="6" t="n"/>
      <c r="H73" s="6" t="n"/>
      <c r="I73" s="6" t="n"/>
      <c r="J73" s="6" t="n"/>
      <c r="K73" s="6" t="n"/>
      <c r="L73" s="6" t="inlineStr">
        <is>
          <t>E,I</t>
        </is>
      </c>
      <c r="M73" s="6" t="inlineStr">
        <is>
          <t>RAS_PRE_PILOTE</t>
        </is>
      </c>
      <c r="N73" s="6" t="inlineStr">
        <is>
          <t>A_SURVEILLER</t>
        </is>
      </c>
      <c r="O73" s="6" t="inlineStr">
        <is>
          <t>ADMETTRE_PILOTE</t>
        </is>
      </c>
      <c r="P73" s="6" t="inlineStr">
        <is>
          <t>08/09/2026</t>
        </is>
      </c>
      <c r="Q73" s="6" t="inlineStr">
        <is>
          <t>Clarté360 — revue méthodologique</t>
        </is>
      </c>
      <c r="R73" s="6" t="inlineStr">
        <is>
          <t>Qualification théorique avant pilote ; décision empirique à confirmer après collecte.</t>
        </is>
      </c>
    </row>
    <row r="74" ht="100.8" customHeight="1" s="34">
      <c r="A74" s="13">
        <f>QUESTIONS!A74</f>
        <v/>
      </c>
      <c r="B74" s="13">
        <f>QUESTIONS!B74</f>
        <v/>
      </c>
      <c r="C74" s="13">
        <f>QUESTIONS!H74</f>
        <v/>
      </c>
      <c r="D74" s="13">
        <f>QUESTIONS!I74</f>
        <v/>
      </c>
      <c r="E74" s="13">
        <f>QUESTIONS!AJ74</f>
        <v/>
      </c>
      <c r="F74" s="6" t="n"/>
      <c r="G74" s="6" t="n"/>
      <c r="H74" s="6" t="n"/>
      <c r="I74" s="6" t="n"/>
      <c r="J74" s="6" t="n"/>
      <c r="K74" s="6" t="n"/>
      <c r="L74" s="6" t="inlineStr">
        <is>
          <t>E,I</t>
        </is>
      </c>
      <c r="M74" s="6" t="inlineStr">
        <is>
          <t>RAS_PRE_PILOTE</t>
        </is>
      </c>
      <c r="N74" s="6" t="inlineStr">
        <is>
          <t>A_SURVEILLER</t>
        </is>
      </c>
      <c r="O74" s="6" t="inlineStr">
        <is>
          <t>ADMETTRE_PILOTE</t>
        </is>
      </c>
      <c r="P74" s="6" t="inlineStr">
        <is>
          <t>08/09/2026</t>
        </is>
      </c>
      <c r="Q74" s="6" t="inlineStr">
        <is>
          <t>Clarté360 — revue méthodologique</t>
        </is>
      </c>
      <c r="R74" s="6" t="inlineStr">
        <is>
          <t>Qualification théorique avant pilote ; décision empirique à confirmer après collecte.</t>
        </is>
      </c>
    </row>
    <row r="75" ht="100.8" customHeight="1" s="34">
      <c r="A75" s="13">
        <f>QUESTIONS!A75</f>
        <v/>
      </c>
      <c r="B75" s="13">
        <f>QUESTIONS!B75</f>
        <v/>
      </c>
      <c r="C75" s="13">
        <f>QUESTIONS!H75</f>
        <v/>
      </c>
      <c r="D75" s="13">
        <f>QUESTIONS!I75</f>
        <v/>
      </c>
      <c r="E75" s="13">
        <f>QUESTIONS!AJ75</f>
        <v/>
      </c>
      <c r="F75" s="6" t="n"/>
      <c r="G75" s="6" t="n"/>
      <c r="H75" s="6" t="n"/>
      <c r="I75" s="6" t="n"/>
      <c r="J75" s="6" t="n"/>
      <c r="K75" s="6" t="n"/>
      <c r="L75" s="6" t="inlineStr">
        <is>
          <t>E,I</t>
        </is>
      </c>
      <c r="M75" s="6" t="inlineStr">
        <is>
          <t>RAS_PRE_PILOTE</t>
        </is>
      </c>
      <c r="N75" s="6" t="inlineStr">
        <is>
          <t>A_SURVEILLER</t>
        </is>
      </c>
      <c r="O75" s="6" t="inlineStr">
        <is>
          <t>ADMETTRE_PILOTE</t>
        </is>
      </c>
      <c r="P75" s="6" t="inlineStr">
        <is>
          <t>08/09/2026</t>
        </is>
      </c>
      <c r="Q75" s="6" t="inlineStr">
        <is>
          <t>Clarté360 — revue méthodologique</t>
        </is>
      </c>
      <c r="R75" s="6" t="inlineStr">
        <is>
          <t>Qualification théorique avant pilote ; décision empirique à confirmer après collecte.</t>
        </is>
      </c>
    </row>
    <row r="76" ht="100.8" customHeight="1" s="34">
      <c r="A76" s="13">
        <f>QUESTIONS!A76</f>
        <v/>
      </c>
      <c r="B76" s="13">
        <f>QUESTIONS!B76</f>
        <v/>
      </c>
      <c r="C76" s="13">
        <f>QUESTIONS!H76</f>
        <v/>
      </c>
      <c r="D76" s="13">
        <f>QUESTIONS!I76</f>
        <v/>
      </c>
      <c r="E76" s="13">
        <f>QUESTIONS!AJ76</f>
        <v/>
      </c>
      <c r="F76" s="6" t="n"/>
      <c r="G76" s="6" t="n"/>
      <c r="H76" s="6" t="n"/>
      <c r="I76" s="6" t="n"/>
      <c r="J76" s="6" t="n"/>
      <c r="K76" s="6" t="n"/>
      <c r="L76" s="6" t="inlineStr">
        <is>
          <t>E,I</t>
        </is>
      </c>
      <c r="M76" s="6" t="inlineStr">
        <is>
          <t>RAS_PRE_PILOTE</t>
        </is>
      </c>
      <c r="N76" s="6" t="inlineStr">
        <is>
          <t>A_SURVEILLER</t>
        </is>
      </c>
      <c r="O76" s="6" t="inlineStr">
        <is>
          <t>ADMETTRE_PILOTE</t>
        </is>
      </c>
      <c r="P76" s="6" t="inlineStr">
        <is>
          <t>08/09/2026</t>
        </is>
      </c>
      <c r="Q76" s="6" t="inlineStr">
        <is>
          <t>Clarté360 — revue méthodologique</t>
        </is>
      </c>
      <c r="R76" s="6" t="inlineStr">
        <is>
          <t>Qualification théorique avant pilote ; décision empirique à confirmer après collecte.</t>
        </is>
      </c>
    </row>
    <row r="77" ht="100.8" customHeight="1" s="34">
      <c r="A77" s="13">
        <f>QUESTIONS!A77</f>
        <v/>
      </c>
      <c r="B77" s="13">
        <f>QUESTIONS!B77</f>
        <v/>
      </c>
      <c r="C77" s="13">
        <f>QUESTIONS!H77</f>
        <v/>
      </c>
      <c r="D77" s="13">
        <f>QUESTIONS!I77</f>
        <v/>
      </c>
      <c r="E77" s="13">
        <f>QUESTIONS!AJ77</f>
        <v/>
      </c>
      <c r="F77" s="6" t="n"/>
      <c r="G77" s="6" t="n"/>
      <c r="H77" s="6" t="n"/>
      <c r="I77" s="6" t="n"/>
      <c r="J77" s="6" t="n"/>
      <c r="K77" s="6" t="n"/>
      <c r="L77" s="6" t="inlineStr">
        <is>
          <t>R,I</t>
        </is>
      </c>
      <c r="M77" s="6" t="inlineStr">
        <is>
          <t>RAS_PRE_PILOTE</t>
        </is>
      </c>
      <c r="N77" s="6" t="inlineStr">
        <is>
          <t>A_SURVEILLER</t>
        </is>
      </c>
      <c r="O77" s="6" t="inlineStr">
        <is>
          <t>ADMETTRE_PILOTE</t>
        </is>
      </c>
      <c r="P77" s="6" t="inlineStr">
        <is>
          <t>08/09/2026</t>
        </is>
      </c>
      <c r="Q77" s="6" t="inlineStr">
        <is>
          <t>Clarté360 — revue méthodologique</t>
        </is>
      </c>
      <c r="R77" s="6" t="inlineStr">
        <is>
          <t>Qualification théorique avant pilote ; décision empirique à confirmer après collecte.</t>
        </is>
      </c>
    </row>
    <row r="78" ht="100.8" customHeight="1" s="34">
      <c r="A78" s="13">
        <f>QUESTIONS!A78</f>
        <v/>
      </c>
      <c r="B78" s="13">
        <f>QUESTIONS!B78</f>
        <v/>
      </c>
      <c r="C78" s="13">
        <f>QUESTIONS!H78</f>
        <v/>
      </c>
      <c r="D78" s="13">
        <f>QUESTIONS!I78</f>
        <v/>
      </c>
      <c r="E78" s="13">
        <f>QUESTIONS!AJ78</f>
        <v/>
      </c>
      <c r="F78" s="6" t="n"/>
      <c r="G78" s="6" t="n"/>
      <c r="H78" s="6" t="n"/>
      <c r="I78" s="6" t="n"/>
      <c r="J78" s="6" t="n"/>
      <c r="K78" s="6" t="n"/>
      <c r="L78" s="6" t="inlineStr">
        <is>
          <t>R,I</t>
        </is>
      </c>
      <c r="M78" s="6" t="inlineStr">
        <is>
          <t>RAS_PRE_PILOTE</t>
        </is>
      </c>
      <c r="N78" s="6" t="inlineStr">
        <is>
          <t>A_SURVEILLER</t>
        </is>
      </c>
      <c r="O78" s="6" t="inlineStr">
        <is>
          <t>ADMETTRE_PILOTE</t>
        </is>
      </c>
      <c r="P78" s="6" t="inlineStr">
        <is>
          <t>08/09/2026</t>
        </is>
      </c>
      <c r="Q78" s="6" t="inlineStr">
        <is>
          <t>Clarté360 — revue méthodologique</t>
        </is>
      </c>
      <c r="R78" s="6" t="inlineStr">
        <is>
          <t>Qualification théorique avant pilote ; décision empirique à confirmer après collecte.</t>
        </is>
      </c>
    </row>
    <row r="79" ht="100.8" customHeight="1" s="34">
      <c r="A79" s="13">
        <f>QUESTIONS!A79</f>
        <v/>
      </c>
      <c r="B79" s="13">
        <f>QUESTIONS!B79</f>
        <v/>
      </c>
      <c r="C79" s="13">
        <f>QUESTIONS!H79</f>
        <v/>
      </c>
      <c r="D79" s="13">
        <f>QUESTIONS!I79</f>
        <v/>
      </c>
      <c r="E79" s="13">
        <f>QUESTIONS!AJ79</f>
        <v/>
      </c>
      <c r="F79" s="6" t="n"/>
      <c r="G79" s="6" t="n"/>
      <c r="H79" s="6" t="n"/>
      <c r="I79" s="6" t="n"/>
      <c r="J79" s="6" t="n"/>
      <c r="K79" s="6" t="n"/>
      <c r="L79" s="6" t="inlineStr">
        <is>
          <t>R,I</t>
        </is>
      </c>
      <c r="M79" s="6" t="inlineStr">
        <is>
          <t>RAS_PRE_PILOTE</t>
        </is>
      </c>
      <c r="N79" s="6" t="inlineStr">
        <is>
          <t>A_SURVEILLER</t>
        </is>
      </c>
      <c r="O79" s="6" t="inlineStr">
        <is>
          <t>ADMETTRE_PILOTE</t>
        </is>
      </c>
      <c r="P79" s="6" t="inlineStr">
        <is>
          <t>08/09/2026</t>
        </is>
      </c>
      <c r="Q79" s="6" t="inlineStr">
        <is>
          <t>Clarté360 — revue méthodologique</t>
        </is>
      </c>
      <c r="R79" s="6" t="inlineStr">
        <is>
          <t>Qualification théorique avant pilote ; décision empirique à confirmer après collecte.</t>
        </is>
      </c>
    </row>
    <row r="80" ht="100.8" customHeight="1" s="34">
      <c r="A80" s="13">
        <f>QUESTIONS!A80</f>
        <v/>
      </c>
      <c r="B80" s="13">
        <f>QUESTIONS!B80</f>
        <v/>
      </c>
      <c r="C80" s="13">
        <f>QUESTIONS!H80</f>
        <v/>
      </c>
      <c r="D80" s="13">
        <f>QUESTIONS!I80</f>
        <v/>
      </c>
      <c r="E80" s="13">
        <f>QUESTIONS!AJ80</f>
        <v/>
      </c>
      <c r="F80" s="6" t="n"/>
      <c r="G80" s="6" t="n"/>
      <c r="H80" s="6" t="n"/>
      <c r="I80" s="6" t="n"/>
      <c r="J80" s="6" t="n"/>
      <c r="K80" s="6" t="n"/>
      <c r="L80" s="6" t="inlineStr">
        <is>
          <t>R,I</t>
        </is>
      </c>
      <c r="M80" s="6" t="inlineStr">
        <is>
          <t>RAS_PRE_PILOTE</t>
        </is>
      </c>
      <c r="N80" s="6" t="inlineStr">
        <is>
          <t>A_SURVEILLER</t>
        </is>
      </c>
      <c r="O80" s="6" t="inlineStr">
        <is>
          <t>ADMETTRE_PILOTE</t>
        </is>
      </c>
      <c r="P80" s="6" t="inlineStr">
        <is>
          <t>08/09/2026</t>
        </is>
      </c>
      <c r="Q80" s="6" t="inlineStr">
        <is>
          <t>Clarté360 — revue méthodologique</t>
        </is>
      </c>
      <c r="R80" s="6" t="inlineStr">
        <is>
          <t>Qualification théorique avant pilote ; décision empirique à confirmer après collecte.</t>
        </is>
      </c>
    </row>
    <row r="81" ht="100.8" customHeight="1" s="34">
      <c r="A81" s="13">
        <f>QUESTIONS!A81</f>
        <v/>
      </c>
      <c r="B81" s="13">
        <f>QUESTIONS!B81</f>
        <v/>
      </c>
      <c r="C81" s="13">
        <f>QUESTIONS!H81</f>
        <v/>
      </c>
      <c r="D81" s="13">
        <f>QUESTIONS!I81</f>
        <v/>
      </c>
      <c r="E81" s="13">
        <f>QUESTIONS!AJ81</f>
        <v/>
      </c>
      <c r="F81" s="6" t="n"/>
      <c r="G81" s="6" t="n"/>
      <c r="H81" s="6" t="n"/>
      <c r="I81" s="6" t="n"/>
      <c r="J81" s="6" t="n"/>
      <c r="K81" s="6" t="n"/>
      <c r="L81" s="6" t="inlineStr">
        <is>
          <t>E,C</t>
        </is>
      </c>
      <c r="M81" s="6" t="inlineStr">
        <is>
          <t>RAS_PRE_PILOTE</t>
        </is>
      </c>
      <c r="N81" s="6" t="inlineStr">
        <is>
          <t>A_SURVEILLER</t>
        </is>
      </c>
      <c r="O81" s="6" t="inlineStr">
        <is>
          <t>ADMETTRE_PILOTE</t>
        </is>
      </c>
      <c r="P81" s="6" t="inlineStr">
        <is>
          <t>08/09/2026</t>
        </is>
      </c>
      <c r="Q81" s="6" t="inlineStr">
        <is>
          <t>Clarté360 — revue méthodologique</t>
        </is>
      </c>
      <c r="R81" s="6" t="inlineStr">
        <is>
          <t>Qualification théorique avant pilote ; décision empirique à confirmer après collecte.</t>
        </is>
      </c>
    </row>
    <row r="82" ht="100.8" customHeight="1" s="34">
      <c r="A82" s="13">
        <f>QUESTIONS!A82</f>
        <v/>
      </c>
      <c r="B82" s="13">
        <f>QUESTIONS!B82</f>
        <v/>
      </c>
      <c r="C82" s="13">
        <f>QUESTIONS!H82</f>
        <v/>
      </c>
      <c r="D82" s="13">
        <f>QUESTIONS!I82</f>
        <v/>
      </c>
      <c r="E82" s="13">
        <f>QUESTIONS!AJ82</f>
        <v/>
      </c>
      <c r="F82" s="6" t="n"/>
      <c r="G82" s="6" t="n"/>
      <c r="H82" s="6" t="n"/>
      <c r="I82" s="6" t="n"/>
      <c r="J82" s="6" t="n"/>
      <c r="K82" s="6" t="n"/>
      <c r="L82" s="6" t="inlineStr">
        <is>
          <t>E,C</t>
        </is>
      </c>
      <c r="M82" s="6" t="inlineStr">
        <is>
          <t>RAS_PRE_PILOTE</t>
        </is>
      </c>
      <c r="N82" s="6" t="inlineStr">
        <is>
          <t>A_SURVEILLER</t>
        </is>
      </c>
      <c r="O82" s="6" t="inlineStr">
        <is>
          <t>ADMETTRE_PILOTE</t>
        </is>
      </c>
      <c r="P82" s="6" t="inlineStr">
        <is>
          <t>08/09/2026</t>
        </is>
      </c>
      <c r="Q82" s="6" t="inlineStr">
        <is>
          <t>Clarté360 — revue méthodologique</t>
        </is>
      </c>
      <c r="R82" s="6" t="inlineStr">
        <is>
          <t>Qualification théorique avant pilote ; décision empirique à confirmer après collecte.</t>
        </is>
      </c>
    </row>
    <row r="83" ht="100.8" customHeight="1" s="34">
      <c r="A83" s="13">
        <f>QUESTIONS!A83</f>
        <v/>
      </c>
      <c r="B83" s="13">
        <f>QUESTIONS!B83</f>
        <v/>
      </c>
      <c r="C83" s="13">
        <f>QUESTIONS!H83</f>
        <v/>
      </c>
      <c r="D83" s="13">
        <f>QUESTIONS!I83</f>
        <v/>
      </c>
      <c r="E83" s="13">
        <f>QUESTIONS!AJ83</f>
        <v/>
      </c>
      <c r="F83" s="6" t="n"/>
      <c r="G83" s="6" t="n"/>
      <c r="H83" s="6" t="n"/>
      <c r="I83" s="6" t="n"/>
      <c r="J83" s="6" t="n"/>
      <c r="K83" s="6" t="n"/>
      <c r="L83" s="6" t="inlineStr">
        <is>
          <t>E,C</t>
        </is>
      </c>
      <c r="M83" s="6" t="inlineStr">
        <is>
          <t>RAS_PRE_PILOTE</t>
        </is>
      </c>
      <c r="N83" s="6" t="inlineStr">
        <is>
          <t>A_SURVEILLER</t>
        </is>
      </c>
      <c r="O83" s="6" t="inlineStr">
        <is>
          <t>ADMETTRE_PILOTE</t>
        </is>
      </c>
      <c r="P83" s="6" t="inlineStr">
        <is>
          <t>08/09/2026</t>
        </is>
      </c>
      <c r="Q83" s="6" t="inlineStr">
        <is>
          <t>Clarté360 — revue méthodologique</t>
        </is>
      </c>
      <c r="R83" s="6" t="inlineStr">
        <is>
          <t>Qualification théorique avant pilote ; décision empirique à confirmer après collecte.</t>
        </is>
      </c>
    </row>
    <row r="84" ht="100.8" customHeight="1" s="34">
      <c r="A84" s="13">
        <f>QUESTIONS!A84</f>
        <v/>
      </c>
      <c r="B84" s="13">
        <f>QUESTIONS!B84</f>
        <v/>
      </c>
      <c r="C84" s="13">
        <f>QUESTIONS!H84</f>
        <v/>
      </c>
      <c r="D84" s="13">
        <f>QUESTIONS!I84</f>
        <v/>
      </c>
      <c r="E84" s="13">
        <f>QUESTIONS!AJ84</f>
        <v/>
      </c>
      <c r="F84" s="6" t="n"/>
      <c r="G84" s="6" t="n"/>
      <c r="H84" s="6" t="n"/>
      <c r="I84" s="6" t="n"/>
      <c r="J84" s="6" t="n"/>
      <c r="K84" s="6" t="n"/>
      <c r="L84" s="6" t="inlineStr">
        <is>
          <t>E,C</t>
        </is>
      </c>
      <c r="M84" s="6" t="inlineStr">
        <is>
          <t>RAS_PRE_PILOTE</t>
        </is>
      </c>
      <c r="N84" s="6" t="inlineStr">
        <is>
          <t>A_SURVEILLER</t>
        </is>
      </c>
      <c r="O84" s="6" t="inlineStr">
        <is>
          <t>ADMETTRE_PILOTE</t>
        </is>
      </c>
      <c r="P84" s="6" t="inlineStr">
        <is>
          <t>08/09/2026</t>
        </is>
      </c>
      <c r="Q84" s="6" t="inlineStr">
        <is>
          <t>Clarté360 — revue méthodologique</t>
        </is>
      </c>
      <c r="R84" s="6" t="inlineStr">
        <is>
          <t>Qualification théorique avant pilote ; décision empirique à confirmer après collecte.</t>
        </is>
      </c>
    </row>
    <row r="85" ht="100.8" customHeight="1" s="34">
      <c r="A85" s="13">
        <f>QUESTIONS!A85</f>
        <v/>
      </c>
      <c r="B85" s="13">
        <f>QUESTIONS!B85</f>
        <v/>
      </c>
      <c r="C85" s="13">
        <f>QUESTIONS!H85</f>
        <v/>
      </c>
      <c r="D85" s="13">
        <f>QUESTIONS!I85</f>
        <v/>
      </c>
      <c r="E85" s="13">
        <f>QUESTIONS!AJ85</f>
        <v/>
      </c>
      <c r="F85" s="6" t="n"/>
      <c r="G85" s="6" t="n"/>
      <c r="H85" s="6" t="n"/>
      <c r="I85" s="6" t="n"/>
      <c r="J85" s="6" t="n"/>
      <c r="K85" s="6" t="n"/>
      <c r="L85" s="6" t="inlineStr">
        <is>
          <t>A</t>
        </is>
      </c>
      <c r="M85" s="6" t="inlineStr">
        <is>
          <t>A_SURVEILLER</t>
        </is>
      </c>
      <c r="N85" s="6" t="inlineStr">
        <is>
          <t>A_SURVEILLER</t>
        </is>
      </c>
      <c r="O85" s="6" t="inlineStr">
        <is>
          <t>ADMETTRE_PILOTE</t>
        </is>
      </c>
      <c r="P85" s="6" t="inlineStr">
        <is>
          <t>08/09/2026</t>
        </is>
      </c>
      <c r="Q85" s="6" t="inlineStr">
        <is>
          <t>Clarté360 — revue méthodologique</t>
        </is>
      </c>
      <c r="R85" s="6" t="inlineStr">
        <is>
          <t>Qualification théorique avant pilote ; décision empirique à confirmer après collecte.</t>
        </is>
      </c>
    </row>
    <row r="86" ht="100.8" customHeight="1" s="34">
      <c r="A86" s="13">
        <f>QUESTIONS!A86</f>
        <v/>
      </c>
      <c r="B86" s="13">
        <f>QUESTIONS!B86</f>
        <v/>
      </c>
      <c r="C86" s="13">
        <f>QUESTIONS!H86</f>
        <v/>
      </c>
      <c r="D86" s="13">
        <f>QUESTIONS!I86</f>
        <v/>
      </c>
      <c r="E86" s="13">
        <f>QUESTIONS!AJ86</f>
        <v/>
      </c>
      <c r="F86" s="6" t="n"/>
      <c r="G86" s="6" t="n"/>
      <c r="H86" s="6" t="n"/>
      <c r="I86" s="6" t="n"/>
      <c r="J86" s="6" t="n"/>
      <c r="K86" s="6" t="n"/>
      <c r="L86" s="6" t="inlineStr">
        <is>
          <t>A</t>
        </is>
      </c>
      <c r="M86" s="6" t="inlineStr">
        <is>
          <t>A_SURVEILLER</t>
        </is>
      </c>
      <c r="N86" s="6" t="inlineStr">
        <is>
          <t>A_SURVEILLER</t>
        </is>
      </c>
      <c r="O86" s="6" t="inlineStr">
        <is>
          <t>ADMETTRE_PILOTE</t>
        </is>
      </c>
      <c r="P86" s="6" t="inlineStr">
        <is>
          <t>08/09/2026</t>
        </is>
      </c>
      <c r="Q86" s="6" t="inlineStr">
        <is>
          <t>Clarté360 — revue méthodologique</t>
        </is>
      </c>
      <c r="R86" s="6" t="inlineStr">
        <is>
          <t>Qualification théorique avant pilote ; décision empirique à confirmer après collecte.</t>
        </is>
      </c>
    </row>
    <row r="87" ht="100.8" customHeight="1" s="34">
      <c r="A87" s="13">
        <f>QUESTIONS!A87</f>
        <v/>
      </c>
      <c r="B87" s="13">
        <f>QUESTIONS!B87</f>
        <v/>
      </c>
      <c r="C87" s="13">
        <f>QUESTIONS!H87</f>
        <v/>
      </c>
      <c r="D87" s="13">
        <f>QUESTIONS!I87</f>
        <v/>
      </c>
      <c r="E87" s="13">
        <f>QUESTIONS!AJ87</f>
        <v/>
      </c>
      <c r="F87" s="6" t="n"/>
      <c r="G87" s="6" t="n"/>
      <c r="H87" s="6" t="n"/>
      <c r="I87" s="6" t="n"/>
      <c r="J87" s="6" t="n"/>
      <c r="K87" s="6" t="n"/>
      <c r="L87" s="6" t="inlineStr">
        <is>
          <t>A</t>
        </is>
      </c>
      <c r="M87" s="6" t="inlineStr">
        <is>
          <t>A_SURVEILLER</t>
        </is>
      </c>
      <c r="N87" s="6" t="inlineStr">
        <is>
          <t>A_SURVEILLER</t>
        </is>
      </c>
      <c r="O87" s="6" t="inlineStr">
        <is>
          <t>ADMETTRE_PILOTE</t>
        </is>
      </c>
      <c r="P87" s="6" t="inlineStr">
        <is>
          <t>08/09/2026</t>
        </is>
      </c>
      <c r="Q87" s="6" t="inlineStr">
        <is>
          <t>Clarté360 — revue méthodologique</t>
        </is>
      </c>
      <c r="R87" s="6" t="inlineStr">
        <is>
          <t>Qualification théorique avant pilote ; décision empirique à confirmer après collecte.</t>
        </is>
      </c>
    </row>
    <row r="88" ht="100.8" customHeight="1" s="34">
      <c r="A88" s="13">
        <f>QUESTIONS!A88</f>
        <v/>
      </c>
      <c r="B88" s="13">
        <f>QUESTIONS!B88</f>
        <v/>
      </c>
      <c r="C88" s="13">
        <f>QUESTIONS!H88</f>
        <v/>
      </c>
      <c r="D88" s="13">
        <f>QUESTIONS!I88</f>
        <v/>
      </c>
      <c r="E88" s="13">
        <f>QUESTIONS!AJ88</f>
        <v/>
      </c>
      <c r="F88" s="6" t="n"/>
      <c r="G88" s="6" t="n"/>
      <c r="H88" s="6" t="n"/>
      <c r="I88" s="6" t="n"/>
      <c r="J88" s="6" t="n"/>
      <c r="K88" s="6" t="n"/>
      <c r="L88" s="6" t="inlineStr">
        <is>
          <t>A</t>
        </is>
      </c>
      <c r="M88" s="6" t="inlineStr">
        <is>
          <t>A_SURVEILLER</t>
        </is>
      </c>
      <c r="N88" s="6" t="inlineStr">
        <is>
          <t>A_SURVEILLER</t>
        </is>
      </c>
      <c r="O88" s="6" t="inlineStr">
        <is>
          <t>ADMETTRE_PILOTE</t>
        </is>
      </c>
      <c r="P88" s="6" t="inlineStr">
        <is>
          <t>08/09/2026</t>
        </is>
      </c>
      <c r="Q88" s="6" t="inlineStr">
        <is>
          <t>Clarté360 — revue méthodologique</t>
        </is>
      </c>
      <c r="R88" s="6" t="inlineStr">
        <is>
          <t>Qualification théorique avant pilote ; décision empirique à confirmer après collecte.</t>
        </is>
      </c>
    </row>
    <row r="89" ht="100.8" customHeight="1" s="34">
      <c r="A89" s="13">
        <f>QUESTIONS!A89</f>
        <v/>
      </c>
      <c r="B89" s="13">
        <f>QUESTIONS!B89</f>
        <v/>
      </c>
      <c r="C89" s="13">
        <f>QUESTIONS!H89</f>
        <v/>
      </c>
      <c r="D89" s="13">
        <f>QUESTIONS!I89</f>
        <v/>
      </c>
      <c r="E89" s="13">
        <f>QUESTIONS!AJ89</f>
        <v/>
      </c>
      <c r="F89" s="6" t="n"/>
      <c r="G89" s="6" t="n"/>
      <c r="H89" s="6" t="n"/>
      <c r="I89" s="6" t="n"/>
      <c r="J89" s="6" t="n"/>
      <c r="K89" s="6" t="n"/>
      <c r="L89" s="6" t="inlineStr">
        <is>
          <t>S</t>
        </is>
      </c>
      <c r="M89" s="6" t="inlineStr">
        <is>
          <t>A_SURVEILLER</t>
        </is>
      </c>
      <c r="N89" s="6" t="inlineStr">
        <is>
          <t>A_SURVEILLER</t>
        </is>
      </c>
      <c r="O89" s="6" t="inlineStr">
        <is>
          <t>ADMETTRE_PILOTE</t>
        </is>
      </c>
      <c r="P89" s="6" t="inlineStr">
        <is>
          <t>08/09/2026</t>
        </is>
      </c>
      <c r="Q89" s="6" t="inlineStr">
        <is>
          <t>Clarté360 — revue méthodologique</t>
        </is>
      </c>
      <c r="R89" s="6" t="inlineStr">
        <is>
          <t>Qualification théorique avant pilote ; décision empirique à confirmer après collecte.</t>
        </is>
      </c>
    </row>
    <row r="90" ht="100.8" customHeight="1" s="34">
      <c r="A90" s="13">
        <f>QUESTIONS!A90</f>
        <v/>
      </c>
      <c r="B90" s="13">
        <f>QUESTIONS!B90</f>
        <v/>
      </c>
      <c r="C90" s="13">
        <f>QUESTIONS!H90</f>
        <v/>
      </c>
      <c r="D90" s="13">
        <f>QUESTIONS!I90</f>
        <v/>
      </c>
      <c r="E90" s="13">
        <f>QUESTIONS!AJ90</f>
        <v/>
      </c>
      <c r="F90" s="6" t="n"/>
      <c r="G90" s="6" t="n"/>
      <c r="H90" s="6" t="n"/>
      <c r="I90" s="6" t="n"/>
      <c r="J90" s="6" t="n"/>
      <c r="K90" s="6" t="n"/>
      <c r="L90" s="6" t="inlineStr">
        <is>
          <t>S</t>
        </is>
      </c>
      <c r="M90" s="6" t="inlineStr">
        <is>
          <t>A_SURVEILLER</t>
        </is>
      </c>
      <c r="N90" s="6" t="inlineStr">
        <is>
          <t>A_SURVEILLER</t>
        </is>
      </c>
      <c r="O90" s="6" t="inlineStr">
        <is>
          <t>ADMETTRE_PILOTE</t>
        </is>
      </c>
      <c r="P90" s="6" t="inlineStr">
        <is>
          <t>08/09/2026</t>
        </is>
      </c>
      <c r="Q90" s="6" t="inlineStr">
        <is>
          <t>Clarté360 — revue méthodologique</t>
        </is>
      </c>
      <c r="R90" s="6" t="inlineStr">
        <is>
          <t>Qualification théorique avant pilote ; décision empirique à confirmer après collecte.</t>
        </is>
      </c>
    </row>
    <row r="91" ht="100.8" customHeight="1" s="34">
      <c r="A91" s="13">
        <f>QUESTIONS!A91</f>
        <v/>
      </c>
      <c r="B91" s="13">
        <f>QUESTIONS!B91</f>
        <v/>
      </c>
      <c r="C91" s="13">
        <f>QUESTIONS!H91</f>
        <v/>
      </c>
      <c r="D91" s="13">
        <f>QUESTIONS!I91</f>
        <v/>
      </c>
      <c r="E91" s="13">
        <f>QUESTIONS!AJ91</f>
        <v/>
      </c>
      <c r="F91" s="6" t="n"/>
      <c r="G91" s="6" t="n"/>
      <c r="H91" s="6" t="n"/>
      <c r="I91" s="6" t="n"/>
      <c r="J91" s="6" t="n"/>
      <c r="K91" s="6" t="n"/>
      <c r="L91" s="6" t="inlineStr">
        <is>
          <t>S</t>
        </is>
      </c>
      <c r="M91" s="6" t="inlineStr">
        <is>
          <t>A_SURVEILLER</t>
        </is>
      </c>
      <c r="N91" s="6" t="inlineStr">
        <is>
          <t>A_SURVEILLER</t>
        </is>
      </c>
      <c r="O91" s="6" t="inlineStr">
        <is>
          <t>ADMETTRE_PILOTE</t>
        </is>
      </c>
      <c r="P91" s="6" t="inlineStr">
        <is>
          <t>08/09/2026</t>
        </is>
      </c>
      <c r="Q91" s="6" t="inlineStr">
        <is>
          <t>Clarté360 — revue méthodologique</t>
        </is>
      </c>
      <c r="R91" s="6" t="inlineStr">
        <is>
          <t>Qualification théorique avant pilote ; décision empirique à confirmer après collecte.</t>
        </is>
      </c>
    </row>
    <row r="92" ht="100.8" customHeight="1" s="34">
      <c r="A92" s="13">
        <f>QUESTIONS!A92</f>
        <v/>
      </c>
      <c r="B92" s="13">
        <f>QUESTIONS!B92</f>
        <v/>
      </c>
      <c r="C92" s="13">
        <f>QUESTIONS!H92</f>
        <v/>
      </c>
      <c r="D92" s="13">
        <f>QUESTIONS!I92</f>
        <v/>
      </c>
      <c r="E92" s="13">
        <f>QUESTIONS!AJ92</f>
        <v/>
      </c>
      <c r="F92" s="6" t="n"/>
      <c r="G92" s="6" t="n"/>
      <c r="H92" s="6" t="n"/>
      <c r="I92" s="6" t="n"/>
      <c r="J92" s="6" t="n"/>
      <c r="K92" s="6" t="n"/>
      <c r="L92" s="6" t="inlineStr">
        <is>
          <t>S</t>
        </is>
      </c>
      <c r="M92" s="6" t="inlineStr">
        <is>
          <t>A_SURVEILLER</t>
        </is>
      </c>
      <c r="N92" s="6" t="inlineStr">
        <is>
          <t>A_SURVEILLER</t>
        </is>
      </c>
      <c r="O92" s="6" t="inlineStr">
        <is>
          <t>ADMETTRE_PILOTE</t>
        </is>
      </c>
      <c r="P92" s="6" t="inlineStr">
        <is>
          <t>08/09/2026</t>
        </is>
      </c>
      <c r="Q92" s="6" t="inlineStr">
        <is>
          <t>Clarté360 — revue méthodologique</t>
        </is>
      </c>
      <c r="R92" s="6" t="inlineStr">
        <is>
          <t>Qualification théorique avant pilote ; décision empirique à confirmer après collecte.</t>
        </is>
      </c>
    </row>
    <row r="93" ht="100.8" customHeight="1" s="34">
      <c r="A93" s="13">
        <f>QUESTIONS!A93</f>
        <v/>
      </c>
      <c r="B93" s="13">
        <f>QUESTIONS!B93</f>
        <v/>
      </c>
      <c r="C93" s="13">
        <f>QUESTIONS!H93</f>
        <v/>
      </c>
      <c r="D93" s="13">
        <f>QUESTIONS!I93</f>
        <v/>
      </c>
      <c r="E93" s="13">
        <f>QUESTIONS!AJ93</f>
        <v/>
      </c>
      <c r="F93" s="6" t="n"/>
      <c r="G93" s="6" t="n"/>
      <c r="H93" s="6" t="n"/>
      <c r="I93" s="6" t="n"/>
      <c r="J93" s="6" t="n"/>
      <c r="K93" s="6" t="n"/>
      <c r="L93" s="6" t="inlineStr">
        <is>
          <t>S,C</t>
        </is>
      </c>
      <c r="M93" s="6" t="inlineStr">
        <is>
          <t>A_SURVEILLER</t>
        </is>
      </c>
      <c r="N93" s="6" t="inlineStr">
        <is>
          <t>A_SURVEILLER</t>
        </is>
      </c>
      <c r="O93" s="6" t="inlineStr">
        <is>
          <t>ADMETTRE_PILOTE</t>
        </is>
      </c>
      <c r="P93" s="6" t="inlineStr">
        <is>
          <t>08/09/2026</t>
        </is>
      </c>
      <c r="Q93" s="6" t="inlineStr">
        <is>
          <t>Clarté360 — revue méthodologique</t>
        </is>
      </c>
      <c r="R93" s="6" t="inlineStr">
        <is>
          <t>Qualification théorique avant pilote ; décision empirique à confirmer après collecte.</t>
        </is>
      </c>
    </row>
    <row r="94" ht="100.8" customHeight="1" s="34">
      <c r="A94" s="13">
        <f>QUESTIONS!A94</f>
        <v/>
      </c>
      <c r="B94" s="13">
        <f>QUESTIONS!B94</f>
        <v/>
      </c>
      <c r="C94" s="13">
        <f>QUESTIONS!H94</f>
        <v/>
      </c>
      <c r="D94" s="13">
        <f>QUESTIONS!I94</f>
        <v/>
      </c>
      <c r="E94" s="13">
        <f>QUESTIONS!AJ94</f>
        <v/>
      </c>
      <c r="F94" s="6" t="n"/>
      <c r="G94" s="6" t="n"/>
      <c r="H94" s="6" t="n"/>
      <c r="I94" s="6" t="n"/>
      <c r="J94" s="6" t="n"/>
      <c r="K94" s="6" t="n"/>
      <c r="L94" s="6" t="inlineStr">
        <is>
          <t>S,C</t>
        </is>
      </c>
      <c r="M94" s="6" t="inlineStr">
        <is>
          <t>A_SURVEILLER</t>
        </is>
      </c>
      <c r="N94" s="6" t="inlineStr">
        <is>
          <t>A_SURVEILLER</t>
        </is>
      </c>
      <c r="O94" s="6" t="inlineStr">
        <is>
          <t>ADMETTRE_PILOTE</t>
        </is>
      </c>
      <c r="P94" s="6" t="inlineStr">
        <is>
          <t>08/09/2026</t>
        </is>
      </c>
      <c r="Q94" s="6" t="inlineStr">
        <is>
          <t>Clarté360 — revue méthodologique</t>
        </is>
      </c>
      <c r="R94" s="6" t="inlineStr">
        <is>
          <t>Qualification théorique avant pilote ; décision empirique à confirmer après collecte.</t>
        </is>
      </c>
    </row>
    <row r="95" ht="100.8" customHeight="1" s="34">
      <c r="A95" s="13">
        <f>QUESTIONS!A95</f>
        <v/>
      </c>
      <c r="B95" s="13">
        <f>QUESTIONS!B95</f>
        <v/>
      </c>
      <c r="C95" s="13">
        <f>QUESTIONS!H95</f>
        <v/>
      </c>
      <c r="D95" s="13">
        <f>QUESTIONS!I95</f>
        <v/>
      </c>
      <c r="E95" s="13">
        <f>QUESTIONS!AJ95</f>
        <v/>
      </c>
      <c r="F95" s="6" t="n"/>
      <c r="G95" s="6" t="n"/>
      <c r="H95" s="6" t="n"/>
      <c r="I95" s="6" t="n"/>
      <c r="J95" s="6" t="n"/>
      <c r="K95" s="6" t="n"/>
      <c r="L95" s="6" t="inlineStr">
        <is>
          <t>S,C</t>
        </is>
      </c>
      <c r="M95" s="6" t="inlineStr">
        <is>
          <t>A_SURVEILLER</t>
        </is>
      </c>
      <c r="N95" s="6" t="inlineStr">
        <is>
          <t>A_SURVEILLER</t>
        </is>
      </c>
      <c r="O95" s="6" t="inlineStr">
        <is>
          <t>ADMETTRE_PILOTE</t>
        </is>
      </c>
      <c r="P95" s="6" t="inlineStr">
        <is>
          <t>08/09/2026</t>
        </is>
      </c>
      <c r="Q95" s="6" t="inlineStr">
        <is>
          <t>Clarté360 — revue méthodologique</t>
        </is>
      </c>
      <c r="R95" s="6" t="inlineStr">
        <is>
          <t>Qualification théorique avant pilote ; décision empirique à confirmer après collecte.</t>
        </is>
      </c>
    </row>
    <row r="96" ht="100.8" customHeight="1" s="34">
      <c r="A96" s="13">
        <f>QUESTIONS!A96</f>
        <v/>
      </c>
      <c r="B96" s="13">
        <f>QUESTIONS!B96</f>
        <v/>
      </c>
      <c r="C96" s="13">
        <f>QUESTIONS!H96</f>
        <v/>
      </c>
      <c r="D96" s="13">
        <f>QUESTIONS!I96</f>
        <v/>
      </c>
      <c r="E96" s="13">
        <f>QUESTIONS!AJ96</f>
        <v/>
      </c>
      <c r="F96" s="6" t="n"/>
      <c r="G96" s="6" t="n"/>
      <c r="H96" s="6" t="n"/>
      <c r="I96" s="6" t="n"/>
      <c r="J96" s="6" t="n"/>
      <c r="K96" s="6" t="n"/>
      <c r="L96" s="6" t="inlineStr">
        <is>
          <t>S,C</t>
        </is>
      </c>
      <c r="M96" s="6" t="inlineStr">
        <is>
          <t>A_SURVEILLER</t>
        </is>
      </c>
      <c r="N96" s="6" t="inlineStr">
        <is>
          <t>A_SURVEILLER</t>
        </is>
      </c>
      <c r="O96" s="6" t="inlineStr">
        <is>
          <t>ADMETTRE_PILOTE</t>
        </is>
      </c>
      <c r="P96" s="6" t="inlineStr">
        <is>
          <t>08/09/2026</t>
        </is>
      </c>
      <c r="Q96" s="6" t="inlineStr">
        <is>
          <t>Clarté360 — revue méthodologique</t>
        </is>
      </c>
      <c r="R96" s="6" t="inlineStr">
        <is>
          <t>Qualification théorique avant pilote ; décision empirique à confirmer après collecte.</t>
        </is>
      </c>
    </row>
    <row r="97" ht="100.8" customHeight="1" s="34">
      <c r="A97" s="13">
        <f>QUESTIONS!A97</f>
        <v/>
      </c>
      <c r="B97" s="13">
        <f>QUESTIONS!B97</f>
        <v/>
      </c>
      <c r="C97" s="13">
        <f>QUESTIONS!H97</f>
        <v/>
      </c>
      <c r="D97" s="13">
        <f>QUESTIONS!I97</f>
        <v/>
      </c>
      <c r="E97" s="13">
        <f>QUESTIONS!AJ97</f>
        <v/>
      </c>
      <c r="F97" s="6" t="n"/>
      <c r="G97" s="6" t="n"/>
      <c r="H97" s="6" t="n"/>
      <c r="I97" s="6" t="n"/>
      <c r="J97" s="6" t="n"/>
      <c r="K97" s="6" t="n"/>
      <c r="L97" s="6" t="inlineStr">
        <is>
          <t>C,S</t>
        </is>
      </c>
      <c r="M97" s="6" t="inlineStr">
        <is>
          <t>A_SURVEILLER</t>
        </is>
      </c>
      <c r="N97" s="6" t="inlineStr">
        <is>
          <t>A_SURVEILLER</t>
        </is>
      </c>
      <c r="O97" s="6" t="inlineStr">
        <is>
          <t>ADMETTRE_PILOTE</t>
        </is>
      </c>
      <c r="P97" s="6" t="inlineStr">
        <is>
          <t>08/09/2026</t>
        </is>
      </c>
      <c r="Q97" s="6" t="inlineStr">
        <is>
          <t>Clarté360 — revue méthodologique</t>
        </is>
      </c>
      <c r="R97" s="6" t="inlineStr">
        <is>
          <t>Qualification théorique avant pilote ; décision empirique à confirmer après collecte.</t>
        </is>
      </c>
    </row>
    <row r="98" ht="100.8" customHeight="1" s="34">
      <c r="A98" s="13">
        <f>QUESTIONS!A98</f>
        <v/>
      </c>
      <c r="B98" s="13">
        <f>QUESTIONS!B98</f>
        <v/>
      </c>
      <c r="C98" s="13">
        <f>QUESTIONS!H98</f>
        <v/>
      </c>
      <c r="D98" s="13">
        <f>QUESTIONS!I98</f>
        <v/>
      </c>
      <c r="E98" s="13">
        <f>QUESTIONS!AJ98</f>
        <v/>
      </c>
      <c r="F98" s="6" t="n"/>
      <c r="G98" s="6" t="n"/>
      <c r="H98" s="6" t="n"/>
      <c r="I98" s="6" t="n"/>
      <c r="J98" s="6" t="n"/>
      <c r="K98" s="6" t="n"/>
      <c r="L98" s="6" t="inlineStr">
        <is>
          <t>C,S</t>
        </is>
      </c>
      <c r="M98" s="6" t="inlineStr">
        <is>
          <t>A_SURVEILLER</t>
        </is>
      </c>
      <c r="N98" s="6" t="inlineStr">
        <is>
          <t>A_SURVEILLER</t>
        </is>
      </c>
      <c r="O98" s="6" t="inlineStr">
        <is>
          <t>ADMETTRE_PILOTE</t>
        </is>
      </c>
      <c r="P98" s="6" t="inlineStr">
        <is>
          <t>08/09/2026</t>
        </is>
      </c>
      <c r="Q98" s="6" t="inlineStr">
        <is>
          <t>Clarté360 — revue méthodologique</t>
        </is>
      </c>
      <c r="R98" s="6" t="inlineStr">
        <is>
          <t>Qualification théorique avant pilote ; décision empirique à confirmer après collecte.</t>
        </is>
      </c>
    </row>
    <row r="99" ht="100.8" customHeight="1" s="34">
      <c r="A99" s="13">
        <f>QUESTIONS!A99</f>
        <v/>
      </c>
      <c r="B99" s="13">
        <f>QUESTIONS!B99</f>
        <v/>
      </c>
      <c r="C99" s="13">
        <f>QUESTIONS!H99</f>
        <v/>
      </c>
      <c r="D99" s="13">
        <f>QUESTIONS!I99</f>
        <v/>
      </c>
      <c r="E99" s="13">
        <f>QUESTIONS!AJ99</f>
        <v/>
      </c>
      <c r="F99" s="6" t="n"/>
      <c r="G99" s="6" t="n"/>
      <c r="H99" s="6" t="n"/>
      <c r="I99" s="6" t="n"/>
      <c r="J99" s="6" t="n"/>
      <c r="K99" s="6" t="n"/>
      <c r="L99" s="6" t="inlineStr">
        <is>
          <t>C,S</t>
        </is>
      </c>
      <c r="M99" s="6" t="inlineStr">
        <is>
          <t>A_SURVEILLER</t>
        </is>
      </c>
      <c r="N99" s="6" t="inlineStr">
        <is>
          <t>A_SURVEILLER</t>
        </is>
      </c>
      <c r="O99" s="6" t="inlineStr">
        <is>
          <t>ADMETTRE_PILOTE</t>
        </is>
      </c>
      <c r="P99" s="6" t="inlineStr">
        <is>
          <t>08/09/2026</t>
        </is>
      </c>
      <c r="Q99" s="6" t="inlineStr">
        <is>
          <t>Clarté360 — revue méthodologique</t>
        </is>
      </c>
      <c r="R99" s="6" t="inlineStr">
        <is>
          <t>Qualification théorique avant pilote ; décision empirique à confirmer après collecte.</t>
        </is>
      </c>
    </row>
    <row r="100" ht="100.8" customHeight="1" s="34">
      <c r="A100" s="13">
        <f>QUESTIONS!A100</f>
        <v/>
      </c>
      <c r="B100" s="13">
        <f>QUESTIONS!B100</f>
        <v/>
      </c>
      <c r="C100" s="13">
        <f>QUESTIONS!H100</f>
        <v/>
      </c>
      <c r="D100" s="13">
        <f>QUESTIONS!I100</f>
        <v/>
      </c>
      <c r="E100" s="13">
        <f>QUESTIONS!AJ100</f>
        <v/>
      </c>
      <c r="F100" s="6" t="n"/>
      <c r="G100" s="6" t="n"/>
      <c r="H100" s="6" t="n"/>
      <c r="I100" s="6" t="n"/>
      <c r="J100" s="6" t="n"/>
      <c r="K100" s="6" t="n"/>
      <c r="L100" s="6" t="inlineStr">
        <is>
          <t>C,S</t>
        </is>
      </c>
      <c r="M100" s="6" t="inlineStr">
        <is>
          <t>A_SURVEILLER</t>
        </is>
      </c>
      <c r="N100" s="6" t="inlineStr">
        <is>
          <t>A_SURVEILLER</t>
        </is>
      </c>
      <c r="O100" s="6" t="inlineStr">
        <is>
          <t>ADMETTRE_PILOTE</t>
        </is>
      </c>
      <c r="P100" s="6" t="inlineStr">
        <is>
          <t>08/09/2026</t>
        </is>
      </c>
      <c r="Q100" s="6" t="inlineStr">
        <is>
          <t>Clarté360 — revue méthodologique</t>
        </is>
      </c>
      <c r="R100" s="6" t="inlineStr">
        <is>
          <t>Qualification théorique avant pilote ; décision empirique à confirmer après collecte.</t>
        </is>
      </c>
    </row>
    <row r="101" ht="100.8" customHeight="1" s="34">
      <c r="A101" s="13">
        <f>QUESTIONS!A101</f>
        <v/>
      </c>
      <c r="B101" s="13">
        <f>QUESTIONS!B101</f>
        <v/>
      </c>
      <c r="C101" s="13">
        <f>QUESTIONS!H101</f>
        <v/>
      </c>
      <c r="D101" s="13">
        <f>QUESTIONS!I101</f>
        <v/>
      </c>
      <c r="E101" s="13">
        <f>QUESTIONS!AJ101</f>
        <v/>
      </c>
      <c r="F101" s="6" t="n"/>
      <c r="G101" s="6" t="n"/>
      <c r="H101" s="6" t="n"/>
      <c r="I101" s="6" t="n"/>
      <c r="J101" s="6" t="n"/>
      <c r="K101" s="6" t="n"/>
      <c r="L101" s="6" t="inlineStr">
        <is>
          <t>S,A</t>
        </is>
      </c>
      <c r="M101" s="6" t="inlineStr">
        <is>
          <t>A_SURVEILLER</t>
        </is>
      </c>
      <c r="N101" s="6" t="inlineStr">
        <is>
          <t>A_SURVEILLER</t>
        </is>
      </c>
      <c r="O101" s="6" t="inlineStr">
        <is>
          <t>ADMETTRE_PILOTE</t>
        </is>
      </c>
      <c r="P101" s="6" t="inlineStr">
        <is>
          <t>08/09/2026</t>
        </is>
      </c>
      <c r="Q101" s="6" t="inlineStr">
        <is>
          <t>Clarté360 — revue méthodologique</t>
        </is>
      </c>
      <c r="R101" s="6" t="inlineStr">
        <is>
          <t>Qualification théorique avant pilote ; décision empirique à confirmer après collecte.</t>
        </is>
      </c>
    </row>
    <row r="102" ht="100.8" customHeight="1" s="34">
      <c r="A102" s="13">
        <f>QUESTIONS!A102</f>
        <v/>
      </c>
      <c r="B102" s="13">
        <f>QUESTIONS!B102</f>
        <v/>
      </c>
      <c r="C102" s="13">
        <f>QUESTIONS!H102</f>
        <v/>
      </c>
      <c r="D102" s="13">
        <f>QUESTIONS!I102</f>
        <v/>
      </c>
      <c r="E102" s="13">
        <f>QUESTIONS!AJ102</f>
        <v/>
      </c>
      <c r="F102" s="6" t="n"/>
      <c r="G102" s="6" t="n"/>
      <c r="H102" s="6" t="n"/>
      <c r="I102" s="6" t="n"/>
      <c r="J102" s="6" t="n"/>
      <c r="K102" s="6" t="n"/>
      <c r="L102" s="6" t="inlineStr">
        <is>
          <t>S,A</t>
        </is>
      </c>
      <c r="M102" s="6" t="inlineStr">
        <is>
          <t>A_SURVEILLER</t>
        </is>
      </c>
      <c r="N102" s="6" t="inlineStr">
        <is>
          <t>A_SURVEILLER</t>
        </is>
      </c>
      <c r="O102" s="6" t="inlineStr">
        <is>
          <t>ADMETTRE_PILOTE</t>
        </is>
      </c>
      <c r="P102" s="6" t="inlineStr">
        <is>
          <t>08/09/2026</t>
        </is>
      </c>
      <c r="Q102" s="6" t="inlineStr">
        <is>
          <t>Clarté360 — revue méthodologique</t>
        </is>
      </c>
      <c r="R102" s="6" t="inlineStr">
        <is>
          <t>Qualification théorique avant pilote ; décision empirique à confirmer après collecte.</t>
        </is>
      </c>
    </row>
    <row r="103" ht="100.8" customHeight="1" s="34">
      <c r="A103" s="13">
        <f>QUESTIONS!A103</f>
        <v/>
      </c>
      <c r="B103" s="13">
        <f>QUESTIONS!B103</f>
        <v/>
      </c>
      <c r="C103" s="13">
        <f>QUESTIONS!H103</f>
        <v/>
      </c>
      <c r="D103" s="13">
        <f>QUESTIONS!I103</f>
        <v/>
      </c>
      <c r="E103" s="13">
        <f>QUESTIONS!AJ103</f>
        <v/>
      </c>
      <c r="F103" s="6" t="n"/>
      <c r="G103" s="6" t="n"/>
      <c r="H103" s="6" t="n"/>
      <c r="I103" s="6" t="n"/>
      <c r="J103" s="6" t="n"/>
      <c r="K103" s="6" t="n"/>
      <c r="L103" s="6" t="inlineStr">
        <is>
          <t>S,A</t>
        </is>
      </c>
      <c r="M103" s="6" t="inlineStr">
        <is>
          <t>A_SURVEILLER</t>
        </is>
      </c>
      <c r="N103" s="6" t="inlineStr">
        <is>
          <t>A_SURVEILLER</t>
        </is>
      </c>
      <c r="O103" s="6" t="inlineStr">
        <is>
          <t>ADMETTRE_PILOTE</t>
        </is>
      </c>
      <c r="P103" s="6" t="inlineStr">
        <is>
          <t>08/09/2026</t>
        </is>
      </c>
      <c r="Q103" s="6" t="inlineStr">
        <is>
          <t>Clarté360 — revue méthodologique</t>
        </is>
      </c>
      <c r="R103" s="6" t="inlineStr">
        <is>
          <t>Qualification théorique avant pilote ; décision empirique à confirmer après collecte.</t>
        </is>
      </c>
    </row>
    <row r="104" ht="100.8" customHeight="1" s="34">
      <c r="A104" s="13">
        <f>QUESTIONS!A104</f>
        <v/>
      </c>
      <c r="B104" s="13">
        <f>QUESTIONS!B104</f>
        <v/>
      </c>
      <c r="C104" s="13">
        <f>QUESTIONS!H104</f>
        <v/>
      </c>
      <c r="D104" s="13">
        <f>QUESTIONS!I104</f>
        <v/>
      </c>
      <c r="E104" s="13">
        <f>QUESTIONS!AJ104</f>
        <v/>
      </c>
      <c r="F104" s="6" t="n"/>
      <c r="G104" s="6" t="n"/>
      <c r="H104" s="6" t="n"/>
      <c r="I104" s="6" t="n"/>
      <c r="J104" s="6" t="n"/>
      <c r="K104" s="6" t="n"/>
      <c r="L104" s="6" t="inlineStr">
        <is>
          <t>S,A</t>
        </is>
      </c>
      <c r="M104" s="6" t="inlineStr">
        <is>
          <t>A_SURVEILLER</t>
        </is>
      </c>
      <c r="N104" s="6" t="inlineStr">
        <is>
          <t>A_SURVEILLER</t>
        </is>
      </c>
      <c r="O104" s="6" t="inlineStr">
        <is>
          <t>ADMETTRE_PILOTE</t>
        </is>
      </c>
      <c r="P104" s="6" t="inlineStr">
        <is>
          <t>08/09/2026</t>
        </is>
      </c>
      <c r="Q104" s="6" t="inlineStr">
        <is>
          <t>Clarté360 — revue méthodologique</t>
        </is>
      </c>
      <c r="R104" s="6" t="inlineStr">
        <is>
          <t>Qualification théorique avant pilote ; décision empirique à confirmer après collecte.</t>
        </is>
      </c>
    </row>
    <row r="105" ht="100.8" customHeight="1" s="34">
      <c r="A105" s="13">
        <f>QUESTIONS!A105</f>
        <v/>
      </c>
      <c r="B105" s="13">
        <f>QUESTIONS!B105</f>
        <v/>
      </c>
      <c r="C105" s="13">
        <f>QUESTIONS!H105</f>
        <v/>
      </c>
      <c r="D105" s="13">
        <f>QUESTIONS!I105</f>
        <v/>
      </c>
      <c r="E105" s="13">
        <f>QUESTIONS!AJ105</f>
        <v/>
      </c>
      <c r="F105" s="6" t="n"/>
      <c r="G105" s="6" t="n"/>
      <c r="H105" s="6" t="n"/>
      <c r="I105" s="6" t="n"/>
      <c r="J105" s="6" t="n"/>
      <c r="K105" s="6" t="n"/>
      <c r="L105" s="6" t="inlineStr">
        <is>
          <t>I</t>
        </is>
      </c>
      <c r="M105" s="6" t="inlineStr">
        <is>
          <t>A_SURVEILLER</t>
        </is>
      </c>
      <c r="N105" s="6" t="inlineStr">
        <is>
          <t>A_SURVEILLER</t>
        </is>
      </c>
      <c r="O105" s="6" t="inlineStr">
        <is>
          <t>ADMETTRE_PILOTE</t>
        </is>
      </c>
      <c r="P105" s="6" t="inlineStr">
        <is>
          <t>08/09/2026</t>
        </is>
      </c>
      <c r="Q105" s="6" t="inlineStr">
        <is>
          <t>Clarté360 — revue méthodologique</t>
        </is>
      </c>
      <c r="R105" s="6" t="inlineStr">
        <is>
          <t>Qualification théorique avant pilote ; décision empirique à confirmer après collecte.</t>
        </is>
      </c>
    </row>
    <row r="106" ht="100.8" customHeight="1" s="34">
      <c r="A106" s="13">
        <f>QUESTIONS!A106</f>
        <v/>
      </c>
      <c r="B106" s="13">
        <f>QUESTIONS!B106</f>
        <v/>
      </c>
      <c r="C106" s="13">
        <f>QUESTIONS!H106</f>
        <v/>
      </c>
      <c r="D106" s="13">
        <f>QUESTIONS!I106</f>
        <v/>
      </c>
      <c r="E106" s="13">
        <f>QUESTIONS!AJ106</f>
        <v/>
      </c>
      <c r="F106" s="6" t="n"/>
      <c r="G106" s="6" t="n"/>
      <c r="H106" s="6" t="n"/>
      <c r="I106" s="6" t="n"/>
      <c r="J106" s="6" t="n"/>
      <c r="K106" s="6" t="n"/>
      <c r="L106" s="6" t="inlineStr">
        <is>
          <t>I</t>
        </is>
      </c>
      <c r="M106" s="6" t="inlineStr">
        <is>
          <t>A_SURVEILLER</t>
        </is>
      </c>
      <c r="N106" s="6" t="inlineStr">
        <is>
          <t>A_SURVEILLER</t>
        </is>
      </c>
      <c r="O106" s="6" t="inlineStr">
        <is>
          <t>ADMETTRE_PILOTE</t>
        </is>
      </c>
      <c r="P106" s="6" t="inlineStr">
        <is>
          <t>08/09/2026</t>
        </is>
      </c>
      <c r="Q106" s="6" t="inlineStr">
        <is>
          <t>Clarté360 — revue méthodologique</t>
        </is>
      </c>
      <c r="R106" s="6" t="inlineStr">
        <is>
          <t>Qualification théorique avant pilote ; décision empirique à confirmer après collecte.</t>
        </is>
      </c>
    </row>
    <row r="107" ht="100.8" customHeight="1" s="34">
      <c r="A107" s="13">
        <f>QUESTIONS!A107</f>
        <v/>
      </c>
      <c r="B107" s="13">
        <f>QUESTIONS!B107</f>
        <v/>
      </c>
      <c r="C107" s="13">
        <f>QUESTIONS!H107</f>
        <v/>
      </c>
      <c r="D107" s="13">
        <f>QUESTIONS!I107</f>
        <v/>
      </c>
      <c r="E107" s="13">
        <f>QUESTIONS!AJ107</f>
        <v/>
      </c>
      <c r="F107" s="6" t="n"/>
      <c r="G107" s="6" t="n"/>
      <c r="H107" s="6" t="n"/>
      <c r="I107" s="6" t="n"/>
      <c r="J107" s="6" t="n"/>
      <c r="K107" s="6" t="n"/>
      <c r="L107" s="6" t="inlineStr">
        <is>
          <t>I</t>
        </is>
      </c>
      <c r="M107" s="6" t="inlineStr">
        <is>
          <t>A_SURVEILLER</t>
        </is>
      </c>
      <c r="N107" s="6" t="inlineStr">
        <is>
          <t>A_SURVEILLER</t>
        </is>
      </c>
      <c r="O107" s="6" t="inlineStr">
        <is>
          <t>ADMETTRE_PILOTE</t>
        </is>
      </c>
      <c r="P107" s="6" t="inlineStr">
        <is>
          <t>08/09/2026</t>
        </is>
      </c>
      <c r="Q107" s="6" t="inlineStr">
        <is>
          <t>Clarté360 — revue méthodologique</t>
        </is>
      </c>
      <c r="R107" s="6" t="inlineStr">
        <is>
          <t>Qualification théorique avant pilote ; décision empirique à confirmer après collecte.</t>
        </is>
      </c>
    </row>
    <row r="108" ht="100.8" customHeight="1" s="34">
      <c r="A108" s="13">
        <f>QUESTIONS!A108</f>
        <v/>
      </c>
      <c r="B108" s="13">
        <f>QUESTIONS!B108</f>
        <v/>
      </c>
      <c r="C108" s="13">
        <f>QUESTIONS!H108</f>
        <v/>
      </c>
      <c r="D108" s="13">
        <f>QUESTIONS!I108</f>
        <v/>
      </c>
      <c r="E108" s="13">
        <f>QUESTIONS!AJ108</f>
        <v/>
      </c>
      <c r="F108" s="6" t="n"/>
      <c r="G108" s="6" t="n"/>
      <c r="H108" s="6" t="n"/>
      <c r="I108" s="6" t="n"/>
      <c r="J108" s="6" t="n"/>
      <c r="K108" s="6" t="n"/>
      <c r="L108" s="6" t="inlineStr">
        <is>
          <t>I</t>
        </is>
      </c>
      <c r="M108" s="6" t="inlineStr">
        <is>
          <t>A_SURVEILLER</t>
        </is>
      </c>
      <c r="N108" s="6" t="inlineStr">
        <is>
          <t>A_SURVEILLER</t>
        </is>
      </c>
      <c r="O108" s="6" t="inlineStr">
        <is>
          <t>ADMETTRE_PILOTE</t>
        </is>
      </c>
      <c r="P108" s="6" t="inlineStr">
        <is>
          <t>08/09/2026</t>
        </is>
      </c>
      <c r="Q108" s="6" t="inlineStr">
        <is>
          <t>Clarté360 — revue méthodologique</t>
        </is>
      </c>
      <c r="R108" s="6" t="inlineStr">
        <is>
          <t>Qualification théorique avant pilote ; décision empirique à confirmer après collecte.</t>
        </is>
      </c>
    </row>
    <row r="109" ht="100.8" customHeight="1" s="34">
      <c r="A109" s="13">
        <f>QUESTIONS!A109</f>
        <v/>
      </c>
      <c r="B109" s="13">
        <f>QUESTIONS!B109</f>
        <v/>
      </c>
      <c r="C109" s="13">
        <f>QUESTIONS!H109</f>
        <v/>
      </c>
      <c r="D109" s="13">
        <f>QUESTIONS!I109</f>
        <v/>
      </c>
      <c r="E109" s="13">
        <f>QUESTIONS!AJ109</f>
        <v/>
      </c>
      <c r="F109" s="6" t="n"/>
      <c r="G109" s="6" t="n"/>
      <c r="H109" s="6" t="n"/>
      <c r="I109" s="6" t="n"/>
      <c r="J109" s="6" t="n"/>
      <c r="K109" s="6" t="n"/>
      <c r="L109" s="6" t="inlineStr">
        <is>
          <t>I</t>
        </is>
      </c>
      <c r="M109" s="6" t="inlineStr">
        <is>
          <t>A_SURVEILLER</t>
        </is>
      </c>
      <c r="N109" s="6" t="inlineStr">
        <is>
          <t>A_SURVEILLER</t>
        </is>
      </c>
      <c r="O109" s="6" t="inlineStr">
        <is>
          <t>ADMETTRE_PILOTE</t>
        </is>
      </c>
      <c r="P109" s="6" t="inlineStr">
        <is>
          <t>08/09/2026</t>
        </is>
      </c>
      <c r="Q109" s="6" t="inlineStr">
        <is>
          <t>Clarté360 — revue méthodologique</t>
        </is>
      </c>
      <c r="R109" s="6" t="inlineStr">
        <is>
          <t>Qualification théorique avant pilote ; décision empirique à confirmer après collecte.</t>
        </is>
      </c>
    </row>
    <row r="110" ht="100.8" customHeight="1" s="34">
      <c r="A110" s="13">
        <f>QUESTIONS!A110</f>
        <v/>
      </c>
      <c r="B110" s="13">
        <f>QUESTIONS!B110</f>
        <v/>
      </c>
      <c r="C110" s="13">
        <f>QUESTIONS!H110</f>
        <v/>
      </c>
      <c r="D110" s="13">
        <f>QUESTIONS!I110</f>
        <v/>
      </c>
      <c r="E110" s="13">
        <f>QUESTIONS!AJ110</f>
        <v/>
      </c>
      <c r="F110" s="6" t="n"/>
      <c r="G110" s="6" t="n"/>
      <c r="H110" s="6" t="n"/>
      <c r="I110" s="6" t="n"/>
      <c r="J110" s="6" t="n"/>
      <c r="K110" s="6" t="n"/>
      <c r="L110" s="6" t="inlineStr">
        <is>
          <t>I</t>
        </is>
      </c>
      <c r="M110" s="6" t="inlineStr">
        <is>
          <t>A_SURVEILLER</t>
        </is>
      </c>
      <c r="N110" s="6" t="inlineStr">
        <is>
          <t>A_SURVEILLER</t>
        </is>
      </c>
      <c r="O110" s="6" t="inlineStr">
        <is>
          <t>ADMETTRE_PILOTE</t>
        </is>
      </c>
      <c r="P110" s="6" t="inlineStr">
        <is>
          <t>08/09/2026</t>
        </is>
      </c>
      <c r="Q110" s="6" t="inlineStr">
        <is>
          <t>Clarté360 — revue méthodologique</t>
        </is>
      </c>
      <c r="R110" s="6" t="inlineStr">
        <is>
          <t>Qualification théorique avant pilote ; décision empirique à confirmer après collecte.</t>
        </is>
      </c>
    </row>
    <row r="111" ht="100.8" customHeight="1" s="34">
      <c r="A111" s="13">
        <f>QUESTIONS!A111</f>
        <v/>
      </c>
      <c r="B111" s="13">
        <f>QUESTIONS!B111</f>
        <v/>
      </c>
      <c r="C111" s="13">
        <f>QUESTIONS!H111</f>
        <v/>
      </c>
      <c r="D111" s="13">
        <f>QUESTIONS!I111</f>
        <v/>
      </c>
      <c r="E111" s="13">
        <f>QUESTIONS!AJ111</f>
        <v/>
      </c>
      <c r="F111" s="6" t="n"/>
      <c r="G111" s="6" t="n"/>
      <c r="H111" s="6" t="n"/>
      <c r="I111" s="6" t="n"/>
      <c r="J111" s="6" t="n"/>
      <c r="K111" s="6" t="n"/>
      <c r="L111" s="6" t="inlineStr">
        <is>
          <t>I</t>
        </is>
      </c>
      <c r="M111" s="6" t="inlineStr">
        <is>
          <t>A_SURVEILLER</t>
        </is>
      </c>
      <c r="N111" s="6" t="inlineStr">
        <is>
          <t>A_SURVEILLER</t>
        </is>
      </c>
      <c r="O111" s="6" t="inlineStr">
        <is>
          <t>ADMETTRE_PILOTE</t>
        </is>
      </c>
      <c r="P111" s="6" t="inlineStr">
        <is>
          <t>08/09/2026</t>
        </is>
      </c>
      <c r="Q111" s="6" t="inlineStr">
        <is>
          <t>Clarté360 — revue méthodologique</t>
        </is>
      </c>
      <c r="R111" s="6" t="inlineStr">
        <is>
          <t>Qualification théorique avant pilote ; décision empirique à confirmer après collecte.</t>
        </is>
      </c>
    </row>
    <row r="112" ht="100.8" customHeight="1" s="34">
      <c r="A112" s="13">
        <f>QUESTIONS!A112</f>
        <v/>
      </c>
      <c r="B112" s="13">
        <f>QUESTIONS!B112</f>
        <v/>
      </c>
      <c r="C112" s="13">
        <f>QUESTIONS!H112</f>
        <v/>
      </c>
      <c r="D112" s="13">
        <f>QUESTIONS!I112</f>
        <v/>
      </c>
      <c r="E112" s="13">
        <f>QUESTIONS!AJ112</f>
        <v/>
      </c>
      <c r="F112" s="6" t="n"/>
      <c r="G112" s="6" t="n"/>
      <c r="H112" s="6" t="n"/>
      <c r="I112" s="6" t="n"/>
      <c r="J112" s="6" t="n"/>
      <c r="K112" s="6" t="n"/>
      <c r="L112" s="6" t="inlineStr">
        <is>
          <t>I</t>
        </is>
      </c>
      <c r="M112" s="6" t="inlineStr">
        <is>
          <t>A_SURVEILLER</t>
        </is>
      </c>
      <c r="N112" s="6" t="inlineStr">
        <is>
          <t>A_SURVEILLER</t>
        </is>
      </c>
      <c r="O112" s="6" t="inlineStr">
        <is>
          <t>ADMETTRE_PILOTE</t>
        </is>
      </c>
      <c r="P112" s="6" t="inlineStr">
        <is>
          <t>08/09/2026</t>
        </is>
      </c>
      <c r="Q112" s="6" t="inlineStr">
        <is>
          <t>Clarté360 — revue méthodologique</t>
        </is>
      </c>
      <c r="R112" s="6" t="inlineStr">
        <is>
          <t>Qualification théorique avant pilote ; décision empirique à confirmer après collecte.</t>
        </is>
      </c>
    </row>
    <row r="113" ht="100.8" customHeight="1" s="34">
      <c r="A113" s="13">
        <f>QUESTIONS!A113</f>
        <v/>
      </c>
      <c r="B113" s="13">
        <f>QUESTIONS!B113</f>
        <v/>
      </c>
      <c r="C113" s="13">
        <f>QUESTIONS!H113</f>
        <v/>
      </c>
      <c r="D113" s="13">
        <f>QUESTIONS!I113</f>
        <v/>
      </c>
      <c r="E113" s="13">
        <f>QUESTIONS!AJ113</f>
        <v/>
      </c>
      <c r="F113" s="6" t="n"/>
      <c r="G113" s="6" t="n"/>
      <c r="H113" s="6" t="n"/>
      <c r="I113" s="6" t="n"/>
      <c r="J113" s="6" t="n"/>
      <c r="K113" s="6" t="n"/>
      <c r="L113" s="6" t="inlineStr">
        <is>
          <t>I</t>
        </is>
      </c>
      <c r="M113" s="6" t="inlineStr">
        <is>
          <t>A_SURVEILLER</t>
        </is>
      </c>
      <c r="N113" s="6" t="inlineStr">
        <is>
          <t>A_SURVEILLER</t>
        </is>
      </c>
      <c r="O113" s="6" t="inlineStr">
        <is>
          <t>ADMETTRE_PILOTE</t>
        </is>
      </c>
      <c r="P113" s="6" t="inlineStr">
        <is>
          <t>08/09/2026</t>
        </is>
      </c>
      <c r="Q113" s="6" t="inlineStr">
        <is>
          <t>Clarté360 — revue méthodologique</t>
        </is>
      </c>
      <c r="R113" s="6" t="inlineStr">
        <is>
          <t>Qualification théorique avant pilote ; décision empirique à confirmer après collecte.</t>
        </is>
      </c>
    </row>
    <row r="114" ht="100.8" customHeight="1" s="34">
      <c r="A114" s="13">
        <f>QUESTIONS!A114</f>
        <v/>
      </c>
      <c r="B114" s="13">
        <f>QUESTIONS!B114</f>
        <v/>
      </c>
      <c r="C114" s="13">
        <f>QUESTIONS!H114</f>
        <v/>
      </c>
      <c r="D114" s="13">
        <f>QUESTIONS!I114</f>
        <v/>
      </c>
      <c r="E114" s="13">
        <f>QUESTIONS!AJ114</f>
        <v/>
      </c>
      <c r="F114" s="6" t="n"/>
      <c r="G114" s="6" t="n"/>
      <c r="H114" s="6" t="n"/>
      <c r="I114" s="6" t="n"/>
      <c r="J114" s="6" t="n"/>
      <c r="K114" s="6" t="n"/>
      <c r="L114" s="6" t="inlineStr">
        <is>
          <t>I</t>
        </is>
      </c>
      <c r="M114" s="6" t="inlineStr">
        <is>
          <t>A_SURVEILLER</t>
        </is>
      </c>
      <c r="N114" s="6" t="inlineStr">
        <is>
          <t>A_SURVEILLER</t>
        </is>
      </c>
      <c r="O114" s="6" t="inlineStr">
        <is>
          <t>ADMETTRE_PILOTE</t>
        </is>
      </c>
      <c r="P114" s="6" t="inlineStr">
        <is>
          <t>08/09/2026</t>
        </is>
      </c>
      <c r="Q114" s="6" t="inlineStr">
        <is>
          <t>Clarté360 — revue méthodologique</t>
        </is>
      </c>
      <c r="R114" s="6" t="inlineStr">
        <is>
          <t>Qualification théorique avant pilote ; décision empirique à confirmer après collecte.</t>
        </is>
      </c>
    </row>
    <row r="115" ht="100.8" customHeight="1" s="34">
      <c r="A115" s="13">
        <f>QUESTIONS!A115</f>
        <v/>
      </c>
      <c r="B115" s="13">
        <f>QUESTIONS!B115</f>
        <v/>
      </c>
      <c r="C115" s="13">
        <f>QUESTIONS!H115</f>
        <v/>
      </c>
      <c r="D115" s="13">
        <f>QUESTIONS!I115</f>
        <v/>
      </c>
      <c r="E115" s="13">
        <f>QUESTIONS!AJ115</f>
        <v/>
      </c>
      <c r="F115" s="6" t="n"/>
      <c r="G115" s="6" t="n"/>
      <c r="H115" s="6" t="n"/>
      <c r="I115" s="6" t="n"/>
      <c r="J115" s="6" t="n"/>
      <c r="K115" s="6" t="n"/>
      <c r="L115" s="6" t="inlineStr">
        <is>
          <t>I</t>
        </is>
      </c>
      <c r="M115" s="6" t="inlineStr">
        <is>
          <t>A_SURVEILLER</t>
        </is>
      </c>
      <c r="N115" s="6" t="inlineStr">
        <is>
          <t>A_SURVEILLER</t>
        </is>
      </c>
      <c r="O115" s="6" t="inlineStr">
        <is>
          <t>ADMETTRE_PILOTE</t>
        </is>
      </c>
      <c r="P115" s="6" t="inlineStr">
        <is>
          <t>08/09/2026</t>
        </is>
      </c>
      <c r="Q115" s="6" t="inlineStr">
        <is>
          <t>Clarté360 — revue méthodologique</t>
        </is>
      </c>
      <c r="R115" s="6" t="inlineStr">
        <is>
          <t>Qualification théorique avant pilote ; décision empirique à confirmer après collecte.</t>
        </is>
      </c>
    </row>
    <row r="116" ht="100.8" customHeight="1" s="34">
      <c r="A116" s="13">
        <f>QUESTIONS!A116</f>
        <v/>
      </c>
      <c r="B116" s="13">
        <f>QUESTIONS!B116</f>
        <v/>
      </c>
      <c r="C116" s="13">
        <f>QUESTIONS!H116</f>
        <v/>
      </c>
      <c r="D116" s="13">
        <f>QUESTIONS!I116</f>
        <v/>
      </c>
      <c r="E116" s="13">
        <f>QUESTIONS!AJ116</f>
        <v/>
      </c>
      <c r="F116" s="6" t="n"/>
      <c r="G116" s="6" t="n"/>
      <c r="H116" s="6" t="n"/>
      <c r="I116" s="6" t="n"/>
      <c r="J116" s="6" t="n"/>
      <c r="K116" s="6" t="n"/>
      <c r="L116" s="6" t="inlineStr">
        <is>
          <t>I</t>
        </is>
      </c>
      <c r="M116" s="6" t="inlineStr">
        <is>
          <t>A_SURVEILLER</t>
        </is>
      </c>
      <c r="N116" s="6" t="inlineStr">
        <is>
          <t>A_SURVEILLER</t>
        </is>
      </c>
      <c r="O116" s="6" t="inlineStr">
        <is>
          <t>ADMETTRE_PILOTE</t>
        </is>
      </c>
      <c r="P116" s="6" t="inlineStr">
        <is>
          <t>08/09/2026</t>
        </is>
      </c>
      <c r="Q116" s="6" t="inlineStr">
        <is>
          <t>Clarté360 — revue méthodologique</t>
        </is>
      </c>
      <c r="R116" s="6" t="inlineStr">
        <is>
          <t>Qualification théorique avant pilote ; décision empirique à confirmer après collecte.</t>
        </is>
      </c>
    </row>
    <row r="117" ht="100.8" customHeight="1" s="34">
      <c r="A117" s="13">
        <f>QUESTIONS!A117</f>
        <v/>
      </c>
      <c r="B117" s="13">
        <f>QUESTIONS!B117</f>
        <v/>
      </c>
      <c r="C117" s="13">
        <f>QUESTIONS!H117</f>
        <v/>
      </c>
      <c r="D117" s="13">
        <f>QUESTIONS!I117</f>
        <v/>
      </c>
      <c r="E117" s="13">
        <f>QUESTIONS!AJ117</f>
        <v/>
      </c>
      <c r="F117" s="6" t="n"/>
      <c r="G117" s="6" t="n"/>
      <c r="H117" s="6" t="n"/>
      <c r="I117" s="6" t="n"/>
      <c r="J117" s="6" t="n"/>
      <c r="K117" s="6" t="n"/>
      <c r="L117" s="6" t="inlineStr">
        <is>
          <t>R,I</t>
        </is>
      </c>
      <c r="M117" s="6" t="inlineStr">
        <is>
          <t>A_SURVEILLER</t>
        </is>
      </c>
      <c r="N117" s="6" t="inlineStr">
        <is>
          <t>A_SURVEILLER</t>
        </is>
      </c>
      <c r="O117" s="6" t="inlineStr">
        <is>
          <t>ADMETTRE_PILOTE</t>
        </is>
      </c>
      <c r="P117" s="6" t="inlineStr">
        <is>
          <t>08/09/2026</t>
        </is>
      </c>
      <c r="Q117" s="6" t="inlineStr">
        <is>
          <t>Clarté360 — revue méthodologique</t>
        </is>
      </c>
      <c r="R117" s="6" t="inlineStr">
        <is>
          <t>Qualification théorique avant pilote ; décision empirique à confirmer après collecte.</t>
        </is>
      </c>
    </row>
    <row r="118" ht="100.8" customHeight="1" s="34">
      <c r="A118" s="13">
        <f>QUESTIONS!A118</f>
        <v/>
      </c>
      <c r="B118" s="13">
        <f>QUESTIONS!B118</f>
        <v/>
      </c>
      <c r="C118" s="13">
        <f>QUESTIONS!H118</f>
        <v/>
      </c>
      <c r="D118" s="13">
        <f>QUESTIONS!I118</f>
        <v/>
      </c>
      <c r="E118" s="13">
        <f>QUESTIONS!AJ118</f>
        <v/>
      </c>
      <c r="F118" s="6" t="n"/>
      <c r="G118" s="6" t="n"/>
      <c r="H118" s="6" t="n"/>
      <c r="I118" s="6" t="n"/>
      <c r="J118" s="6" t="n"/>
      <c r="K118" s="6" t="n"/>
      <c r="L118" s="6" t="inlineStr">
        <is>
          <t>R,I</t>
        </is>
      </c>
      <c r="M118" s="6" t="inlineStr">
        <is>
          <t>A_SURVEILLER</t>
        </is>
      </c>
      <c r="N118" s="6" t="inlineStr">
        <is>
          <t>A_SURVEILLER</t>
        </is>
      </c>
      <c r="O118" s="6" t="inlineStr">
        <is>
          <t>ADMETTRE_PILOTE</t>
        </is>
      </c>
      <c r="P118" s="6" t="inlineStr">
        <is>
          <t>08/09/2026</t>
        </is>
      </c>
      <c r="Q118" s="6" t="inlineStr">
        <is>
          <t>Clarté360 — revue méthodologique</t>
        </is>
      </c>
      <c r="R118" s="6" t="inlineStr">
        <is>
          <t>Qualification théorique avant pilote ; décision empirique à confirmer après collecte.</t>
        </is>
      </c>
    </row>
    <row r="119" ht="100.8" customHeight="1" s="34">
      <c r="A119" s="13">
        <f>QUESTIONS!A119</f>
        <v/>
      </c>
      <c r="B119" s="13">
        <f>QUESTIONS!B119</f>
        <v/>
      </c>
      <c r="C119" s="13">
        <f>QUESTIONS!H119</f>
        <v/>
      </c>
      <c r="D119" s="13">
        <f>QUESTIONS!I119</f>
        <v/>
      </c>
      <c r="E119" s="13">
        <f>QUESTIONS!AJ119</f>
        <v/>
      </c>
      <c r="F119" s="6" t="n"/>
      <c r="G119" s="6" t="n"/>
      <c r="H119" s="6" t="n"/>
      <c r="I119" s="6" t="n"/>
      <c r="J119" s="6" t="n"/>
      <c r="K119" s="6" t="n"/>
      <c r="L119" s="6" t="inlineStr">
        <is>
          <t>R,I</t>
        </is>
      </c>
      <c r="M119" s="6" t="inlineStr">
        <is>
          <t>A_SURVEILLER</t>
        </is>
      </c>
      <c r="N119" s="6" t="inlineStr">
        <is>
          <t>A_SURVEILLER</t>
        </is>
      </c>
      <c r="O119" s="6" t="inlineStr">
        <is>
          <t>ADMETTRE_PILOTE</t>
        </is>
      </c>
      <c r="P119" s="6" t="inlineStr">
        <is>
          <t>08/09/2026</t>
        </is>
      </c>
      <c r="Q119" s="6" t="inlineStr">
        <is>
          <t>Clarté360 — revue méthodologique</t>
        </is>
      </c>
      <c r="R119" s="6" t="inlineStr">
        <is>
          <t>Qualification théorique avant pilote ; décision empirique à confirmer après collecte.</t>
        </is>
      </c>
    </row>
    <row r="120" ht="100.8" customHeight="1" s="34">
      <c r="A120" s="13">
        <f>QUESTIONS!A120</f>
        <v/>
      </c>
      <c r="B120" s="13">
        <f>QUESTIONS!B120</f>
        <v/>
      </c>
      <c r="C120" s="13">
        <f>QUESTIONS!H120</f>
        <v/>
      </c>
      <c r="D120" s="13">
        <f>QUESTIONS!I120</f>
        <v/>
      </c>
      <c r="E120" s="13">
        <f>QUESTIONS!AJ120</f>
        <v/>
      </c>
      <c r="F120" s="6" t="n"/>
      <c r="G120" s="6" t="n"/>
      <c r="H120" s="6" t="n"/>
      <c r="I120" s="6" t="n"/>
      <c r="J120" s="6" t="n"/>
      <c r="K120" s="6" t="n"/>
      <c r="L120" s="6" t="inlineStr">
        <is>
          <t>R,I</t>
        </is>
      </c>
      <c r="M120" s="6" t="inlineStr">
        <is>
          <t>A_SURVEILLER</t>
        </is>
      </c>
      <c r="N120" s="6" t="inlineStr">
        <is>
          <t>A_SURVEILLER</t>
        </is>
      </c>
      <c r="O120" s="6" t="inlineStr">
        <is>
          <t>ADMETTRE_PILOTE</t>
        </is>
      </c>
      <c r="P120" s="6" t="inlineStr">
        <is>
          <t>08/09/2026</t>
        </is>
      </c>
      <c r="Q120" s="6" t="inlineStr">
        <is>
          <t>Clarté360 — revue méthodologique</t>
        </is>
      </c>
      <c r="R120" s="6" t="inlineStr">
        <is>
          <t>Qualification théorique avant pilote ; décision empirique à confirmer après collecte.</t>
        </is>
      </c>
    </row>
    <row r="121" ht="100.8" customHeight="1" s="34">
      <c r="A121" s="13">
        <f>QUESTIONS!A121</f>
        <v/>
      </c>
      <c r="B121" s="13">
        <f>QUESTIONS!B121</f>
        <v/>
      </c>
      <c r="C121" s="13">
        <f>QUESTIONS!H121</f>
        <v/>
      </c>
      <c r="D121" s="13">
        <f>QUESTIONS!I121</f>
        <v/>
      </c>
      <c r="E121" s="13">
        <f>QUESTIONS!AJ121</f>
        <v/>
      </c>
      <c r="F121" s="6" t="n"/>
      <c r="G121" s="6" t="n"/>
      <c r="H121" s="6" t="n"/>
      <c r="I121" s="6" t="n"/>
      <c r="J121" s="6" t="n"/>
      <c r="K121" s="6" t="n"/>
      <c r="L121" s="6" t="inlineStr">
        <is>
          <t>E</t>
        </is>
      </c>
      <c r="M121" s="6" t="inlineStr">
        <is>
          <t>A_SURVEILLER</t>
        </is>
      </c>
      <c r="N121" s="6" t="inlineStr">
        <is>
          <t>A_SURVEILLER</t>
        </is>
      </c>
      <c r="O121" s="6" t="inlineStr">
        <is>
          <t>ADMETTRE_PILOTE</t>
        </is>
      </c>
      <c r="P121" s="6" t="inlineStr">
        <is>
          <t>08/09/2026</t>
        </is>
      </c>
      <c r="Q121" s="6" t="inlineStr">
        <is>
          <t>Clarté360 — revue méthodologique</t>
        </is>
      </c>
      <c r="R121" s="6" t="inlineStr">
        <is>
          <t>Qualification théorique avant pilote ; décision empirique à confirmer après collecte.</t>
        </is>
      </c>
    </row>
    <row r="122" ht="100.8" customHeight="1" s="34">
      <c r="A122" s="13">
        <f>QUESTIONS!A122</f>
        <v/>
      </c>
      <c r="B122" s="13">
        <f>QUESTIONS!B122</f>
        <v/>
      </c>
      <c r="C122" s="13">
        <f>QUESTIONS!H122</f>
        <v/>
      </c>
      <c r="D122" s="13">
        <f>QUESTIONS!I122</f>
        <v/>
      </c>
      <c r="E122" s="13">
        <f>QUESTIONS!AJ122</f>
        <v/>
      </c>
      <c r="F122" s="6" t="n"/>
      <c r="G122" s="6" t="n"/>
      <c r="H122" s="6" t="n"/>
      <c r="I122" s="6" t="n"/>
      <c r="J122" s="6" t="n"/>
      <c r="K122" s="6" t="n"/>
      <c r="L122" s="6" t="inlineStr">
        <is>
          <t>E</t>
        </is>
      </c>
      <c r="M122" s="6" t="inlineStr">
        <is>
          <t>A_SURVEILLER</t>
        </is>
      </c>
      <c r="N122" s="6" t="inlineStr">
        <is>
          <t>A_SURVEILLER</t>
        </is>
      </c>
      <c r="O122" s="6" t="inlineStr">
        <is>
          <t>ADMETTRE_PILOTE</t>
        </is>
      </c>
      <c r="P122" s="6" t="inlineStr">
        <is>
          <t>08/09/2026</t>
        </is>
      </c>
      <c r="Q122" s="6" t="inlineStr">
        <is>
          <t>Clarté360 — revue méthodologique</t>
        </is>
      </c>
      <c r="R122" s="6" t="inlineStr">
        <is>
          <t>Qualification théorique avant pilote ; décision empirique à confirmer après collecte.</t>
        </is>
      </c>
    </row>
    <row r="123" ht="100.8" customHeight="1" s="34">
      <c r="A123" s="13">
        <f>QUESTIONS!A123</f>
        <v/>
      </c>
      <c r="B123" s="13">
        <f>QUESTIONS!B123</f>
        <v/>
      </c>
      <c r="C123" s="13">
        <f>QUESTIONS!H123</f>
        <v/>
      </c>
      <c r="D123" s="13">
        <f>QUESTIONS!I123</f>
        <v/>
      </c>
      <c r="E123" s="13">
        <f>QUESTIONS!AJ123</f>
        <v/>
      </c>
      <c r="F123" s="6" t="n"/>
      <c r="G123" s="6" t="n"/>
      <c r="H123" s="6" t="n"/>
      <c r="I123" s="6" t="n"/>
      <c r="J123" s="6" t="n"/>
      <c r="K123" s="6" t="n"/>
      <c r="L123" s="6" t="inlineStr">
        <is>
          <t>E</t>
        </is>
      </c>
      <c r="M123" s="6" t="inlineStr">
        <is>
          <t>A_SURVEILLER</t>
        </is>
      </c>
      <c r="N123" s="6" t="inlineStr">
        <is>
          <t>A_SURVEILLER</t>
        </is>
      </c>
      <c r="O123" s="6" t="inlineStr">
        <is>
          <t>ADMETTRE_PILOTE</t>
        </is>
      </c>
      <c r="P123" s="6" t="inlineStr">
        <is>
          <t>08/09/2026</t>
        </is>
      </c>
      <c r="Q123" s="6" t="inlineStr">
        <is>
          <t>Clarté360 — revue méthodologique</t>
        </is>
      </c>
      <c r="R123" s="6" t="inlineStr">
        <is>
          <t>Qualification théorique avant pilote ; décision empirique à confirmer après collecte.</t>
        </is>
      </c>
    </row>
    <row r="124" ht="100.8" customHeight="1" s="34">
      <c r="A124" s="13">
        <f>QUESTIONS!A124</f>
        <v/>
      </c>
      <c r="B124" s="13">
        <f>QUESTIONS!B124</f>
        <v/>
      </c>
      <c r="C124" s="13">
        <f>QUESTIONS!H124</f>
        <v/>
      </c>
      <c r="D124" s="13">
        <f>QUESTIONS!I124</f>
        <v/>
      </c>
      <c r="E124" s="13">
        <f>QUESTIONS!AJ124</f>
        <v/>
      </c>
      <c r="F124" s="6" t="n"/>
      <c r="G124" s="6" t="n"/>
      <c r="H124" s="6" t="n"/>
      <c r="I124" s="6" t="n"/>
      <c r="J124" s="6" t="n"/>
      <c r="K124" s="6" t="n"/>
      <c r="L124" s="6" t="inlineStr">
        <is>
          <t>E</t>
        </is>
      </c>
      <c r="M124" s="6" t="inlineStr">
        <is>
          <t>A_SURVEILLER</t>
        </is>
      </c>
      <c r="N124" s="6" t="inlineStr">
        <is>
          <t>A_SURVEILLER</t>
        </is>
      </c>
      <c r="O124" s="6" t="inlineStr">
        <is>
          <t>ADMETTRE_PILOTE</t>
        </is>
      </c>
      <c r="P124" s="6" t="inlineStr">
        <is>
          <t>08/09/2026</t>
        </is>
      </c>
      <c r="Q124" s="6" t="inlineStr">
        <is>
          <t>Clarté360 — revue méthodologique</t>
        </is>
      </c>
      <c r="R124" s="6" t="inlineStr">
        <is>
          <t>Qualification théorique avant pilote ; décision empirique à confirmer après collecte.</t>
        </is>
      </c>
    </row>
  </sheetData>
  <autoFilter ref="A4:R124"/>
  <mergeCells count="2">
    <mergeCell ref="A2:R2"/>
    <mergeCell ref="A1:R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H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10" defaultColWidth="8.88671875" defaultRowHeight="14.4"/>
  <cols>
    <col width="45" customWidth="1" style="34" min="1" max="1"/>
    <col width="16" customWidth="1" style="34" min="2" max="2"/>
    <col width="18" customWidth="1" style="34" min="3" max="4"/>
    <col width="17" customWidth="1" style="34" min="5" max="5"/>
    <col width="45" customWidth="1" style="34" min="6" max="7"/>
    <col width="19" customWidth="1" style="34" min="8" max="8"/>
  </cols>
  <sheetData>
    <row r="1" ht="25.95" customHeight="1" s="34">
      <c r="A1" s="35" t="inlineStr">
        <is>
          <t>CHANGELOG — GOUVERNANCE DU RÉFÉRENTIEL</t>
        </is>
      </c>
    </row>
    <row r="2" ht="30" customHeight="1" s="34">
      <c r="A2" s="33" t="inlineStr">
        <is>
          <t>Chaque changement publié doit être documenté.</t>
        </is>
      </c>
    </row>
    <row r="4" ht="30" customHeight="1" s="34">
      <c r="A4" s="1" t="inlineStr">
        <is>
          <t>date</t>
        </is>
      </c>
      <c r="B4" s="1" t="inlineStr">
        <is>
          <t>objet</t>
        </is>
      </c>
      <c r="C4" s="1" t="inlineStr">
        <is>
          <t>ancienne_version</t>
        </is>
      </c>
      <c r="D4" s="1" t="inlineStr">
        <is>
          <t>nouvelle_version</t>
        </is>
      </c>
      <c r="E4" s="1" t="inlineStr">
        <is>
          <t>type_changement</t>
        </is>
      </c>
      <c r="F4" s="1" t="inlineStr">
        <is>
          <t>description</t>
        </is>
      </c>
      <c r="G4" s="1" t="inlineStr">
        <is>
          <t>justification</t>
        </is>
      </c>
      <c r="H4" s="1" t="inlineStr">
        <is>
          <t>auteur_validateur</t>
        </is>
      </c>
    </row>
    <row r="5" ht="28.8" customHeight="1" s="34">
      <c r="A5" s="9" t="inlineStr">
        <is>
          <t>08/09/2026</t>
        </is>
      </c>
      <c r="B5" s="9" t="inlineStr">
        <is>
          <t>Tableur maître</t>
        </is>
      </c>
      <c r="C5" s="9" t="n"/>
      <c r="D5" s="9" t="inlineStr">
        <is>
          <t>0.1</t>
        </is>
      </c>
      <c r="E5" s="9" t="inlineStr">
        <is>
          <t>CREATION</t>
        </is>
      </c>
      <c r="F5" s="9" t="inlineStr">
        <is>
          <t>Création de la structure opérationnelle complète du classeur maître.</t>
        </is>
      </c>
      <c r="G5" s="9" t="inlineStr">
        <is>
          <t>Mise en œuvre du Référentiel méthodologique V1.0 et du CDC.</t>
        </is>
      </c>
      <c r="H5" s="9" t="inlineStr">
        <is>
          <t>Clarté360</t>
        </is>
      </c>
    </row>
    <row r="6" ht="28.8" customHeight="1" s="34">
      <c r="A6" s="9" t="inlineStr">
        <is>
          <t>08/09/2026</t>
        </is>
      </c>
      <c r="B6" s="9" t="inlineStr">
        <is>
          <t>Banque d’items</t>
        </is>
      </c>
      <c r="C6" s="9" t="n"/>
      <c r="D6" s="9" t="inlineStr">
        <is>
          <t>PIP-BANK-0.1</t>
        </is>
      </c>
      <c r="E6" s="9" t="inlineStr">
        <is>
          <t>STRUCTURE</t>
        </is>
      </c>
      <c r="F6" s="9" t="inlineStr">
        <is>
          <t>Création de 120 emplacements candidats équilibrés : 20 par dimension / 4 par facette.</t>
        </is>
      </c>
      <c r="G6" s="9" t="inlineStr">
        <is>
          <t>Préparer la rédaction sans figer prématurément les items.</t>
        </is>
      </c>
      <c r="H6" s="9" t="inlineStr">
        <is>
          <t>Clarté360</t>
        </is>
      </c>
    </row>
    <row r="7" ht="28.8" customHeight="1" s="34">
      <c r="A7" s="9" t="inlineStr">
        <is>
          <t>08/09/2026</t>
        </is>
      </c>
      <c r="B7" s="9" t="inlineStr">
        <is>
          <t>O*NET</t>
        </is>
      </c>
      <c r="C7" s="9" t="n"/>
      <c r="D7" s="9" t="inlineStr">
        <is>
          <t>API_WEB_SERVICES</t>
        </is>
      </c>
      <c r="E7" s="9" t="inlineStr">
        <is>
          <t>ARCHITECTURE</t>
        </is>
      </c>
      <c r="F7" s="9" t="inlineStr">
        <is>
          <t>O*NET traité comme instrument externe via API ; aucun item ni secret O*NET dans le classeur.</t>
        </is>
      </c>
      <c r="G7" s="9" t="inlineStr">
        <is>
          <t>Séparation stricte PIP / O*NET et sécurité des secrets.</t>
        </is>
      </c>
      <c r="H7" s="9" t="inlineStr">
        <is>
          <t>Clarté360</t>
        </is>
      </c>
    </row>
    <row r="8" ht="57.6" customHeight="1" s="34">
      <c r="A8" s="9" t="inlineStr">
        <is>
          <t>08/09/2026</t>
        </is>
      </c>
      <c r="B8" s="9" t="inlineStr">
        <is>
          <t>Banque d’items</t>
        </is>
      </c>
      <c r="C8" s="9" t="inlineStr">
        <is>
          <t>PIP-BANK-0.1</t>
        </is>
      </c>
      <c r="D8" s="9" t="inlineStr">
        <is>
          <t>PIP-BANK-0.2</t>
        </is>
      </c>
      <c r="E8" s="9" t="inlineStr">
        <is>
          <t>INTEGRATION</t>
        </is>
      </c>
      <c r="F8" s="9" t="inlineStr">
        <is>
          <t>Intégration des 120 formulations validées dans la feuille QUESTIONS ; classement dimension/facette/bloc vérifié ID par ID ; statut passé à REVU.</t>
        </is>
      </c>
      <c r="G8" s="9" t="inlineStr">
        <is>
          <t>Validation de lisibilité et de contemporanéité des formulations avant phase de biais/validation pilote.</t>
        </is>
      </c>
      <c r="H8" s="9" t="inlineStr">
        <is>
          <t>Clarté360</t>
        </is>
      </c>
    </row>
    <row r="9" ht="129.6" customHeight="1" s="34">
      <c r="A9" s="9" t="inlineStr">
        <is>
          <t>0.3</t>
        </is>
      </c>
      <c r="B9" s="9" t="inlineStr">
        <is>
          <t>08/09/2026</t>
        </is>
      </c>
      <c r="C9" s="9" t="inlineStr">
        <is>
          <t>Qualification méthodologique des 120 items : justifications dimension/facette, dimensions concurrentes, revue structurée des biais, statut PILOTE.</t>
        </is>
      </c>
      <c r="D9" s="9" t="inlineStr">
        <is>
          <t>ChatGPT / Clarté360</t>
        </is>
      </c>
      <c r="E9" s="9" t="inlineStr">
        <is>
          <t>BANQUE_PILOTE</t>
        </is>
      </c>
      <c r="F9" s="9" t="n"/>
      <c r="G9" s="9" t="n"/>
      <c r="H9" s="9" t="n"/>
    </row>
    <row r="10">
      <c r="A10" t="inlineStr">
        <is>
          <t>0.4</t>
        </is>
      </c>
      <c r="B10" t="inlineStr">
        <is>
          <t>10/09/2026</t>
        </is>
      </c>
      <c r="C10" t="inlineStr">
        <is>
          <t>Revue contextualisation + recette réelle</t>
        </is>
      </c>
      <c r="D10" t="inlineStr">
        <is>
          <t>Ajout d’une feuille CONTEXTUALISATION avec 120 exemples concrets distincts des formulations source ; ajout RECETTE_L1 ; aucune modification du scoring ni des textes source.</t>
        </is>
      </c>
      <c r="E10" t="inlineStr">
        <is>
          <t>Clarté360</t>
        </is>
      </c>
    </row>
    <row r="11">
      <c r="A11" t="inlineStr">
        <is>
          <t>V0.5</t>
        </is>
      </c>
      <c r="B11" t="inlineStr">
        <is>
          <t>18/09/2026</t>
        </is>
      </c>
      <c r="C11" t="inlineStr">
        <is>
          <t>Jalon A — passage documenté de 120 à 72 items, 12 par dimension, 30 facettes couvertes, formulations concrètes intégrées, historique 120 conservé.</t>
        </is>
      </c>
    </row>
  </sheetData>
  <autoFilter ref="A4:H7"/>
  <mergeCells count="2">
    <mergeCell ref="A2:H2"/>
    <mergeCell ref="A1:H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G1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55" customWidth="1" style="34" min="1" max="2"/>
    <col width="24" customWidth="1" style="34" min="3" max="3"/>
    <col width="12" customWidth="1" style="34" min="4" max="5"/>
    <col width="47" customWidth="1" style="34" min="6" max="6"/>
    <col width="55" customWidth="1" style="34" min="7" max="7"/>
  </cols>
  <sheetData>
    <row r="1" ht="25.95" customHeight="1" s="34">
      <c r="A1" s="35" t="inlineStr">
        <is>
          <t>O*NET® — CONFIGURATION NON SECRÈTE</t>
        </is>
      </c>
    </row>
    <row r="2" ht="30" customHeight="1" s="34">
      <c r="A2" s="33" t="inlineStr">
        <is>
          <t>Instrument externe. Cette feuille ne contient ni les 60 items ni la clé API.</t>
        </is>
      </c>
    </row>
    <row r="4" ht="30" customHeight="1" s="34">
      <c r="A4" s="10" t="inlineStr">
        <is>
          <t>parametre</t>
        </is>
      </c>
      <c r="B4" s="10" t="inlineStr">
        <is>
          <t>valeur</t>
        </is>
      </c>
      <c r="C4" s="10" t="inlineStr">
        <is>
          <t>statut</t>
        </is>
      </c>
      <c r="D4" s="10" t="inlineStr">
        <is>
          <t>modifiable</t>
        </is>
      </c>
      <c r="E4" s="10" t="inlineStr">
        <is>
          <t>secret</t>
        </is>
      </c>
      <c r="F4" s="10" t="inlineStr">
        <is>
          <t>source</t>
        </is>
      </c>
      <c r="G4" s="10" t="inlineStr">
        <is>
          <t>commentaire</t>
        </is>
      </c>
    </row>
    <row r="5">
      <c r="A5" s="9" t="inlineStr">
        <is>
          <t>instrument</t>
        </is>
      </c>
      <c r="B5" s="9" t="inlineStr">
        <is>
          <t>O*NET Interest Profiler Short Form 60</t>
        </is>
      </c>
      <c r="C5" s="9" t="inlineStr">
        <is>
          <t>CIBLE</t>
        </is>
      </c>
      <c r="D5" s="9" t="inlineStr">
        <is>
          <t>NON</t>
        </is>
      </c>
      <c r="E5" s="9" t="inlineStr">
        <is>
          <t>NON</t>
        </is>
      </c>
      <c r="F5" s="9" t="inlineStr">
        <is>
          <t>https://www.onetcenter.org/IP.html</t>
        </is>
      </c>
      <c r="G5" s="9" t="inlineStr">
        <is>
          <t>Toujours après PIP ; jamais O*NET seul.</t>
        </is>
      </c>
    </row>
    <row r="6">
      <c r="A6" s="9" t="inlineStr">
        <is>
          <t>langue</t>
        </is>
      </c>
      <c r="B6" s="9" t="inlineStr">
        <is>
          <t>anglais original</t>
        </is>
      </c>
      <c r="C6" s="9" t="inlineStr">
        <is>
          <t>CIBLE</t>
        </is>
      </c>
      <c r="D6" s="9" t="inlineStr">
        <is>
          <t>NON</t>
        </is>
      </c>
      <c r="E6" s="9" t="inlineStr">
        <is>
          <t>NON</t>
        </is>
      </c>
      <c r="F6" s="9" t="inlineStr">
        <is>
          <t>Référentiel méthodologique V1.0</t>
        </is>
      </c>
      <c r="G6" s="9" t="inlineStr">
        <is>
          <t>Aucune traduction intégrée dans le protocole de référence.</t>
        </is>
      </c>
    </row>
    <row r="7" ht="28.8" customHeight="1" s="34">
      <c r="A7" s="9" t="inlineStr">
        <is>
          <t>integration</t>
        </is>
      </c>
      <c r="B7" s="9" t="inlineStr">
        <is>
          <t>O*NET Web Services API</t>
        </is>
      </c>
      <c r="C7" s="9" t="inlineStr">
        <is>
          <t>EN_ATTENTE_APPROBATION</t>
        </is>
      </c>
      <c r="D7" s="9" t="inlineStr">
        <is>
          <t>OUI</t>
        </is>
      </c>
      <c r="E7" s="9" t="inlineStr">
        <is>
          <t>NON</t>
        </is>
      </c>
      <c r="F7" s="9" t="inlineStr">
        <is>
          <t>https://services.onetcenter.org/</t>
        </is>
      </c>
      <c r="G7" s="9" t="inlineStr">
        <is>
          <t>Projet développeur Clarté360 soumis à approbation.</t>
        </is>
      </c>
    </row>
    <row r="8">
      <c r="A8" s="9" t="inlineStr">
        <is>
          <t>api_key</t>
        </is>
      </c>
      <c r="B8" s="9" t="inlineStr">
        <is>
          <t>NE_JAMAIS_STOCKER_ICI</t>
        </is>
      </c>
      <c r="C8" s="9" t="inlineStr">
        <is>
          <t>INTERDIT</t>
        </is>
      </c>
      <c r="D8" s="9" t="inlineStr">
        <is>
          <t>NON</t>
        </is>
      </c>
      <c r="E8" s="9" t="inlineStr">
        <is>
          <t>OUI</t>
        </is>
      </c>
      <c r="F8" s="9" t="inlineStr">
        <is>
          <t>VPS secrets</t>
        </is>
      </c>
      <c r="G8" s="9" t="inlineStr">
        <is>
          <t>Variable d’environnement / secret serveur uniquement.</t>
        </is>
      </c>
    </row>
    <row r="9">
      <c r="A9" s="9" t="inlineStr">
        <is>
          <t>credit</t>
        </is>
      </c>
      <c r="B9" s="9" t="inlineStr">
        <is>
          <t>Crédit O*NET à reprendre depuis les instructions officielles</t>
        </is>
      </c>
      <c r="C9" s="9" t="inlineStr">
        <is>
          <t>A_FINALISER</t>
        </is>
      </c>
      <c r="D9" s="9" t="inlineStr">
        <is>
          <t>OUI</t>
        </is>
      </c>
      <c r="E9" s="9" t="inlineStr">
        <is>
          <t>NON</t>
        </is>
      </c>
      <c r="F9" s="9" t="inlineStr">
        <is>
          <t>https://services.onetcenter.org/</t>
        </is>
      </c>
      <c r="G9" s="9" t="inlineStr">
        <is>
          <t>Archiver le texte exact et sa date lors de mise en production.</t>
        </is>
      </c>
    </row>
    <row r="10" ht="28.8" customHeight="1" s="34">
      <c r="A10" s="9" t="inlineStr">
        <is>
          <t>licence</t>
        </is>
      </c>
      <c r="B10" s="9" t="inlineStr">
        <is>
          <t>À archiver selon modalité d’intégration retenue</t>
        </is>
      </c>
      <c r="C10" s="9" t="inlineStr">
        <is>
          <t>A_FINALISER</t>
        </is>
      </c>
      <c r="D10" s="9" t="inlineStr">
        <is>
          <t>OUI</t>
        </is>
      </c>
      <c r="E10" s="9" t="inlineStr">
        <is>
          <t>NON</t>
        </is>
      </c>
      <c r="F10" s="9" t="inlineStr">
        <is>
          <t>https://www.onetcenter.org/license_tools.html</t>
        </is>
      </c>
      <c r="G10" s="9" t="inlineStr">
        <is>
          <t>Ne jamais laisser entendre une validation de Clarté360 par USDOL/ETA.</t>
        </is>
      </c>
    </row>
    <row r="11">
      <c r="A11" s="9" t="inlineStr">
        <is>
          <t>parcours_autorises</t>
        </is>
      </c>
      <c r="B11" s="9" t="inlineStr">
        <is>
          <t>PIP seul | PIP + O*NET</t>
        </is>
      </c>
      <c r="C11" s="9" t="inlineStr">
        <is>
          <t>ACTIF</t>
        </is>
      </c>
      <c r="D11" s="9" t="inlineStr">
        <is>
          <t>NON</t>
        </is>
      </c>
      <c r="E11" s="9" t="inlineStr">
        <is>
          <t>NON</t>
        </is>
      </c>
      <c r="F11" s="9" t="inlineStr">
        <is>
          <t>CDC</t>
        </is>
      </c>
      <c r="G11" s="9" t="inlineStr">
        <is>
          <t>O*NET seul interdit.</t>
        </is>
      </c>
    </row>
    <row r="12" ht="28.8" customHeight="1" s="34">
      <c r="A12" s="9" t="inlineStr">
        <is>
          <t>mode_public</t>
        </is>
      </c>
      <c r="B12" s="9" t="inlineStr">
        <is>
          <t>gratuit, public, sans inscription bénéficiaire</t>
        </is>
      </c>
      <c r="C12" s="9" t="inlineStr">
        <is>
          <t>PREVU</t>
        </is>
      </c>
      <c r="D12" s="9" t="inlineStr">
        <is>
          <t>OUI</t>
        </is>
      </c>
      <c r="E12" s="9" t="inlineStr">
        <is>
          <t>NON</t>
        </is>
      </c>
      <c r="F12" s="9" t="inlineStr">
        <is>
          <t>CDC</t>
        </is>
      </c>
      <c r="G12" s="9" t="inlineStr">
        <is>
          <t>L’identification action/bénéficiaire concerne seulement le mode Accompagnement.</t>
        </is>
      </c>
    </row>
  </sheetData>
  <autoFilter ref="A4:G12"/>
  <mergeCells count="2">
    <mergeCell ref="A2:G2"/>
    <mergeCell ref="A1:G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L8"/>
  <sheetViews>
    <sheetView showGridLines="0" zoomScale="85" workbookViewId="0">
      <selection activeCell="A1" sqref="A1"/>
    </sheetView>
  </sheetViews>
  <sheetFormatPr baseColWidth="10" defaultColWidth="8.88671875" defaultRowHeight="14.4"/>
  <cols>
    <col width="30" customWidth="1" style="34" min="1" max="1"/>
    <col width="16" customWidth="1" style="34" min="2" max="2"/>
    <col width="17" customWidth="1" style="34" min="3" max="3"/>
    <col width="18" customWidth="1" style="34" min="4" max="4"/>
    <col width="14" customWidth="1" style="34" min="5" max="5"/>
    <col width="12" customWidth="1" style="34" min="6" max="11"/>
    <col width="30" customWidth="1" style="34" min="12" max="12"/>
  </cols>
  <sheetData>
    <row r="1" ht="25.95" customHeight="1" s="34">
      <c r="A1" s="35" t="inlineStr">
        <is>
          <t>SCHÉMA DE DONNÉES COMPARATIF PIP ↔ O*NET</t>
        </is>
      </c>
    </row>
    <row r="2" ht="30" customHeight="1" s="34">
      <c r="A2" s="33" t="inlineStr">
        <is>
          <t>Structure d’export/analyse — pas de verdict automatique.</t>
        </is>
      </c>
    </row>
    <row r="4" ht="30" customHeight="1" s="34">
      <c r="A4" s="1" t="inlineStr">
        <is>
          <t>pair_id</t>
        </is>
      </c>
      <c r="B4" s="1" t="inlineStr">
        <is>
          <t>pip_session_id</t>
        </is>
      </c>
      <c r="C4" s="1" t="inlineStr">
        <is>
          <t>onet_session_id</t>
        </is>
      </c>
      <c r="D4" s="1" t="inlineStr">
        <is>
          <t>pip_bank_version</t>
        </is>
      </c>
      <c r="E4" s="1" t="inlineStr">
        <is>
          <t>onet_version</t>
        </is>
      </c>
      <c r="F4" s="1" t="inlineStr">
        <is>
          <t>R_pip</t>
        </is>
      </c>
      <c r="G4" s="1" t="inlineStr">
        <is>
          <t>I_pip</t>
        </is>
      </c>
      <c r="H4" s="1" t="inlineStr">
        <is>
          <t>A_pip</t>
        </is>
      </c>
      <c r="I4" s="1" t="inlineStr">
        <is>
          <t>S_pip</t>
        </is>
      </c>
      <c r="J4" s="1" t="inlineStr">
        <is>
          <t>E_pip</t>
        </is>
      </c>
      <c r="K4" s="1" t="inlineStr">
        <is>
          <t>C_pip</t>
        </is>
      </c>
      <c r="L4" s="1" t="inlineStr">
        <is>
          <t>notes</t>
        </is>
      </c>
    </row>
    <row r="5" ht="43.2" customHeight="1" s="34">
      <c r="A5" s="5" t="inlineStr">
        <is>
          <t>EXEMPLE_STRUCTURE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inlineStr">
        <is>
          <t>Ligne d’exemple de structure uniquement. Les données réelles seront générées par l’application.</t>
        </is>
      </c>
    </row>
    <row r="7">
      <c r="A7" s="41" t="inlineStr">
        <is>
          <t>Variables O*NET à stocker séparément : scores RIASEC originaux, rangs, code, version/date instrument, horodatages et métadonnées autorisées selon API.</t>
        </is>
      </c>
    </row>
    <row r="8"/>
  </sheetData>
  <mergeCells count="3">
    <mergeCell ref="A7:L8"/>
    <mergeCell ref="A2:L2"/>
    <mergeCell ref="A1:L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K11"/>
  <sheetViews>
    <sheetView showGridLines="0" zoomScale="85" workbookViewId="0">
      <selection activeCell="A1" sqref="A1"/>
    </sheetView>
  </sheetViews>
  <sheetFormatPr baseColWidth="10" defaultColWidth="8.88671875" defaultRowHeight="14.4"/>
  <cols>
    <col width="22" customWidth="1" style="34" min="1" max="1"/>
    <col width="20" customWidth="1" style="34" min="2" max="2"/>
    <col width="12" customWidth="1" style="34" min="3" max="11"/>
  </cols>
  <sheetData>
    <row r="1" ht="25.95" customHeight="1" s="34">
      <c r="A1" s="35" t="inlineStr">
        <is>
          <t>TESTS DE SCORING — JEUX SYNTHÉTIQUES</t>
        </is>
      </c>
    </row>
    <row r="2" ht="30" customHeight="1" s="34">
      <c r="A2" s="33" t="inlineStr">
        <is>
          <t>Contrôle humain des formules de base avant implémentation applicative.</t>
        </is>
      </c>
    </row>
    <row r="4" ht="30" customHeight="1" s="34">
      <c r="A4" s="1" t="inlineStr">
        <is>
          <t>scenario</t>
        </is>
      </c>
      <c r="B4" s="1" t="inlineStr">
        <is>
          <t>R_moy</t>
        </is>
      </c>
      <c r="C4" s="1" t="inlineStr">
        <is>
          <t>I_moy</t>
        </is>
      </c>
      <c r="D4" s="1" t="inlineStr">
        <is>
          <t>A_moy</t>
        </is>
      </c>
      <c r="E4" s="1" t="inlineStr">
        <is>
          <t>S_moy</t>
        </is>
      </c>
      <c r="F4" s="1" t="inlineStr">
        <is>
          <t>E_moy</t>
        </is>
      </c>
      <c r="G4" s="1" t="inlineStr">
        <is>
          <t>C_moy</t>
        </is>
      </c>
      <c r="H4" s="1" t="inlineStr">
        <is>
          <t>R_indice</t>
        </is>
      </c>
      <c r="I4" s="1" t="inlineStr">
        <is>
          <t>I_indice</t>
        </is>
      </c>
      <c r="J4" s="1" t="inlineStr">
        <is>
          <t>A_indice</t>
        </is>
      </c>
      <c r="K4" s="1" t="inlineStr">
        <is>
          <t>S_indice</t>
        </is>
      </c>
    </row>
    <row r="5">
      <c r="A5" s="14" t="inlineStr">
        <is>
          <t>Toutes réponses neutres</t>
        </is>
      </c>
      <c r="B5" s="14" t="n">
        <v>3</v>
      </c>
      <c r="C5" s="14" t="n">
        <v>3</v>
      </c>
      <c r="D5" s="14" t="n">
        <v>3</v>
      </c>
      <c r="E5" s="14" t="n">
        <v>3</v>
      </c>
      <c r="F5" s="14" t="n">
        <v>3</v>
      </c>
      <c r="G5" s="14" t="n">
        <v>3</v>
      </c>
      <c r="H5" s="14">
        <f>25*(B5-1)</f>
        <v/>
      </c>
      <c r="I5" s="14">
        <f>25*(C5-1)</f>
        <v/>
      </c>
      <c r="J5" s="14">
        <f>25*(D5-1)</f>
        <v/>
      </c>
      <c r="K5" s="14">
        <f>25*(E5-1)</f>
        <v/>
      </c>
    </row>
    <row r="6">
      <c r="A6" s="14" t="inlineStr">
        <is>
          <t>R maximal</t>
        </is>
      </c>
      <c r="B6" s="14" t="n">
        <v>5</v>
      </c>
      <c r="C6" s="14" t="n">
        <v>3</v>
      </c>
      <c r="D6" s="14" t="n">
        <v>3</v>
      </c>
      <c r="E6" s="14" t="n">
        <v>3</v>
      </c>
      <c r="F6" s="14" t="n">
        <v>3</v>
      </c>
      <c r="G6" s="14" t="n">
        <v>3</v>
      </c>
      <c r="H6" s="14">
        <f>25*(B6-1)</f>
        <v/>
      </c>
      <c r="I6" s="14">
        <f>25*(C6-1)</f>
        <v/>
      </c>
      <c r="J6" s="14">
        <f>25*(D6-1)</f>
        <v/>
      </c>
      <c r="K6" s="14">
        <f>25*(E6-1)</f>
        <v/>
      </c>
    </row>
    <row r="7">
      <c r="A7" s="14" t="inlineStr">
        <is>
          <t>S/E élevés</t>
        </is>
      </c>
      <c r="B7" s="14" t="n">
        <v>2</v>
      </c>
      <c r="C7" s="14" t="n">
        <v>2</v>
      </c>
      <c r="D7" s="14" t="n">
        <v>2</v>
      </c>
      <c r="E7" s="14" t="n">
        <v>5</v>
      </c>
      <c r="F7" s="14" t="n">
        <v>4.5</v>
      </c>
      <c r="G7" s="14" t="n">
        <v>2</v>
      </c>
      <c r="H7" s="14">
        <f>25*(B7-1)</f>
        <v/>
      </c>
      <c r="I7" s="14">
        <f>25*(C7-1)</f>
        <v/>
      </c>
      <c r="J7" s="14">
        <f>25*(D7-1)</f>
        <v/>
      </c>
      <c r="K7" s="14">
        <f>25*(E7-1)</f>
        <v/>
      </c>
    </row>
    <row r="8">
      <c r="A8" s="14" t="inlineStr">
        <is>
          <t>Profil plat haut</t>
        </is>
      </c>
      <c r="B8" s="14" t="n">
        <v>4</v>
      </c>
      <c r="C8" s="14" t="n">
        <v>4</v>
      </c>
      <c r="D8" s="14" t="n">
        <v>4</v>
      </c>
      <c r="E8" s="14" t="n">
        <v>4</v>
      </c>
      <c r="F8" s="14" t="n">
        <v>4</v>
      </c>
      <c r="G8" s="14" t="n">
        <v>4</v>
      </c>
      <c r="H8" s="14">
        <f>25*(B8-1)</f>
        <v/>
      </c>
      <c r="I8" s="14">
        <f>25*(C8-1)</f>
        <v/>
      </c>
      <c r="J8" s="14">
        <f>25*(D8-1)</f>
        <v/>
      </c>
      <c r="K8" s="14">
        <f>25*(E8-1)</f>
        <v/>
      </c>
    </row>
    <row r="11">
      <c r="A11" s="15" t="inlineStr">
        <is>
          <t>Règle attendue</t>
        </is>
      </c>
      <c r="B11" s="16" t="inlineStr">
        <is>
          <t>1→0 ; 3→50 ; 5→100</t>
        </is>
      </c>
    </row>
  </sheetData>
  <mergeCells count="2">
    <mergeCell ref="A2:K2"/>
    <mergeCell ref="A1:K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STATUT_ITEM</t>
        </is>
      </c>
      <c r="B1" t="inlineStr">
        <is>
          <t>BLOC</t>
        </is>
      </c>
      <c r="C1" t="inlineStr">
        <is>
          <t>DIMENSION</t>
        </is>
      </c>
      <c r="D1" t="inlineStr">
        <is>
          <t>RISQUE</t>
        </is>
      </c>
      <c r="E1" t="inlineStr">
        <is>
          <t>DECISION_VALIDATION</t>
        </is>
      </c>
      <c r="F1" t="inlineStr">
        <is>
          <t>OUI_NON</t>
        </is>
      </c>
      <c r="G1" t="inlineStr">
        <is>
          <t>FACETTE</t>
        </is>
      </c>
      <c r="I1" t="inlineStr">
        <is>
          <t>DECISION_EXEMPLE</t>
        </is>
      </c>
      <c r="J1" t="inlineStr">
        <is>
          <t>STATUT_REVUE_CTX</t>
        </is>
      </c>
    </row>
    <row r="2">
      <c r="A2" t="inlineStr">
        <is>
          <t>BROUILLON</t>
        </is>
      </c>
      <c r="B2" t="inlineStr">
        <is>
          <t>ACT</t>
        </is>
      </c>
      <c r="C2" t="inlineStr">
        <is>
          <t>R</t>
        </is>
      </c>
      <c r="D2" t="inlineStr">
        <is>
          <t>A_EVALUER</t>
        </is>
      </c>
      <c r="F2" t="inlineStr">
        <is>
          <t>OUI</t>
        </is>
      </c>
      <c r="G2" t="inlineStr">
        <is>
          <t>R1</t>
        </is>
      </c>
      <c r="I2" t="inlineStr">
        <is>
          <t>A_VALIDER</t>
        </is>
      </c>
      <c r="J2" t="inlineStr">
        <is>
          <t>PROPOSITION_V0.4</t>
        </is>
      </c>
    </row>
    <row r="3">
      <c r="A3" t="inlineStr">
        <is>
          <t>REVU</t>
        </is>
      </c>
      <c r="B3" t="inlineStr">
        <is>
          <t>SIT</t>
        </is>
      </c>
      <c r="C3" t="inlineStr">
        <is>
          <t>I</t>
        </is>
      </c>
      <c r="D3" t="inlineStr">
        <is>
          <t>FAIBLE</t>
        </is>
      </c>
      <c r="E3" t="inlineStr">
        <is>
          <t>MAINTENIR</t>
        </is>
      </c>
      <c r="F3" t="inlineStr">
        <is>
          <t>NON</t>
        </is>
      </c>
      <c r="G3" t="inlineStr">
        <is>
          <t>R2</t>
        </is>
      </c>
      <c r="I3" t="inlineStr">
        <is>
          <t>VALIDER</t>
        </is>
      </c>
      <c r="J3" t="inlineStr">
        <is>
          <t>REVU_METHODO</t>
        </is>
      </c>
    </row>
    <row r="4">
      <c r="A4" t="inlineStr">
        <is>
          <t>PILOTE</t>
        </is>
      </c>
      <c r="B4" t="inlineStr">
        <is>
          <t>ENV</t>
        </is>
      </c>
      <c r="C4" t="inlineStr">
        <is>
          <t>A</t>
        </is>
      </c>
      <c r="D4" t="inlineStr">
        <is>
          <t>MOYEN</t>
        </is>
      </c>
      <c r="E4" t="inlineStr">
        <is>
          <t>REVOIR</t>
        </is>
      </c>
      <c r="G4" t="inlineStr">
        <is>
          <t>R3</t>
        </is>
      </c>
      <c r="I4" t="inlineStr">
        <is>
          <t>MODIFIER</t>
        </is>
      </c>
      <c r="J4" t="inlineStr">
        <is>
          <t>VALIDE_PILOTE</t>
        </is>
      </c>
    </row>
    <row r="5">
      <c r="A5" t="inlineStr">
        <is>
          <t>ACTIF</t>
        </is>
      </c>
      <c r="C5" t="inlineStr">
        <is>
          <t>S</t>
        </is>
      </c>
      <c r="D5" t="inlineStr">
        <is>
          <t>ELEVE</t>
        </is>
      </c>
      <c r="E5" t="inlineStr">
        <is>
          <t>RETIRER</t>
        </is>
      </c>
      <c r="G5" t="inlineStr">
        <is>
          <t>R4</t>
        </is>
      </c>
      <c r="I5" t="inlineStr">
        <is>
          <t>NE_PAS_AFFICHER</t>
        </is>
      </c>
      <c r="J5" t="inlineStr">
        <is>
          <t>RETIRE</t>
        </is>
      </c>
    </row>
    <row r="6">
      <c r="A6" t="inlineStr">
        <is>
          <t>RETIRÉ</t>
        </is>
      </c>
      <c r="C6" t="inlineStr">
        <is>
          <t>E</t>
        </is>
      </c>
      <c r="D6" t="inlineStr">
        <is>
          <t>NON_APPLICABLE</t>
        </is>
      </c>
      <c r="E6" t="inlineStr">
        <is>
          <t>A_RETESTER</t>
        </is>
      </c>
      <c r="G6" t="inlineStr">
        <is>
          <t>R5</t>
        </is>
      </c>
    </row>
    <row r="7">
      <c r="C7" t="inlineStr">
        <is>
          <t>C</t>
        </is>
      </c>
      <c r="G7" t="inlineStr">
        <is>
          <t>I1</t>
        </is>
      </c>
    </row>
    <row r="8">
      <c r="G8" t="inlineStr">
        <is>
          <t>I2</t>
        </is>
      </c>
    </row>
    <row r="9">
      <c r="G9" t="inlineStr">
        <is>
          <t>I3</t>
        </is>
      </c>
    </row>
    <row r="10">
      <c r="G10" t="inlineStr">
        <is>
          <t>I4</t>
        </is>
      </c>
    </row>
    <row r="11">
      <c r="G11" t="inlineStr">
        <is>
          <t>I5</t>
        </is>
      </c>
    </row>
    <row r="12">
      <c r="G12" t="inlineStr">
        <is>
          <t>A1</t>
        </is>
      </c>
    </row>
    <row r="13">
      <c r="G13" t="inlineStr">
        <is>
          <t>A2</t>
        </is>
      </c>
    </row>
    <row r="14">
      <c r="G14" t="inlineStr">
        <is>
          <t>A3</t>
        </is>
      </c>
    </row>
    <row r="15">
      <c r="G15" t="inlineStr">
        <is>
          <t>A4</t>
        </is>
      </c>
    </row>
    <row r="16">
      <c r="G16" t="inlineStr">
        <is>
          <t>A5</t>
        </is>
      </c>
    </row>
    <row r="17">
      <c r="G17" t="inlineStr">
        <is>
          <t>S1</t>
        </is>
      </c>
    </row>
    <row r="18">
      <c r="G18" t="inlineStr">
        <is>
          <t>S2</t>
        </is>
      </c>
    </row>
    <row r="19">
      <c r="G19" t="inlineStr">
        <is>
          <t>S3</t>
        </is>
      </c>
    </row>
    <row r="20">
      <c r="G20" t="inlineStr">
        <is>
          <t>S4</t>
        </is>
      </c>
    </row>
    <row r="21">
      <c r="G21" t="inlineStr">
        <is>
          <t>S5</t>
        </is>
      </c>
    </row>
    <row r="22">
      <c r="G22" t="inlineStr">
        <is>
          <t>E1</t>
        </is>
      </c>
    </row>
    <row r="23">
      <c r="G23" t="inlineStr">
        <is>
          <t>E2</t>
        </is>
      </c>
    </row>
    <row r="24">
      <c r="G24" t="inlineStr">
        <is>
          <t>E3</t>
        </is>
      </c>
    </row>
    <row r="25">
      <c r="G25" t="inlineStr">
        <is>
          <t>E4</t>
        </is>
      </c>
    </row>
    <row r="26">
      <c r="G26" t="inlineStr">
        <is>
          <t>E5</t>
        </is>
      </c>
    </row>
    <row r="27">
      <c r="G27" t="inlineStr">
        <is>
          <t>C1</t>
        </is>
      </c>
    </row>
    <row r="28">
      <c r="G28" t="inlineStr">
        <is>
          <t>C2</t>
        </is>
      </c>
    </row>
    <row r="29">
      <c r="G29" t="inlineStr">
        <is>
          <t>C3</t>
        </is>
      </c>
    </row>
    <row r="30">
      <c r="G30" t="inlineStr">
        <is>
          <t>C4</t>
        </is>
      </c>
    </row>
    <row r="31">
      <c r="G31" t="inlineStr">
        <is>
          <t>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2026-09-08T06:40:16Z</dcterms:created>
  <dcterms:modified xmlns:dcterms="http://purl.org/dc/terms/" xmlns:xsi="http://www.w3.org/2001/XMLSchema-instance" xsi:type="dcterms:W3CDTF">2026-09-18T18:40:01Z</dcterms:modified>
  <cp:lastModifiedBy>Dominique BRIET</cp:lastModifiedBy>
</cp:coreProperties>
</file>