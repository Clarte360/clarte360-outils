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01_QUESTIONS_72" sheetId="1" state="visible" r:id="rId1"/>
    <sheet xmlns:r="http://schemas.openxmlformats.org/officeDocument/2006/relationships" name="02_REPONSES_CONSIGNE" sheetId="2" state="visible" r:id="rId2"/>
    <sheet xmlns:r="http://schemas.openxmlformats.org/officeDocument/2006/relationships" name="03_REVUE_HISTORIQUE" sheetId="3" state="visible" r:id="rId3"/>
    <sheet xmlns:r="http://schemas.openxmlformats.org/officeDocument/2006/relationships" name="README" sheetId="4" state="hidden" r:id="rId4"/>
    <sheet xmlns:r="http://schemas.openxmlformats.org/officeDocument/2006/relationships" name="BANQUE_72_V0.5" sheetId="5" state="hidden" r:id="rId5"/>
    <sheet xmlns:r="http://schemas.openxmlformats.org/officeDocument/2006/relationships" name="PROTOCOLE_REPONSE_V0.5.1" sheetId="6" state="hidden" r:id="rId6"/>
    <sheet xmlns:r="http://schemas.openxmlformats.org/officeDocument/2006/relationships" name="REVUE_120_V0.5" sheetId="7" state="hidden" r:id="rId7"/>
    <sheet xmlns:r="http://schemas.openxmlformats.org/officeDocument/2006/relationships" name="DIMENSIONS" sheetId="8" state="hidden" r:id="rId8"/>
    <sheet xmlns:r="http://schemas.openxmlformats.org/officeDocument/2006/relationships" name="QUESTIONS" sheetId="9" state="hidden" r:id="rId9"/>
    <sheet xmlns:r="http://schemas.openxmlformats.org/officeDocument/2006/relationships" name="CONTEXTUALISATION" sheetId="10" state="hidden" r:id="rId10"/>
    <sheet xmlns:r="http://schemas.openxmlformats.org/officeDocument/2006/relationships" name="RECETTE_L1" sheetId="11" state="hidden" r:id="rId11"/>
    <sheet xmlns:r="http://schemas.openxmlformats.org/officeDocument/2006/relationships" name="CALCULS" sheetId="12" state="hidden" r:id="rId12"/>
    <sheet xmlns:r="http://schemas.openxmlformats.org/officeDocument/2006/relationships" name="RAPPORT" sheetId="13" state="hidden" r:id="rId13"/>
    <sheet xmlns:r="http://schemas.openxmlformats.org/officeDocument/2006/relationships" name="RESSENTI" sheetId="14" state="hidden" r:id="rId14"/>
    <sheet xmlns:r="http://schemas.openxmlformats.org/officeDocument/2006/relationships" name="PARAMETRES" sheetId="15" state="hidden" r:id="rId15"/>
    <sheet xmlns:r="http://schemas.openxmlformats.org/officeDocument/2006/relationships" name="VALIDATION" sheetId="16" state="hidden" r:id="rId16"/>
    <sheet xmlns:r="http://schemas.openxmlformats.org/officeDocument/2006/relationships" name="CHANGELOG" sheetId="17" state="hidden" r:id="rId17"/>
    <sheet xmlns:r="http://schemas.openxmlformats.org/officeDocument/2006/relationships" name="ONET_CONFIG" sheetId="18" state="hidden" r:id="rId18"/>
    <sheet xmlns:r="http://schemas.openxmlformats.org/officeDocument/2006/relationships" name="COMPARATIF" sheetId="19" state="hidden" r:id="rId19"/>
    <sheet xmlns:r="http://schemas.openxmlformats.org/officeDocument/2006/relationships" name="TEST_SCORING" sheetId="20" state="hidden" r:id="rId20"/>
    <sheet xmlns:r="http://schemas.openxmlformats.org/officeDocument/2006/relationships" name="LISTES" sheetId="21" state="hidden" r:id="rId21"/>
    <sheet xmlns:r="http://schemas.openxmlformats.org/officeDocument/2006/relationships" name="BANQUE_72_V0.5.1" sheetId="22" state="hidden" r:id="rId22"/>
  </sheets>
  <definedNames>
    <definedName name="_xlnm._FilterDatabase" localSheetId="0" hidden="1">'01_QUESTIONS_72'!$A$1:$M$73</definedName>
    <definedName name="_xlnm._FilterDatabase" localSheetId="2" hidden="1">'03_REVUE_HISTORIQUE'!$A$1:$I$73</definedName>
    <definedName name="_xlnm._FilterDatabase" localSheetId="4" hidden="1">'BANQUE_72_V0.5'!$A$1:$N$73</definedName>
    <definedName name="_xlnm._FilterDatabase" localSheetId="6" hidden="1">'REVUE_120_V0.5'!$A$1:$M$121</definedName>
    <definedName name="_xlnm._FilterDatabase" localSheetId="7" hidden="1">'DIMENSIONS'!$A$4:$J$34</definedName>
    <definedName name="_xlnm._FilterDatabase" localSheetId="8" hidden="1">'QUESTIONS'!$A$4:$AP$124</definedName>
    <definedName name="_xlnm._FilterDatabase" localSheetId="9" hidden="1">'CONTEXTUALISATION'!$A$4:$O$124</definedName>
    <definedName name="_xlnm._FilterDatabase" localSheetId="10" hidden="1">'RECETTE_L1'!$A$4:$J$10</definedName>
    <definedName name="_xlnm._FilterDatabase" localSheetId="11" hidden="1">'CALCULS'!$A$4:$J$10</definedName>
    <definedName name="_xlnm._FilterDatabase" localSheetId="12" hidden="1">'RAPPORT'!$A$4:$J$14</definedName>
    <definedName name="_xlnm._FilterDatabase" localSheetId="13" hidden="1">'RESSENTI'!$A$4:$N$11</definedName>
    <definedName name="_xlnm._FilterDatabase" localSheetId="15" hidden="1">'VALIDATION'!$A$4:$R$124</definedName>
    <definedName name="_xlnm._FilterDatabase" localSheetId="16" hidden="1">'CHANGELOG'!$A$4:$H$7</definedName>
    <definedName name="_xlnm._FilterDatabase" localSheetId="17" hidden="1">'ONET_CONFIG'!$A$4:$G$12</definedName>
  </definedNames>
  <calcPr calcId="191029"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FFFFFFFF"/>
      <sz val="16"/>
    </font>
    <font>
      <name val="Calibri"/>
      <i val="1"/>
      <color rgb="FF666666"/>
      <sz val="10"/>
    </font>
    <font>
      <name val="Calibri"/>
      <b val="1"/>
      <color rgb="FF666666"/>
      <sz val="11"/>
    </font>
    <font>
      <name val="Calibri"/>
      <color rgb="FF666666"/>
      <sz val="11"/>
    </font>
    <font>
      <name val="Calibri"/>
      <color rgb="FF0000FF"/>
      <sz val="11"/>
    </font>
    <font>
      <name val="Calibri"/>
      <b val="1"/>
      <color rgb="FFFFFFFF"/>
      <sz val="11"/>
    </font>
    <font>
      <name val="Calibri"/>
      <color rgb="FF008000"/>
      <sz val="11"/>
      <u val="single"/>
    </font>
    <font>
      <name val="Calibri"/>
      <color rgb="FF000000"/>
      <sz val="11"/>
    </font>
    <font>
      <name val="Calibri"/>
      <color rgb="FF008000"/>
      <sz val="11"/>
    </font>
    <font>
      <name val="Calibri"/>
      <b val="1"/>
      <sz val="11"/>
    </font>
    <font>
      <name val="Calibri"/>
      <b val="1"/>
      <color rgb="FFFFFFFF"/>
      <sz val="15"/>
    </font>
    <font>
      <name val="Calibri"/>
      <i val="1"/>
      <color rgb="FF404040"/>
      <sz val="10"/>
    </font>
    <font>
      <name val="Calibri"/>
      <b val="1"/>
      <color rgb="FFFFFFFF"/>
      <sz val="11"/>
    </font>
    <font>
      <name val="Calibri"/>
      <color rgb="FF008000"/>
      <sz val="11"/>
    </font>
    <font>
      <name val="Calibri"/>
      <color rgb="FF0000FF"/>
      <sz val="11"/>
    </font>
    <font>
      <name val="Calibri"/>
      <color rgb="FF666666"/>
      <sz val="11"/>
    </font>
    <font>
      <name val="Calibri"/>
      <i val="1"/>
      <color rgb="FF404040"/>
      <sz val="11"/>
    </font>
    <font>
      <b val="1"/>
      <color rgb="00FFFFFF"/>
    </font>
    <font>
      <b val="1"/>
      <sz val="14"/>
    </font>
    <font>
      <b val="1"/>
    </font>
    <font>
      <b val="1"/>
      <color rgb="00FFFFFF"/>
      <sz val="14"/>
    </font>
  </fonts>
  <fills count="20">
    <fill>
      <patternFill/>
    </fill>
    <fill>
      <patternFill patternType="gray125"/>
    </fill>
    <fill>
      <patternFill patternType="solid">
        <fgColor rgb="FF17365D"/>
      </patternFill>
    </fill>
    <fill>
      <patternFill patternType="solid">
        <fgColor rgb="FFF2F2F2"/>
      </patternFill>
    </fill>
    <fill>
      <patternFill patternType="solid">
        <fgColor rgb="FF1F4E78"/>
      </patternFill>
    </fill>
    <fill>
      <patternFill patternType="solid">
        <fgColor rgb="FF7030A0"/>
      </patternFill>
    </fill>
    <fill>
      <patternFill patternType="solid">
        <fgColor rgb="FFF4CCCC"/>
      </patternFill>
    </fill>
    <fill>
      <patternFill patternType="solid">
        <fgColor rgb="FF548235"/>
      </patternFill>
    </fill>
    <fill>
      <patternFill patternType="solid">
        <fgColor rgb="FFFFF2CC"/>
      </patternFill>
    </fill>
    <fill>
      <patternFill patternType="solid">
        <fgColor rgb="FFDDEBF7"/>
      </patternFill>
    </fill>
    <fill>
      <patternFill patternType="solid">
        <fgColor rgb="FF17365D"/>
      </patternFill>
    </fill>
    <fill>
      <patternFill patternType="solid">
        <fgColor rgb="FFEAF2F8"/>
      </patternFill>
    </fill>
    <fill>
      <patternFill patternType="solid">
        <fgColor rgb="FF0F8B8D"/>
      </patternFill>
    </fill>
    <fill>
      <patternFill patternType="solid">
        <fgColor rgb="FFFCE4D6"/>
      </patternFill>
    </fill>
    <fill>
      <patternFill patternType="solid">
        <fgColor rgb="FFE4DFEC"/>
      </patternFill>
    </fill>
    <fill>
      <patternFill patternType="solid">
        <fgColor rgb="FFF4CCCC"/>
      </patternFill>
    </fill>
    <fill>
      <patternFill patternType="solid">
        <fgColor rgb="FFE2F0D9"/>
      </patternFill>
    </fill>
    <fill>
      <patternFill patternType="solid">
        <fgColor rgb="001F4E78"/>
      </patternFill>
    </fill>
    <fill>
      <patternFill patternType="solid">
        <fgColor rgb="0017365D"/>
      </patternFill>
    </fill>
    <fill>
      <patternFill patternType="solid">
        <fgColor rgb="00D9EAF7"/>
      </patternFill>
    </fill>
  </fills>
  <borders count="3">
    <border>
      <left/>
      <right/>
      <top/>
      <bottom/>
      <diagonal/>
    </border>
    <border>
      <left/>
      <right/>
      <top/>
      <bottom style="medium">
        <color rgb="FF17365D"/>
      </bottom>
      <diagonal/>
    </border>
    <border>
      <left/>
      <right/>
      <top style="medium">
        <color rgb="FF17365D"/>
      </top>
      <bottom/>
      <diagonal/>
    </border>
  </borders>
  <cellStyleXfs count="1">
    <xf numFmtId="0" fontId="0" fillId="0" borderId="0"/>
  </cellStyleXfs>
  <cellXfs count="49">
    <xf numFmtId="0" fontId="0" fillId="0" borderId="0" pivotButton="0" quotePrefix="0" xfId="0"/>
    <xf numFmtId="0" fontId="6" fillId="4" borderId="1" applyAlignment="1" pivotButton="0" quotePrefix="0" xfId="0">
      <alignment vertical="center" wrapText="1"/>
    </xf>
    <xf numFmtId="0" fontId="6" fillId="4" borderId="0" pivotButton="0" quotePrefix="0" xfId="0"/>
    <xf numFmtId="0" fontId="3" fillId="3" borderId="0" pivotButton="0" quotePrefix="0" xfId="0"/>
    <xf numFmtId="0" fontId="4" fillId="0" borderId="0"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0" fillId="0" borderId="0" applyAlignment="1" pivotButton="0" quotePrefix="0" xfId="0">
      <alignment vertical="top" wrapText="1"/>
    </xf>
    <xf numFmtId="0" fontId="6" fillId="5" borderId="1" applyAlignment="1" pivotButton="0" quotePrefix="0" xfId="0">
      <alignment vertical="center" wrapText="1"/>
    </xf>
    <xf numFmtId="0" fontId="0" fillId="6" borderId="0" applyAlignment="1" pivotButton="0" quotePrefix="0" xfId="0">
      <alignment vertical="top" wrapText="1"/>
    </xf>
    <xf numFmtId="0" fontId="6" fillId="7" borderId="1" applyAlignment="1" pivotButton="0" quotePrefix="0" xfId="0">
      <alignment vertical="center" wrapText="1"/>
    </xf>
    <xf numFmtId="0" fontId="9" fillId="0" borderId="0" applyAlignment="1" pivotButton="0" quotePrefix="0" xfId="0">
      <alignment vertical="top" wrapText="1"/>
    </xf>
    <xf numFmtId="0" fontId="0" fillId="0" borderId="0" applyAlignment="1" pivotButton="0" quotePrefix="0" xfId="0">
      <alignment horizontal="center" vertical="center" wrapText="1"/>
    </xf>
    <xf numFmtId="0" fontId="10" fillId="0" borderId="0" pivotButton="0" quotePrefix="0" xfId="0"/>
    <xf numFmtId="0" fontId="0" fillId="9" borderId="0" pivotButton="0" quotePrefix="0" xfId="0"/>
    <xf numFmtId="0" fontId="13" fillId="12" borderId="0" applyAlignment="1" pivotButton="0" quotePrefix="0" xfId="0">
      <alignment horizontal="center" vertical="center" wrapText="1"/>
    </xf>
    <xf numFmtId="0" fontId="14" fillId="0" borderId="2" applyAlignment="1" pivotButton="0" quotePrefix="0" xfId="0">
      <alignment vertical="top" wrapText="1"/>
    </xf>
    <xf numFmtId="0" fontId="0" fillId="15" borderId="2" applyAlignment="1" pivotButton="0" quotePrefix="0" xfId="0">
      <alignment vertical="top" wrapText="1"/>
    </xf>
    <xf numFmtId="0" fontId="15" fillId="0" borderId="2" applyAlignment="1" pivotButton="0" quotePrefix="0" xfId="0">
      <alignment vertical="top" wrapText="1"/>
    </xf>
    <xf numFmtId="0" fontId="16" fillId="0" borderId="2" applyAlignment="1" pivotButton="0" quotePrefix="0" xfId="0">
      <alignment vertical="top" wrapText="1"/>
    </xf>
    <xf numFmtId="0" fontId="0" fillId="13" borderId="2" applyAlignment="1" pivotButton="0" quotePrefix="0" xfId="0">
      <alignment vertical="top" wrapText="1"/>
    </xf>
    <xf numFmtId="0" fontId="0" fillId="14" borderId="2" applyAlignment="1" pivotButton="0" quotePrefix="0" xfId="0">
      <alignment vertical="top" wrapText="1"/>
    </xf>
    <xf numFmtId="0" fontId="0" fillId="0" borderId="2" applyAlignment="1" pivotButton="0" quotePrefix="0" xfId="0">
      <alignment vertical="top" wrapText="1"/>
    </xf>
    <xf numFmtId="0" fontId="14" fillId="0" borderId="0" applyAlignment="1" pivotButton="0" quotePrefix="0" xfId="0">
      <alignment vertical="top" wrapText="1"/>
    </xf>
    <xf numFmtId="0" fontId="0" fillId="15"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0" fillId="16" borderId="0" applyAlignment="1" pivotButton="0" quotePrefix="0" xfId="0">
      <alignment vertical="top" wrapText="1"/>
    </xf>
    <xf numFmtId="0" fontId="13" fillId="12" borderId="0" applyAlignment="1" pivotButton="0" quotePrefix="0" xfId="0">
      <alignment horizontal="center" wrapText="1"/>
    </xf>
    <xf numFmtId="0" fontId="2" fillId="3" borderId="0" applyAlignment="1" pivotButton="0" quotePrefix="0" xfId="0">
      <alignment vertical="center" wrapText="1"/>
    </xf>
    <xf numFmtId="0" fontId="0" fillId="0" borderId="0" pivotButton="0" quotePrefix="0" xfId="0"/>
    <xf numFmtId="0" fontId="1" fillId="2" borderId="0" applyAlignment="1" pivotButton="0" quotePrefix="0" xfId="0">
      <alignment vertical="center"/>
    </xf>
    <xf numFmtId="0" fontId="11" fillId="10" borderId="0" applyAlignment="1" pivotButton="0" quotePrefix="0" xfId="0">
      <alignment horizontal="left"/>
    </xf>
    <xf numFmtId="0" fontId="12" fillId="11" borderId="0" applyAlignment="1" pivotButton="0" quotePrefix="0" xfId="0">
      <alignment vertical="center" wrapText="1"/>
    </xf>
    <xf numFmtId="0" fontId="11" fillId="10" borderId="0" pivotButton="0" quotePrefix="0" xfId="0"/>
    <xf numFmtId="0" fontId="17" fillId="11" borderId="0" pivotButton="0" quotePrefix="0" xfId="0"/>
    <xf numFmtId="0" fontId="6" fillId="4" borderId="0" pivotButton="0" quotePrefix="0" xfId="0"/>
    <xf numFmtId="0" fontId="0" fillId="8" borderId="0" applyAlignment="1" pivotButton="0" quotePrefix="0" xfId="0">
      <alignment vertical="top" wrapText="1"/>
    </xf>
    <xf numFmtId="0" fontId="18" fillId="17" borderId="0" applyAlignment="1" pivotButton="0" quotePrefix="0" xfId="0">
      <alignment vertical="top" wrapText="1"/>
    </xf>
    <xf numFmtId="0" fontId="19" fillId="0" borderId="0" pivotButton="0" quotePrefix="0" xfId="0"/>
    <xf numFmtId="0" fontId="20" fillId="0" borderId="0" applyAlignment="1" pivotButton="0" quotePrefix="0" xfId="0">
      <alignment vertical="top" wrapText="1"/>
    </xf>
    <xf numFmtId="0" fontId="18" fillId="18" borderId="0" applyAlignment="1" pivotButton="0" quotePrefix="0" xfId="0">
      <alignment horizontal="center" vertical="center" wrapText="1"/>
    </xf>
    <xf numFmtId="0" fontId="21" fillId="18" borderId="0" applyAlignment="1" pivotButton="0" quotePrefix="0" xfId="0">
      <alignment vertical="top" wrapText="1"/>
    </xf>
    <xf numFmtId="0" fontId="20" fillId="19" borderId="0" applyAlignment="1" pivotButton="0" quotePrefix="0" xfId="0">
      <alignment vertical="top" wrapText="1"/>
    </xf>
    <xf numFmtId="0" fontId="18" fillId="18" borderId="0" applyAlignment="1" pivotButton="0" quotePrefix="0" xfId="0">
      <alignment vertical="top" wrapText="1"/>
    </xf>
  </cellXfs>
  <cellStyles count="1">
    <cellStyle name="Normal" xfId="0" builtinId="0"/>
  </cellStyles>
  <dxfs count="2">
    <dxf>
      <fill>
        <patternFill patternType="solid">
          <fgColor rgb="FFF4CCCC"/>
        </patternFill>
      </fill>
    </dxf>
    <dxf>
      <fill>
        <patternFill patternType="solid">
          <f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Clarté360</author>
  </authors>
  <commentList>
    <comment ref="K5" authorId="0" shapeId="0">
      <text>
        <t>Formulation validée à partir du document de relecture : PIP_RIASEC_CLARTE360_BANQUE_EXPERIMENTALE_120_ITEMS_REVUE_V0_1.</t>
      </text>
    </comment>
    <comment ref="K6" authorId="0" shapeId="0">
      <text>
        <t>Formulation validée à partir du document de relecture : PIP_RIASEC_CLARTE360_BANQUE_EXPERIMENTALE_120_ITEMS_REVUE_V0_1.</t>
      </text>
    </comment>
    <comment ref="K7" authorId="0" shapeId="0">
      <text>
        <t>Formulation validée à partir du document de relecture : PIP_RIASEC_CLARTE360_BANQUE_EXPERIMENTALE_120_ITEMS_REVUE_V0_1.</t>
      </text>
    </comment>
    <comment ref="K8" authorId="0" shapeId="0">
      <text>
        <t>Formulation validée à partir du document de relecture : PIP_RIASEC_CLARTE360_BANQUE_EXPERIMENTALE_120_ITEMS_REVUE_V0_1.</t>
      </text>
    </comment>
    <comment ref="K9" authorId="0" shapeId="0">
      <text>
        <t>Formulation validée à partir du document de relecture : PIP_RIASEC_CLARTE360_BANQUE_EXPERIMENTALE_120_ITEMS_REVUE_V0_1.</t>
      </text>
    </comment>
    <comment ref="K10" authorId="0" shapeId="0">
      <text>
        <t>Formulation validée à partir du document de relecture : PIP_RIASEC_CLARTE360_BANQUE_EXPERIMENTALE_120_ITEMS_REVUE_V0_1.</t>
      </text>
    </comment>
    <comment ref="K11" authorId="0" shapeId="0">
      <text>
        <t>Formulation validée à partir du document de relecture : PIP_RIASEC_CLARTE360_BANQUE_EXPERIMENTALE_120_ITEMS_REVUE_V0_1.</t>
      </text>
    </comment>
    <comment ref="K12" authorId="0" shapeId="0">
      <text>
        <t>Formulation validée à partir du document de relecture : PIP_RIASEC_CLARTE360_BANQUE_EXPERIMENTALE_120_ITEMS_REVUE_V0_1.</t>
      </text>
    </comment>
    <comment ref="K13" authorId="0" shapeId="0">
      <text>
        <t>Formulation validée à partir du document de relecture : PIP_RIASEC_CLARTE360_BANQUE_EXPERIMENTALE_120_ITEMS_REVUE_V0_1.</t>
      </text>
    </comment>
    <comment ref="K14" authorId="0" shapeId="0">
      <text>
        <t>Formulation validée à partir du document de relecture : PIP_RIASEC_CLARTE360_BANQUE_EXPERIMENTALE_120_ITEMS_REVUE_V0_1.</t>
      </text>
    </comment>
    <comment ref="K15" authorId="0" shapeId="0">
      <text>
        <t>Formulation validée à partir du document de relecture : PIP_RIASEC_CLARTE360_BANQUE_EXPERIMENTALE_120_ITEMS_REVUE_V0_1.</t>
      </text>
    </comment>
    <comment ref="K16" authorId="0" shapeId="0">
      <text>
        <t>Formulation validée à partir du document de relecture : PIP_RIASEC_CLARTE360_BANQUE_EXPERIMENTALE_120_ITEMS_REVUE_V0_1.</t>
      </text>
    </comment>
    <comment ref="K17" authorId="0" shapeId="0">
      <text>
        <t>Formulation validée à partir du document de relecture : PIP_RIASEC_CLARTE360_BANQUE_EXPERIMENTALE_120_ITEMS_REVUE_V0_1.</t>
      </text>
    </comment>
    <comment ref="K18" authorId="0" shapeId="0">
      <text>
        <t>Formulation validée à partir du document de relecture : PIP_RIASEC_CLARTE360_BANQUE_EXPERIMENTALE_120_ITEMS_REVUE_V0_1.</t>
      </text>
    </comment>
    <comment ref="K19" authorId="0" shapeId="0">
      <text>
        <t>Formulation validée à partir du document de relecture : PIP_RIASEC_CLARTE360_BANQUE_EXPERIMENTALE_120_ITEMS_REVUE_V0_1.</t>
      </text>
    </comment>
    <comment ref="K20" authorId="0" shapeId="0">
      <text>
        <t>Formulation validée à partir du document de relecture : PIP_RIASEC_CLARTE360_BANQUE_EXPERIMENTALE_120_ITEMS_REVUE_V0_1.</t>
      </text>
    </comment>
    <comment ref="K21" authorId="0" shapeId="0">
      <text>
        <t>Formulation validée à partir du document de relecture : PIP_RIASEC_CLARTE360_BANQUE_EXPERIMENTALE_120_ITEMS_REVUE_V0_1.</t>
      </text>
    </comment>
    <comment ref="K22" authorId="0" shapeId="0">
      <text>
        <t>Formulation validée à partir du document de relecture : PIP_RIASEC_CLARTE360_BANQUE_EXPERIMENTALE_120_ITEMS_REVUE_V0_1.</t>
      </text>
    </comment>
    <comment ref="K23" authorId="0" shapeId="0">
      <text>
        <t>Formulation validée à partir du document de relecture : PIP_RIASEC_CLARTE360_BANQUE_EXPERIMENTALE_120_ITEMS_REVUE_V0_1.</t>
      </text>
    </comment>
    <comment ref="K24" authorId="0" shapeId="0">
      <text>
        <t>Formulation validée à partir du document de relecture : PIP_RIASEC_CLARTE360_BANQUE_EXPERIMENTALE_120_ITEMS_REVUE_V0_1.</t>
      </text>
    </comment>
    <comment ref="K25" authorId="0" shapeId="0">
      <text>
        <t>Formulation validée à partir du document de relecture : PIP_RIASEC_CLARTE360_BANQUE_EXPERIMENTALE_120_ITEMS_REVUE_V0_1.</t>
      </text>
    </comment>
    <comment ref="K26" authorId="0" shapeId="0">
      <text>
        <t>Formulation validée à partir du document de relecture : PIP_RIASEC_CLARTE360_BANQUE_EXPERIMENTALE_120_ITEMS_REVUE_V0_1.</t>
      </text>
    </comment>
    <comment ref="K27" authorId="0" shapeId="0">
      <text>
        <t>Formulation validée à partir du document de relecture : PIP_RIASEC_CLARTE360_BANQUE_EXPERIMENTALE_120_ITEMS_REVUE_V0_1.</t>
      </text>
    </comment>
    <comment ref="K28" authorId="0" shapeId="0">
      <text>
        <t>Formulation validée à partir du document de relecture : PIP_RIASEC_CLARTE360_BANQUE_EXPERIMENTALE_120_ITEMS_REVUE_V0_1.</t>
      </text>
    </comment>
    <comment ref="K29" authorId="0" shapeId="0">
      <text>
        <t>Formulation validée à partir du document de relecture : PIP_RIASEC_CLARTE360_BANQUE_EXPERIMENTALE_120_ITEMS_REVUE_V0_1.</t>
      </text>
    </comment>
    <comment ref="K30" authorId="0" shapeId="0">
      <text>
        <t>Formulation validée à partir du document de relecture : PIP_RIASEC_CLARTE360_BANQUE_EXPERIMENTALE_120_ITEMS_REVUE_V0_1.</t>
      </text>
    </comment>
    <comment ref="K31" authorId="0" shapeId="0">
      <text>
        <t>Formulation validée à partir du document de relecture : PIP_RIASEC_CLARTE360_BANQUE_EXPERIMENTALE_120_ITEMS_REVUE_V0_1.</t>
      </text>
    </comment>
    <comment ref="K32" authorId="0" shapeId="0">
      <text>
        <t>Formulation validée à partir du document de relecture : PIP_RIASEC_CLARTE360_BANQUE_EXPERIMENTALE_120_ITEMS_REVUE_V0_1.</t>
      </text>
    </comment>
    <comment ref="K33" authorId="0" shapeId="0">
      <text>
        <t>Formulation validée à partir du document de relecture : PIP_RIASEC_CLARTE360_BANQUE_EXPERIMENTALE_120_ITEMS_REVUE_V0_1.</t>
      </text>
    </comment>
    <comment ref="K34" authorId="0" shapeId="0">
      <text>
        <t>Formulation validée à partir du document de relecture : PIP_RIASEC_CLARTE360_BANQUE_EXPERIMENTALE_120_ITEMS_REVUE_V0_1.</t>
      </text>
    </comment>
    <comment ref="K35" authorId="0" shapeId="0">
      <text>
        <t>Formulation validée à partir du document de relecture : PIP_RIASEC_CLARTE360_BANQUE_EXPERIMENTALE_120_ITEMS_REVUE_V0_1.</t>
      </text>
    </comment>
    <comment ref="K36" authorId="0" shapeId="0">
      <text>
        <t>Formulation validée à partir du document de relecture : PIP_RIASEC_CLARTE360_BANQUE_EXPERIMENTALE_120_ITEMS_REVUE_V0_1.</t>
      </text>
    </comment>
    <comment ref="K37" authorId="0" shapeId="0">
      <text>
        <t>Formulation validée à partir du document de relecture : PIP_RIASEC_CLARTE360_BANQUE_EXPERIMENTALE_120_ITEMS_REVUE_V0_1.</t>
      </text>
    </comment>
    <comment ref="K38" authorId="0" shapeId="0">
      <text>
        <t>Formulation validée à partir du document de relecture : PIP_RIASEC_CLARTE360_BANQUE_EXPERIMENTALE_120_ITEMS_REVUE_V0_1.</t>
      </text>
    </comment>
    <comment ref="K39" authorId="0" shapeId="0">
      <text>
        <t>Formulation validée à partir du document de relecture : PIP_RIASEC_CLARTE360_BANQUE_EXPERIMENTALE_120_ITEMS_REVUE_V0_1.</t>
      </text>
    </comment>
    <comment ref="K40" authorId="0" shapeId="0">
      <text>
        <t>Formulation validée à partir du document de relecture : PIP_RIASEC_CLARTE360_BANQUE_EXPERIMENTALE_120_ITEMS_REVUE_V0_1.</t>
      </text>
    </comment>
    <comment ref="K41" authorId="0" shapeId="0">
      <text>
        <t>Formulation validée à partir du document de relecture : PIP_RIASEC_CLARTE360_BANQUE_EXPERIMENTALE_120_ITEMS_REVUE_V0_1.</t>
      </text>
    </comment>
    <comment ref="K42" authorId="0" shapeId="0">
      <text>
        <t>Formulation validée à partir du document de relecture : PIP_RIASEC_CLARTE360_BANQUE_EXPERIMENTALE_120_ITEMS_REVUE_V0_1.</t>
      </text>
    </comment>
    <comment ref="K43" authorId="0" shapeId="0">
      <text>
        <t>Formulation validée à partir du document de relecture : PIP_RIASEC_CLARTE360_BANQUE_EXPERIMENTALE_120_ITEMS_REVUE_V0_1.</t>
      </text>
    </comment>
    <comment ref="K44" authorId="0" shapeId="0">
      <text>
        <t>Formulation validée à partir du document de relecture : PIP_RIASEC_CLARTE360_BANQUE_EXPERIMENTALE_120_ITEMS_REVUE_V0_1.</t>
      </text>
    </comment>
    <comment ref="K45" authorId="0" shapeId="0">
      <text>
        <t>Formulation validée à partir du document de relecture : PIP_RIASEC_CLARTE360_BANQUE_EXPERIMENTALE_120_ITEMS_REVUE_V0_1.</t>
      </text>
    </comment>
    <comment ref="K46" authorId="0" shapeId="0">
      <text>
        <t>Formulation validée à partir du document de relecture : PIP_RIASEC_CLARTE360_BANQUE_EXPERIMENTALE_120_ITEMS_REVUE_V0_1.</t>
      </text>
    </comment>
    <comment ref="K47" authorId="0" shapeId="0">
      <text>
        <t>Formulation validée à partir du document de relecture : PIP_RIASEC_CLARTE360_BANQUE_EXPERIMENTALE_120_ITEMS_REVUE_V0_1.</t>
      </text>
    </comment>
    <comment ref="K48" authorId="0" shapeId="0">
      <text>
        <t>Formulation validée à partir du document de relecture : PIP_RIASEC_CLARTE360_BANQUE_EXPERIMENTALE_120_ITEMS_REVUE_V0_1.</t>
      </text>
    </comment>
    <comment ref="K49" authorId="0" shapeId="0">
      <text>
        <t>Formulation validée à partir du document de relecture : PIP_RIASEC_CLARTE360_BANQUE_EXPERIMENTALE_120_ITEMS_REVUE_V0_1.</t>
      </text>
    </comment>
    <comment ref="K50" authorId="0" shapeId="0">
      <text>
        <t>Formulation validée à partir du document de relecture : PIP_RIASEC_CLARTE360_BANQUE_EXPERIMENTALE_120_ITEMS_REVUE_V0_1.</t>
      </text>
    </comment>
    <comment ref="K51" authorId="0" shapeId="0">
      <text>
        <t>Formulation validée à partir du document de relecture : PIP_RIASEC_CLARTE360_BANQUE_EXPERIMENTALE_120_ITEMS_REVUE_V0_1.</t>
      </text>
    </comment>
    <comment ref="K52" authorId="0" shapeId="0">
      <text>
        <t>Formulation validée à partir du document de relecture : PIP_RIASEC_CLARTE360_BANQUE_EXPERIMENTALE_120_ITEMS_REVUE_V0_1.</t>
      </text>
    </comment>
    <comment ref="K53" authorId="0" shapeId="0">
      <text>
        <t>Formulation validée à partir du document de relecture : PIP_RIASEC_CLARTE360_BANQUE_EXPERIMENTALE_120_ITEMS_REVUE_V0_1.</t>
      </text>
    </comment>
    <comment ref="K54" authorId="0" shapeId="0">
      <text>
        <t>Formulation validée à partir du document de relecture : PIP_RIASEC_CLARTE360_BANQUE_EXPERIMENTALE_120_ITEMS_REVUE_V0_1.</t>
      </text>
    </comment>
    <comment ref="K55" authorId="0" shapeId="0">
      <text>
        <t>Formulation validée à partir du document de relecture : PIP_RIASEC_CLARTE360_BANQUE_EXPERIMENTALE_120_ITEMS_REVUE_V0_1.</t>
      </text>
    </comment>
    <comment ref="K56" authorId="0" shapeId="0">
      <text>
        <t>Formulation validée à partir du document de relecture : PIP_RIASEC_CLARTE360_BANQUE_EXPERIMENTALE_120_ITEMS_REVUE_V0_1.</t>
      </text>
    </comment>
    <comment ref="K57" authorId="0" shapeId="0">
      <text>
        <t>Formulation validée à partir du document de relecture : PIP_RIASEC_CLARTE360_BANQUE_EXPERIMENTALE_120_ITEMS_REVUE_V0_1.</t>
      </text>
    </comment>
    <comment ref="K58" authorId="0" shapeId="0">
      <text>
        <t>Formulation validée à partir du document de relecture : PIP_RIASEC_CLARTE360_BANQUE_EXPERIMENTALE_120_ITEMS_REVUE_V0_1.</t>
      </text>
    </comment>
    <comment ref="K59" authorId="0" shapeId="0">
      <text>
        <t>Formulation validée à partir du document de relecture : PIP_RIASEC_CLARTE360_BANQUE_EXPERIMENTALE_120_ITEMS_REVUE_V0_1.</t>
      </text>
    </comment>
    <comment ref="K60" authorId="0" shapeId="0">
      <text>
        <t>Formulation validée à partir du document de relecture : PIP_RIASEC_CLARTE360_BANQUE_EXPERIMENTALE_120_ITEMS_REVUE_V0_1.</t>
      </text>
    </comment>
    <comment ref="K61" authorId="0" shapeId="0">
      <text>
        <t>Formulation validée à partir du document de relecture : PIP_RIASEC_CLARTE360_BANQUE_EXPERIMENTALE_120_ITEMS_REVUE_V0_1.</t>
      </text>
    </comment>
    <comment ref="K62" authorId="0" shapeId="0">
      <text>
        <t>Formulation validée à partir du document de relecture : PIP_RIASEC_CLARTE360_BANQUE_EXPERIMENTALE_120_ITEMS_REVUE_V0_1.</t>
      </text>
    </comment>
    <comment ref="K63" authorId="0" shapeId="0">
      <text>
        <t>Formulation validée à partir du document de relecture : PIP_RIASEC_CLARTE360_BANQUE_EXPERIMENTALE_120_ITEMS_REVUE_V0_1.</t>
      </text>
    </comment>
    <comment ref="K64" authorId="0" shapeId="0">
      <text>
        <t>Formulation validée à partir du document de relecture : PIP_RIASEC_CLARTE360_BANQUE_EXPERIMENTALE_120_ITEMS_REVUE_V0_1.</t>
      </text>
    </comment>
    <comment ref="K65" authorId="0" shapeId="0">
      <text>
        <t>Formulation validée à partir du document de relecture : PIP_RIASEC_CLARTE360_BANQUE_EXPERIMENTALE_120_ITEMS_REVUE_V0_1.</t>
      </text>
    </comment>
    <comment ref="K66" authorId="0" shapeId="0">
      <text>
        <t>Formulation validée à partir du document de relecture : PIP_RIASEC_CLARTE360_BANQUE_EXPERIMENTALE_120_ITEMS_REVUE_V0_1.</t>
      </text>
    </comment>
    <comment ref="K67" authorId="0" shapeId="0">
      <text>
        <t>Formulation validée à partir du document de relecture : PIP_RIASEC_CLARTE360_BANQUE_EXPERIMENTALE_120_ITEMS_REVUE_V0_1.</t>
      </text>
    </comment>
    <comment ref="K68" authorId="0" shapeId="0">
      <text>
        <t>Formulation validée à partir du document de relecture : PIP_RIASEC_CLARTE360_BANQUE_EXPERIMENTALE_120_ITEMS_REVUE_V0_1.</t>
      </text>
    </comment>
    <comment ref="K69" authorId="0" shapeId="0">
      <text>
        <t>Formulation validée à partir du document de relecture : PIP_RIASEC_CLARTE360_BANQUE_EXPERIMENTALE_120_ITEMS_REVUE_V0_1.</t>
      </text>
    </comment>
    <comment ref="K70" authorId="0" shapeId="0">
      <text>
        <t>Formulation validée à partir du document de relecture : PIP_RIASEC_CLARTE360_BANQUE_EXPERIMENTALE_120_ITEMS_REVUE_V0_1.</t>
      </text>
    </comment>
    <comment ref="K71" authorId="0" shapeId="0">
      <text>
        <t>Formulation validée à partir du document de relecture : PIP_RIASEC_CLARTE360_BANQUE_EXPERIMENTALE_120_ITEMS_REVUE_V0_1.</t>
      </text>
    </comment>
    <comment ref="K72" authorId="0" shapeId="0">
      <text>
        <t>Formulation validée à partir du document de relecture : PIP_RIASEC_CLARTE360_BANQUE_EXPERIMENTALE_120_ITEMS_REVUE_V0_1.</t>
      </text>
    </comment>
    <comment ref="K73" authorId="0" shapeId="0">
      <text>
        <t>Formulation validée à partir du document de relecture : PIP_RIASEC_CLARTE360_BANQUE_EXPERIMENTALE_120_ITEMS_REVUE_V0_1.</t>
      </text>
    </comment>
    <comment ref="K74" authorId="0" shapeId="0">
      <text>
        <t>Formulation validée à partir du document de relecture : PIP_RIASEC_CLARTE360_BANQUE_EXPERIMENTALE_120_ITEMS_REVUE_V0_1.</t>
      </text>
    </comment>
    <comment ref="K75" authorId="0" shapeId="0">
      <text>
        <t>Formulation validée à partir du document de relecture : PIP_RIASEC_CLARTE360_BANQUE_EXPERIMENTALE_120_ITEMS_REVUE_V0_1.</t>
      </text>
    </comment>
    <comment ref="K76" authorId="0" shapeId="0">
      <text>
        <t>Formulation validée à partir du document de relecture : PIP_RIASEC_CLARTE360_BANQUE_EXPERIMENTALE_120_ITEMS_REVUE_V0_1.</t>
      </text>
    </comment>
    <comment ref="K77" authorId="0" shapeId="0">
      <text>
        <t>Formulation validée à partir du document de relecture : PIP_RIASEC_CLARTE360_BANQUE_EXPERIMENTALE_120_ITEMS_REVUE_V0_1.</t>
      </text>
    </comment>
    <comment ref="K78" authorId="0" shapeId="0">
      <text>
        <t>Formulation validée à partir du document de relecture : PIP_RIASEC_CLARTE360_BANQUE_EXPERIMENTALE_120_ITEMS_REVUE_V0_1.</t>
      </text>
    </comment>
    <comment ref="K79" authorId="0" shapeId="0">
      <text>
        <t>Formulation validée à partir du document de relecture : PIP_RIASEC_CLARTE360_BANQUE_EXPERIMENTALE_120_ITEMS_REVUE_V0_1.</t>
      </text>
    </comment>
    <comment ref="K80" authorId="0" shapeId="0">
      <text>
        <t>Formulation validée à partir du document de relecture : PIP_RIASEC_CLARTE360_BANQUE_EXPERIMENTALE_120_ITEMS_REVUE_V0_1.</t>
      </text>
    </comment>
    <comment ref="K81" authorId="0" shapeId="0">
      <text>
        <t>Formulation validée à partir du document de relecture : PIP_RIASEC_CLARTE360_BANQUE_EXPERIMENTALE_120_ITEMS_REVUE_V0_1.</t>
      </text>
    </comment>
    <comment ref="K82" authorId="0" shapeId="0">
      <text>
        <t>Formulation validée à partir du document de relecture : PIP_RIASEC_CLARTE360_BANQUE_EXPERIMENTALE_120_ITEMS_REVUE_V0_1.</t>
      </text>
    </comment>
    <comment ref="K83" authorId="0" shapeId="0">
      <text>
        <t>Formulation validée à partir du document de relecture : PIP_RIASEC_CLARTE360_BANQUE_EXPERIMENTALE_120_ITEMS_REVUE_V0_1.</t>
      </text>
    </comment>
    <comment ref="K84" authorId="0" shapeId="0">
      <text>
        <t>Formulation validée à partir du document de relecture : PIP_RIASEC_CLARTE360_BANQUE_EXPERIMENTALE_120_ITEMS_REVUE_V0_1.</t>
      </text>
    </comment>
    <comment ref="K85" authorId="0" shapeId="0">
      <text>
        <t>Formulation validée à partir du document de relecture : PIP_RIASEC_CLARTE360_BANQUE_EXPERIMENTALE_120_ITEMS_REVUE_V0_1.</t>
      </text>
    </comment>
    <comment ref="K86" authorId="0" shapeId="0">
      <text>
        <t>Formulation validée à partir du document de relecture : PIP_RIASEC_CLARTE360_BANQUE_EXPERIMENTALE_120_ITEMS_REVUE_V0_1.</t>
      </text>
    </comment>
    <comment ref="K87" authorId="0" shapeId="0">
      <text>
        <t>Formulation validée à partir du document de relecture : PIP_RIASEC_CLARTE360_BANQUE_EXPERIMENTALE_120_ITEMS_REVUE_V0_1.</t>
      </text>
    </comment>
    <comment ref="K88" authorId="0" shapeId="0">
      <text>
        <t>Formulation validée à partir du document de relecture : PIP_RIASEC_CLARTE360_BANQUE_EXPERIMENTALE_120_ITEMS_REVUE_V0_1.</t>
      </text>
    </comment>
    <comment ref="K89" authorId="0" shapeId="0">
      <text>
        <t>Formulation validée à partir du document de relecture : PIP_RIASEC_CLARTE360_BANQUE_EXPERIMENTALE_120_ITEMS_REVUE_V0_1.</t>
      </text>
    </comment>
    <comment ref="K90" authorId="0" shapeId="0">
      <text>
        <t>Formulation validée à partir du document de relecture : PIP_RIASEC_CLARTE360_BANQUE_EXPERIMENTALE_120_ITEMS_REVUE_V0_1.</t>
      </text>
    </comment>
    <comment ref="K91" authorId="0" shapeId="0">
      <text>
        <t>Formulation validée à partir du document de relecture : PIP_RIASEC_CLARTE360_BANQUE_EXPERIMENTALE_120_ITEMS_REVUE_V0_1.</t>
      </text>
    </comment>
    <comment ref="K92" authorId="0" shapeId="0">
      <text>
        <t>Formulation validée à partir du document de relecture : PIP_RIASEC_CLARTE360_BANQUE_EXPERIMENTALE_120_ITEMS_REVUE_V0_1.</t>
      </text>
    </comment>
    <comment ref="K93" authorId="0" shapeId="0">
      <text>
        <t>Formulation validée à partir du document de relecture : PIP_RIASEC_CLARTE360_BANQUE_EXPERIMENTALE_120_ITEMS_REVUE_V0_1.</t>
      </text>
    </comment>
    <comment ref="K94" authorId="0" shapeId="0">
      <text>
        <t>Formulation validée à partir du document de relecture : PIP_RIASEC_CLARTE360_BANQUE_EXPERIMENTALE_120_ITEMS_REVUE_V0_1.</t>
      </text>
    </comment>
    <comment ref="K95" authorId="0" shapeId="0">
      <text>
        <t>Formulation validée à partir du document de relecture : PIP_RIASEC_CLARTE360_BANQUE_EXPERIMENTALE_120_ITEMS_REVUE_V0_1.</t>
      </text>
    </comment>
    <comment ref="K96" authorId="0" shapeId="0">
      <text>
        <t>Formulation validée à partir du document de relecture : PIP_RIASEC_CLARTE360_BANQUE_EXPERIMENTALE_120_ITEMS_REVUE_V0_1.</t>
      </text>
    </comment>
    <comment ref="K97" authorId="0" shapeId="0">
      <text>
        <t>Formulation validée à partir du document de relecture : PIP_RIASEC_CLARTE360_BANQUE_EXPERIMENTALE_120_ITEMS_REVUE_V0_1.</t>
      </text>
    </comment>
    <comment ref="K98" authorId="0" shapeId="0">
      <text>
        <t>Formulation validée à partir du document de relecture : PIP_RIASEC_CLARTE360_BANQUE_EXPERIMENTALE_120_ITEMS_REVUE_V0_1.</t>
      </text>
    </comment>
    <comment ref="K99" authorId="0" shapeId="0">
      <text>
        <t>Formulation validée à partir du document de relecture : PIP_RIASEC_CLARTE360_BANQUE_EXPERIMENTALE_120_ITEMS_REVUE_V0_1.</t>
      </text>
    </comment>
    <comment ref="K100" authorId="0" shapeId="0">
      <text>
        <t>Formulation validée à partir du document de relecture : PIP_RIASEC_CLARTE360_BANQUE_EXPERIMENTALE_120_ITEMS_REVUE_V0_1.</t>
      </text>
    </comment>
    <comment ref="K101" authorId="0" shapeId="0">
      <text>
        <t>Formulation validée à partir du document de relecture : PIP_RIASEC_CLARTE360_BANQUE_EXPERIMENTALE_120_ITEMS_REVUE_V0_1.</t>
      </text>
    </comment>
    <comment ref="K102" authorId="0" shapeId="0">
      <text>
        <t>Formulation validée à partir du document de relecture : PIP_RIASEC_CLARTE360_BANQUE_EXPERIMENTALE_120_ITEMS_REVUE_V0_1.</t>
      </text>
    </comment>
    <comment ref="K103" authorId="0" shapeId="0">
      <text>
        <t>Formulation validée à partir du document de relecture : PIP_RIASEC_CLARTE360_BANQUE_EXPERIMENTALE_120_ITEMS_REVUE_V0_1.</t>
      </text>
    </comment>
    <comment ref="K104" authorId="0" shapeId="0">
      <text>
        <t>Formulation validée à partir du document de relecture : PIP_RIASEC_CLARTE360_BANQUE_EXPERIMENTALE_120_ITEMS_REVUE_V0_1.</t>
      </text>
    </comment>
    <comment ref="K105" authorId="0" shapeId="0">
      <text>
        <t>Formulation validée à partir du document de relecture : PIP_RIASEC_CLARTE360_BANQUE_EXPERIMENTALE_120_ITEMS_REVUE_V0_1.</t>
      </text>
    </comment>
    <comment ref="K106" authorId="0" shapeId="0">
      <text>
        <t>Formulation validée à partir du document de relecture : PIP_RIASEC_CLARTE360_BANQUE_EXPERIMENTALE_120_ITEMS_REVUE_V0_1.</t>
      </text>
    </comment>
    <comment ref="K107" authorId="0" shapeId="0">
      <text>
        <t>Formulation validée à partir du document de relecture : PIP_RIASEC_CLARTE360_BANQUE_EXPERIMENTALE_120_ITEMS_REVUE_V0_1.</t>
      </text>
    </comment>
    <comment ref="K108" authorId="0" shapeId="0">
      <text>
        <t>Formulation validée à partir du document de relecture : PIP_RIASEC_CLARTE360_BANQUE_EXPERIMENTALE_120_ITEMS_REVUE_V0_1.</t>
      </text>
    </comment>
    <comment ref="K109" authorId="0" shapeId="0">
      <text>
        <t>Formulation validée à partir du document de relecture : PIP_RIASEC_CLARTE360_BANQUE_EXPERIMENTALE_120_ITEMS_REVUE_V0_1.</t>
      </text>
    </comment>
    <comment ref="K110" authorId="0" shapeId="0">
      <text>
        <t>Formulation validée à partir du document de relecture : PIP_RIASEC_CLARTE360_BANQUE_EXPERIMENTALE_120_ITEMS_REVUE_V0_1.</t>
      </text>
    </comment>
    <comment ref="K111" authorId="0" shapeId="0">
      <text>
        <t>Formulation validée à partir du document de relecture : PIP_RIASEC_CLARTE360_BANQUE_EXPERIMENTALE_120_ITEMS_REVUE_V0_1.</t>
      </text>
    </comment>
    <comment ref="K112" authorId="0" shapeId="0">
      <text>
        <t>Formulation validée à partir du document de relecture : PIP_RIASEC_CLARTE360_BANQUE_EXPERIMENTALE_120_ITEMS_REVUE_V0_1.</t>
      </text>
    </comment>
    <comment ref="K113" authorId="0" shapeId="0">
      <text>
        <t>Formulation validée à partir du document de relecture : PIP_RIASEC_CLARTE360_BANQUE_EXPERIMENTALE_120_ITEMS_REVUE_V0_1.</t>
      </text>
    </comment>
    <comment ref="K114" authorId="0" shapeId="0">
      <text>
        <t>Formulation validée à partir du document de relecture : PIP_RIASEC_CLARTE360_BANQUE_EXPERIMENTALE_120_ITEMS_REVUE_V0_1.</t>
      </text>
    </comment>
    <comment ref="K115" authorId="0" shapeId="0">
      <text>
        <t>Formulation validée à partir du document de relecture : PIP_RIASEC_CLARTE360_BANQUE_EXPERIMENTALE_120_ITEMS_REVUE_V0_1.</t>
      </text>
    </comment>
    <comment ref="K116" authorId="0" shapeId="0">
      <text>
        <t>Formulation validée à partir du document de relecture : PIP_RIASEC_CLARTE360_BANQUE_EXPERIMENTALE_120_ITEMS_REVUE_V0_1.</t>
      </text>
    </comment>
    <comment ref="K117" authorId="0" shapeId="0">
      <text>
        <t>Formulation validée à partir du document de relecture : PIP_RIASEC_CLARTE360_BANQUE_EXPERIMENTALE_120_ITEMS_REVUE_V0_1.</t>
      </text>
    </comment>
    <comment ref="K118" authorId="0" shapeId="0">
      <text>
        <t>Formulation validée à partir du document de relecture : PIP_RIASEC_CLARTE360_BANQUE_EXPERIMENTALE_120_ITEMS_REVUE_V0_1.</t>
      </text>
    </comment>
    <comment ref="K119" authorId="0" shapeId="0">
      <text>
        <t>Formulation validée à partir du document de relecture : PIP_RIASEC_CLARTE360_BANQUE_EXPERIMENTALE_120_ITEMS_REVUE_V0_1.</t>
      </text>
    </comment>
    <comment ref="K120" authorId="0" shapeId="0">
      <text>
        <t>Formulation validée à partir du document de relecture : PIP_RIASEC_CLARTE360_BANQUE_EXPERIMENTALE_120_ITEMS_REVUE_V0_1.</t>
      </text>
    </comment>
    <comment ref="K121" authorId="0" shapeId="0">
      <text>
        <t>Formulation validée à partir du document de relecture : PIP_RIASEC_CLARTE360_BANQUE_EXPERIMENTALE_120_ITEMS_REVUE_V0_1.</t>
      </text>
    </comment>
    <comment ref="K122" authorId="0" shapeId="0">
      <text>
        <t>Formulation validée à partir du document de relecture : PIP_RIASEC_CLARTE360_BANQUE_EXPERIMENTALE_120_ITEMS_REVUE_V0_1.</t>
      </text>
    </comment>
    <comment ref="K123" authorId="0" shapeId="0">
      <text>
        <t>Formulation validée à partir du document de relecture : PIP_RIASEC_CLARTE360_BANQUE_EXPERIMENTALE_120_ITEMS_REVUE_V0_1.</t>
      </text>
    </comment>
    <comment ref="K124" authorId="0" shapeId="0">
      <text>
        <t>Formulation validée à partir du document de relecture : PIP_RIASEC_CLARTE360_BANQUE_EXPERIMENTALE_120_ITEMS_REVUE_V0_1.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73"/>
  <sheetViews>
    <sheetView showGridLines="0" workbookViewId="0">
      <pane ySplit="1" topLeftCell="A2" activePane="bottomLeft" state="frozen"/>
      <selection pane="bottomLeft" activeCell="A1" sqref="A1"/>
    </sheetView>
  </sheetViews>
  <sheetFormatPr baseColWidth="8" defaultRowHeight="15"/>
  <cols>
    <col width="8" customWidth="1" style="34" min="1" max="1"/>
    <col width="28" customWidth="1" style="34" min="2" max="2"/>
    <col width="11" customWidth="1" style="34" min="3" max="3"/>
    <col width="11" customWidth="1" style="34" min="4" max="4"/>
    <col width="10" customWidth="1" style="34" min="5" max="5"/>
    <col width="78" customWidth="1" style="34" min="6" max="6"/>
    <col width="13" customWidth="1" style="34" min="7" max="7"/>
    <col width="18" customWidth="1" style="34" min="8" max="8"/>
    <col width="12" customWidth="1" style="34" min="9" max="9"/>
    <col width="18" customWidth="1" style="34" min="10" max="10"/>
    <col width="20" customWidth="1" style="34" min="11" max="11"/>
    <col width="24" customWidth="1" style="34" min="12" max="12"/>
    <col width="54" customWidth="1" style="34" min="13" max="13"/>
  </cols>
  <sheetData>
    <row r="1" ht="32" customHeight="1" s="34">
      <c r="A1" s="45" t="inlineStr">
        <is>
          <t>ordre</t>
        </is>
      </c>
      <c r="B1" s="45" t="inlineStr">
        <is>
          <t>item_id</t>
        </is>
      </c>
      <c r="C1" s="45" t="inlineStr">
        <is>
          <t>dimension</t>
        </is>
      </c>
      <c r="D1" s="45" t="inlineStr">
        <is>
          <t>facette</t>
        </is>
      </c>
      <c r="E1" s="45" t="inlineStr">
        <is>
          <t>bloc</t>
        </is>
      </c>
      <c r="F1" s="45" t="inlineStr">
        <is>
          <t>question_finale</t>
        </is>
      </c>
      <c r="G1" s="45" t="inlineStr">
        <is>
          <t>item_version</t>
        </is>
      </c>
      <c r="H1" s="45" t="inlineStr">
        <is>
          <t>bank_version</t>
        </is>
      </c>
      <c r="I1" s="45" t="inlineStr">
        <is>
          <t>statut</t>
        </is>
      </c>
      <c r="J1" s="45" t="inlineStr">
        <is>
          <t>risque_hybridite</t>
        </is>
      </c>
      <c r="K1" s="45" t="inlineStr">
        <is>
          <t>risque_desirabilite</t>
        </is>
      </c>
      <c r="L1" s="45" t="inlineStr">
        <is>
          <t>risque_familiarite_sectorielle</t>
        </is>
      </c>
      <c r="M1" s="45" t="inlineStr">
        <is>
          <t>note_methodologique</t>
        </is>
      </c>
    </row>
    <row r="2" ht="48" customHeight="1" s="34">
      <c r="A2" s="9" t="n">
        <v>1</v>
      </c>
      <c r="B2" s="9" t="inlineStr">
        <is>
          <t>PIP-ACT-R-R1-001</t>
        </is>
      </c>
      <c r="C2" s="9" t="inlineStr">
        <is>
          <t>R</t>
        </is>
      </c>
      <c r="D2" s="9" t="inlineStr">
        <is>
          <t>R1</t>
        </is>
      </c>
      <c r="E2" s="9" t="inlineStr">
        <is>
          <t>ACT</t>
        </is>
      </c>
      <c r="F2" s="44" t="inlineStr">
        <is>
          <t>Assembler plusieurs pièces pour obtenir un objet solide et utilisable.</t>
        </is>
      </c>
      <c r="G2" s="9" t="inlineStr">
        <is>
          <t>0.6</t>
        </is>
      </c>
      <c r="H2" s="9" t="inlineStr">
        <is>
          <t>PIP-BANK-0.5</t>
        </is>
      </c>
      <c r="I2" s="9" t="inlineStr">
        <is>
          <t>ACTIF</t>
        </is>
      </c>
      <c r="J2" s="9" t="inlineStr">
        <is>
          <t>FAIBLE</t>
        </is>
      </c>
      <c r="K2" s="9" t="inlineStr">
        <is>
          <t>FAIBLE</t>
        </is>
      </c>
      <c r="L2" s="9" t="inlineStr">
        <is>
          <t>MOYEN</t>
        </is>
      </c>
      <c r="M2" s="9" t="inlineStr">
        <is>
          <t>Activité professionnelle formulée à l’infinitif ; réponse = degré d’envie de réaliser cette activité, indépendamment du métier actuel et de la compétence perçue.</t>
        </is>
      </c>
    </row>
    <row r="3" ht="48" customHeight="1" s="34">
      <c r="A3" s="9" t="n">
        <v>2</v>
      </c>
      <c r="B3" s="9" t="inlineStr">
        <is>
          <t>PIP-ACT-R-R1-002</t>
        </is>
      </c>
      <c r="C3" s="9" t="inlineStr">
        <is>
          <t>R</t>
        </is>
      </c>
      <c r="D3" s="9" t="inlineStr">
        <is>
          <t>R1</t>
        </is>
      </c>
      <c r="E3" s="9" t="inlineStr">
        <is>
          <t>ACT</t>
        </is>
      </c>
      <c r="F3" s="44" t="inlineStr">
        <is>
          <t>Façonner du bois, du métal ou un autre matériau pour lui donner une forme précise et utile.</t>
        </is>
      </c>
      <c r="G3" s="9" t="inlineStr">
        <is>
          <t>0.6</t>
        </is>
      </c>
      <c r="H3" s="9" t="inlineStr">
        <is>
          <t>PIP-BANK-0.5</t>
        </is>
      </c>
      <c r="I3" s="9" t="inlineStr">
        <is>
          <t>ACTIF</t>
        </is>
      </c>
      <c r="J3" s="9" t="inlineStr">
        <is>
          <t>FAIBLE</t>
        </is>
      </c>
      <c r="K3" s="9" t="inlineStr">
        <is>
          <t>FAIBLE</t>
        </is>
      </c>
      <c r="L3" s="9" t="inlineStr">
        <is>
          <t>MOYEN</t>
        </is>
      </c>
      <c r="M3" s="9" t="inlineStr">
        <is>
          <t>Activité professionnelle formulée à l’infinitif ; réponse = degré d’envie de réaliser cette activité, indépendamment du métier actuel et de la compétence perçue.</t>
        </is>
      </c>
    </row>
    <row r="4" ht="48" customHeight="1" s="34">
      <c r="A4" s="9" t="n">
        <v>3</v>
      </c>
      <c r="B4" s="9" t="inlineStr">
        <is>
          <t>PIP-SIT-R-R1-003</t>
        </is>
      </c>
      <c r="C4" s="9" t="inlineStr">
        <is>
          <t>R</t>
        </is>
      </c>
      <c r="D4" s="9" t="inlineStr">
        <is>
          <t>R1</t>
        </is>
      </c>
      <c r="E4" s="9" t="inlineStr">
        <is>
          <t>SIT</t>
        </is>
      </c>
      <c r="F4" s="44" t="inlineStr">
        <is>
          <t>Construire concrètement une petite structure à partir d’éléments séparés.</t>
        </is>
      </c>
      <c r="G4" s="9" t="inlineStr">
        <is>
          <t>0.6</t>
        </is>
      </c>
      <c r="H4" s="9" t="inlineStr">
        <is>
          <t>PIP-BANK-0.5</t>
        </is>
      </c>
      <c r="I4" s="9" t="inlineStr">
        <is>
          <t>ACTIF</t>
        </is>
      </c>
      <c r="J4" s="9" t="inlineStr">
        <is>
          <t>FAIBLE</t>
        </is>
      </c>
      <c r="K4" s="9" t="inlineStr">
        <is>
          <t>FAIBLE</t>
        </is>
      </c>
      <c r="L4" s="9" t="inlineStr">
        <is>
          <t>MOYEN</t>
        </is>
      </c>
      <c r="M4" s="9" t="inlineStr">
        <is>
          <t>Activité professionnelle formulée à l’infinitif ; réponse = degré d’envie de réaliser cette activité, indépendamment du métier actuel et de la compétence perçue.</t>
        </is>
      </c>
    </row>
    <row r="5" ht="48" customHeight="1" s="34">
      <c r="A5" s="9" t="n">
        <v>4</v>
      </c>
      <c r="B5" s="9" t="inlineStr">
        <is>
          <t>PIP-ACT-R-R2-005</t>
        </is>
      </c>
      <c r="C5" s="9" t="inlineStr">
        <is>
          <t>R</t>
        </is>
      </c>
      <c r="D5" s="9" t="inlineStr">
        <is>
          <t>R2</t>
        </is>
      </c>
      <c r="E5" s="9" t="inlineStr">
        <is>
          <t>ACT</t>
        </is>
      </c>
      <c r="F5" s="44" t="inlineStr">
        <is>
          <t>Installer un appareil ou un équipement puis vérifier qu’il fonctionne correctement.</t>
        </is>
      </c>
      <c r="G5" s="9" t="inlineStr">
        <is>
          <t>0.6</t>
        </is>
      </c>
      <c r="H5" s="9" t="inlineStr">
        <is>
          <t>PIP-BANK-0.5</t>
        </is>
      </c>
      <c r="I5" s="9" t="inlineStr">
        <is>
          <t>ACTIF</t>
        </is>
      </c>
      <c r="J5" s="9" t="inlineStr">
        <is>
          <t>FAIBLE</t>
        </is>
      </c>
      <c r="K5" s="9" t="inlineStr">
        <is>
          <t>FAIBLE</t>
        </is>
      </c>
      <c r="L5" s="9" t="inlineStr">
        <is>
          <t>MOYEN</t>
        </is>
      </c>
      <c r="M5" s="9" t="inlineStr">
        <is>
          <t>Activité professionnelle formulée à l’infinitif ; réponse = degré d’envie de réaliser cette activité, indépendamment du métier actuel et de la compétence perçue.</t>
        </is>
      </c>
    </row>
    <row r="6" ht="48" customHeight="1" s="34">
      <c r="A6" s="9" t="n">
        <v>5</v>
      </c>
      <c r="B6" s="9" t="inlineStr">
        <is>
          <t>PIP-ACT-R-R2-006</t>
        </is>
      </c>
      <c r="C6" s="9" t="inlineStr">
        <is>
          <t>R</t>
        </is>
      </c>
      <c r="D6" s="9" t="inlineStr">
        <is>
          <t>R2</t>
        </is>
      </c>
      <c r="E6" s="9" t="inlineStr">
        <is>
          <t>ACT</t>
        </is>
      </c>
      <c r="F6" s="44" t="inlineStr">
        <is>
          <t>Rechercher la cause d’une panne puis intervenir concrètement pour remettre l’équipement en service.</t>
        </is>
      </c>
      <c r="G6" s="9" t="inlineStr">
        <is>
          <t>0.6</t>
        </is>
      </c>
      <c r="H6" s="9" t="inlineStr">
        <is>
          <t>PIP-BANK-0.5</t>
        </is>
      </c>
      <c r="I6" s="9" t="inlineStr">
        <is>
          <t>ACTIF</t>
        </is>
      </c>
      <c r="J6" s="9" t="inlineStr">
        <is>
          <t>MOYEN</t>
        </is>
      </c>
      <c r="K6" s="9" t="inlineStr">
        <is>
          <t>FAIBLE</t>
        </is>
      </c>
      <c r="L6" s="9" t="inlineStr">
        <is>
          <t>MOYEN</t>
        </is>
      </c>
      <c r="M6" s="9" t="inlineStr">
        <is>
          <t>Activité professionnelle formulée à l’infinitif ; réponse = degré d’envie de réaliser cette activité, indépendamment du métier actuel et de la compétence perçue.</t>
        </is>
      </c>
    </row>
    <row r="7" ht="48" customHeight="1" s="34">
      <c r="A7" s="9" t="n">
        <v>6</v>
      </c>
      <c r="B7" s="9" t="inlineStr">
        <is>
          <t>PIP-ACT-R-R3-009</t>
        </is>
      </c>
      <c r="C7" s="9" t="inlineStr">
        <is>
          <t>R</t>
        </is>
      </c>
      <c r="D7" s="9" t="inlineStr">
        <is>
          <t>R3</t>
        </is>
      </c>
      <c r="E7" s="9" t="inlineStr">
        <is>
          <t>ACT</t>
        </is>
      </c>
      <c r="F7" s="44" t="inlineStr">
        <is>
          <t>Utiliser directement des outils de mesure et des outils manuels pour réaliser un montage précis.</t>
        </is>
      </c>
      <c r="G7" s="9" t="inlineStr">
        <is>
          <t>0.6</t>
        </is>
      </c>
      <c r="H7" s="9" t="inlineStr">
        <is>
          <t>PIP-BANK-0.5</t>
        </is>
      </c>
      <c r="I7" s="9" t="inlineStr">
        <is>
          <t>ACTIF</t>
        </is>
      </c>
      <c r="J7" s="9" t="inlineStr">
        <is>
          <t>FAIBLE</t>
        </is>
      </c>
      <c r="K7" s="9" t="inlineStr">
        <is>
          <t>FAIBLE</t>
        </is>
      </c>
      <c r="L7" s="9" t="inlineStr">
        <is>
          <t>MOYEN</t>
        </is>
      </c>
      <c r="M7" s="9" t="inlineStr">
        <is>
          <t>Activité professionnelle formulée à l’infinitif ; réponse = degré d’envie de réaliser cette activité, indépendamment du métier actuel et de la compétence perçue.</t>
        </is>
      </c>
    </row>
    <row r="8" ht="48" customHeight="1" s="34">
      <c r="A8" s="9" t="n">
        <v>7</v>
      </c>
      <c r="B8" s="9" t="inlineStr">
        <is>
          <t>PIP-ACT-R-R3-010</t>
        </is>
      </c>
      <c r="C8" s="9" t="inlineStr">
        <is>
          <t>R</t>
        </is>
      </c>
      <c r="D8" s="9" t="inlineStr">
        <is>
          <t>R3</t>
        </is>
      </c>
      <c r="E8" s="9" t="inlineStr">
        <is>
          <t>ACT</t>
        </is>
      </c>
      <c r="F8" s="44" t="inlineStr">
        <is>
          <t>Régler une machine ou un équipement pour obtenir le résultat demandé.</t>
        </is>
      </c>
      <c r="G8" s="9" t="inlineStr">
        <is>
          <t>0.6</t>
        </is>
      </c>
      <c r="H8" s="9" t="inlineStr">
        <is>
          <t>PIP-BANK-0.5</t>
        </is>
      </c>
      <c r="I8" s="9" t="inlineStr">
        <is>
          <t>ACTIF</t>
        </is>
      </c>
      <c r="J8" s="9" t="inlineStr">
        <is>
          <t>FAIBLE</t>
        </is>
      </c>
      <c r="K8" s="9" t="inlineStr">
        <is>
          <t>FAIBLE</t>
        </is>
      </c>
      <c r="L8" s="9" t="inlineStr">
        <is>
          <t>MOYEN</t>
        </is>
      </c>
      <c r="M8" s="9" t="inlineStr">
        <is>
          <t>Activité professionnelle formulée à l’infinitif ; réponse = degré d’envie de réaliser cette activité, indépendamment du métier actuel et de la compétence perçue.</t>
        </is>
      </c>
    </row>
    <row r="9" ht="48" customHeight="1" s="34">
      <c r="A9" s="9" t="n">
        <v>8</v>
      </c>
      <c r="B9" s="9" t="inlineStr">
        <is>
          <t>PIP-SIT-R-R3-011</t>
        </is>
      </c>
      <c r="C9" s="9" t="inlineStr">
        <is>
          <t>R</t>
        </is>
      </c>
      <c r="D9" s="9" t="inlineStr">
        <is>
          <t>R3</t>
        </is>
      </c>
      <c r="E9" s="9" t="inlineStr">
        <is>
          <t>SIT</t>
        </is>
      </c>
      <c r="F9" s="44" t="inlineStr">
        <is>
          <t>Manipuler directement une machine, un appareil ou un instrument pour réaliser une opération.</t>
        </is>
      </c>
      <c r="G9" s="9" t="inlineStr">
        <is>
          <t>0.6</t>
        </is>
      </c>
      <c r="H9" s="9" t="inlineStr">
        <is>
          <t>PIP-BANK-0.5</t>
        </is>
      </c>
      <c r="I9" s="9" t="inlineStr">
        <is>
          <t>ACTIF</t>
        </is>
      </c>
      <c r="J9" s="9" t="inlineStr">
        <is>
          <t>FAIBLE</t>
        </is>
      </c>
      <c r="K9" s="9" t="inlineStr">
        <is>
          <t>FAIBLE</t>
        </is>
      </c>
      <c r="L9" s="9" t="inlineStr">
        <is>
          <t>MOYEN</t>
        </is>
      </c>
      <c r="M9" s="9" t="inlineStr">
        <is>
          <t>Activité professionnelle formulée à l’infinitif ; réponse = degré d’envie de réaliser cette activité, indépendamment du métier actuel et de la compétence perçue.</t>
        </is>
      </c>
    </row>
    <row r="10" ht="48" customHeight="1" s="34">
      <c r="A10" s="9" t="n">
        <v>9</v>
      </c>
      <c r="B10" s="9" t="inlineStr">
        <is>
          <t>PIP-ACT-R-R4-013</t>
        </is>
      </c>
      <c r="C10" s="9" t="inlineStr">
        <is>
          <t>R</t>
        </is>
      </c>
      <c r="D10" s="9" t="inlineStr">
        <is>
          <t>R4</t>
        </is>
      </c>
      <c r="E10" s="9" t="inlineStr">
        <is>
          <t>ACT</t>
        </is>
      </c>
      <c r="F10" s="44" t="inlineStr">
        <is>
          <t>Se déplacer sur le terrain pour constater une situation et intervenir sur place.</t>
        </is>
      </c>
      <c r="G10" s="9" t="inlineStr">
        <is>
          <t>0.6</t>
        </is>
      </c>
      <c r="H10" s="9" t="inlineStr">
        <is>
          <t>PIP-BANK-0.5</t>
        </is>
      </c>
      <c r="I10" s="9" t="inlineStr">
        <is>
          <t>ACTIF</t>
        </is>
      </c>
      <c r="J10" s="9" t="inlineStr">
        <is>
          <t>FAIBLE</t>
        </is>
      </c>
      <c r="K10" s="9" t="inlineStr">
        <is>
          <t>FAIBLE</t>
        </is>
      </c>
      <c r="L10" s="9" t="inlineStr">
        <is>
          <t>MOYEN</t>
        </is>
      </c>
      <c r="M10" s="9" t="inlineStr">
        <is>
          <t>Activité professionnelle formulée à l’infinitif ; réponse = degré d’envie de réaliser cette activité, indépendamment du métier actuel et de la compétence perçue.</t>
        </is>
      </c>
    </row>
    <row r="11" ht="48" customHeight="1" s="34">
      <c r="A11" s="9" t="n">
        <v>10</v>
      </c>
      <c r="B11" s="9" t="inlineStr">
        <is>
          <t>PIP-ACT-R-R4-014</t>
        </is>
      </c>
      <c r="C11" s="9" t="inlineStr">
        <is>
          <t>R</t>
        </is>
      </c>
      <c r="D11" s="9" t="inlineStr">
        <is>
          <t>R4</t>
        </is>
      </c>
      <c r="E11" s="9" t="inlineStr">
        <is>
          <t>ACT</t>
        </is>
      </c>
      <c r="F11" s="44" t="inlineStr">
        <is>
          <t>Réaliser une grande partie de son travail à l’extérieur, sur un chantier, un site ou dans un espace naturel.</t>
        </is>
      </c>
      <c r="G11" s="9" t="inlineStr">
        <is>
          <t>0.6</t>
        </is>
      </c>
      <c r="H11" s="9" t="inlineStr">
        <is>
          <t>PIP-BANK-0.5</t>
        </is>
      </c>
      <c r="I11" s="9" t="inlineStr">
        <is>
          <t>ACTIF</t>
        </is>
      </c>
      <c r="J11" s="9" t="inlineStr">
        <is>
          <t>FAIBLE</t>
        </is>
      </c>
      <c r="K11" s="9" t="inlineStr">
        <is>
          <t>FAIBLE</t>
        </is>
      </c>
      <c r="L11" s="9" t="inlineStr">
        <is>
          <t>MOYEN</t>
        </is>
      </c>
      <c r="M11" s="9" t="inlineStr">
        <is>
          <t>Activité professionnelle formulée à l’infinitif ; réponse = degré d’envie de réaliser cette activité, indépendamment du métier actuel et de la compétence perçue.</t>
        </is>
      </c>
    </row>
    <row r="12" ht="48" customHeight="1" s="34">
      <c r="A12" s="9" t="n">
        <v>11</v>
      </c>
      <c r="B12" s="9" t="inlineStr">
        <is>
          <t>PIP-ACT-R-R5-017</t>
        </is>
      </c>
      <c r="C12" s="9" t="inlineStr">
        <is>
          <t>R</t>
        </is>
      </c>
      <c r="D12" s="9" t="inlineStr">
        <is>
          <t>R5</t>
        </is>
      </c>
      <c r="E12" s="9" t="inlineStr">
        <is>
          <t>ACT</t>
        </is>
      </c>
      <c r="F12" s="44" t="inlineStr">
        <is>
          <t>Prendre soin concrètement de plantes, de cultures ou d’animaux en assurant leur entretien et leur suivi.</t>
        </is>
      </c>
      <c r="G12" s="9" t="inlineStr">
        <is>
          <t>0.6</t>
        </is>
      </c>
      <c r="H12" s="9" t="inlineStr">
        <is>
          <t>PIP-BANK-0.5</t>
        </is>
      </c>
      <c r="I12" s="9" t="inlineStr">
        <is>
          <t>ACTIF</t>
        </is>
      </c>
      <c r="J12" s="9" t="inlineStr">
        <is>
          <t>MOYEN</t>
        </is>
      </c>
      <c r="K12" s="9" t="inlineStr">
        <is>
          <t>FAIBLE</t>
        </is>
      </c>
      <c r="L12" s="9" t="inlineStr">
        <is>
          <t>MOYEN</t>
        </is>
      </c>
      <c r="M12" s="9" t="inlineStr">
        <is>
          <t>Activité professionnelle formulée à l’infinitif ; réponse = degré d’envie de réaliser cette activité, indépendamment du métier actuel et de la compétence perçue.</t>
        </is>
      </c>
    </row>
    <row r="13" ht="48" customHeight="1" s="34">
      <c r="A13" s="9" t="n">
        <v>12</v>
      </c>
      <c r="B13" s="9" t="inlineStr">
        <is>
          <t>PIP-ACT-R-R5-018</t>
        </is>
      </c>
      <c r="C13" s="9" t="inlineStr">
        <is>
          <t>R</t>
        </is>
      </c>
      <c r="D13" s="9" t="inlineStr">
        <is>
          <t>R5</t>
        </is>
      </c>
      <c r="E13" s="9" t="inlineStr">
        <is>
          <t>ACT</t>
        </is>
      </c>
      <c r="F13" s="44" t="inlineStr">
        <is>
          <t>Manipuler des matériaux, déplacer ou préparer physiquement des éléments pour réaliser une tâche utile.</t>
        </is>
      </c>
      <c r="G13" s="9" t="inlineStr">
        <is>
          <t>0.6</t>
        </is>
      </c>
      <c r="H13" s="9" t="inlineStr">
        <is>
          <t>PIP-BANK-0.5</t>
        </is>
      </c>
      <c r="I13" s="9" t="inlineStr">
        <is>
          <t>ACTIF</t>
        </is>
      </c>
      <c r="J13" s="9" t="inlineStr">
        <is>
          <t>FAIBLE</t>
        </is>
      </c>
      <c r="K13" s="9" t="inlineStr">
        <is>
          <t>FAIBLE</t>
        </is>
      </c>
      <c r="L13" s="9" t="inlineStr">
        <is>
          <t>MOYEN</t>
        </is>
      </c>
      <c r="M13" s="9" t="inlineStr">
        <is>
          <t>Activité professionnelle formulée à l’infinitif ; réponse = degré d’envie de réaliser cette activité, indépendamment du métier actuel et de la compétence perçue.</t>
        </is>
      </c>
    </row>
    <row r="14" ht="48" customHeight="1" s="34">
      <c r="A14" s="9" t="n">
        <v>13</v>
      </c>
      <c r="B14" s="9" t="inlineStr">
        <is>
          <t>PIP-ACT-I-I1-001</t>
        </is>
      </c>
      <c r="C14" s="9" t="inlineStr">
        <is>
          <t>I</t>
        </is>
      </c>
      <c r="D14" s="9" t="inlineStr">
        <is>
          <t>I1</t>
        </is>
      </c>
      <c r="E14" s="9" t="inlineStr">
        <is>
          <t>ACT</t>
        </is>
      </c>
      <c r="F14" s="44" t="inlineStr">
        <is>
          <t>Observer attentivement un fonctionnement ou une situation pour en repérer les détails importants.</t>
        </is>
      </c>
      <c r="G14" s="9" t="inlineStr">
        <is>
          <t>0.6</t>
        </is>
      </c>
      <c r="H14" s="9" t="inlineStr">
        <is>
          <t>PIP-BANK-0.5</t>
        </is>
      </c>
      <c r="I14" s="9" t="inlineStr">
        <is>
          <t>ACTIF</t>
        </is>
      </c>
      <c r="J14" s="9" t="inlineStr">
        <is>
          <t>FAIBLE</t>
        </is>
      </c>
      <c r="K14" s="9" t="inlineStr">
        <is>
          <t>FAIBLE</t>
        </is>
      </c>
      <c r="L14" s="9" t="inlineStr">
        <is>
          <t>FAIBLE</t>
        </is>
      </c>
      <c r="M14" s="9" t="inlineStr">
        <is>
          <t>Activité professionnelle formulée à l’infinitif ; réponse = degré d’envie de réaliser cette activité, indépendamment du métier actuel et de la compétence perçue.</t>
        </is>
      </c>
    </row>
    <row r="15" ht="48" customHeight="1" s="34">
      <c r="A15" s="9" t="n">
        <v>14</v>
      </c>
      <c r="B15" s="9" t="inlineStr">
        <is>
          <t>PIP-ACT-I-I1-002</t>
        </is>
      </c>
      <c r="C15" s="9" t="inlineStr">
        <is>
          <t>I</t>
        </is>
      </c>
      <c r="D15" s="9" t="inlineStr">
        <is>
          <t>I1</t>
        </is>
      </c>
      <c r="E15" s="9" t="inlineStr">
        <is>
          <t>ACT</t>
        </is>
      </c>
      <c r="F15" s="44" t="inlineStr">
        <is>
          <t>Analyser et comparer plusieurs informations ou observations pour comprendre ce qui les distingue.</t>
        </is>
      </c>
      <c r="G15" s="9" t="inlineStr">
        <is>
          <t>0.6</t>
        </is>
      </c>
      <c r="H15" s="9" t="inlineStr">
        <is>
          <t>PIP-BANK-0.5</t>
        </is>
      </c>
      <c r="I15" s="9" t="inlineStr">
        <is>
          <t>ACTIF</t>
        </is>
      </c>
      <c r="J15" s="9" t="inlineStr">
        <is>
          <t>FAIBLE</t>
        </is>
      </c>
      <c r="K15" s="9" t="inlineStr">
        <is>
          <t>FAIBLE</t>
        </is>
      </c>
      <c r="L15" s="9" t="inlineStr">
        <is>
          <t>FAIBLE</t>
        </is>
      </c>
      <c r="M15" s="9" t="inlineStr">
        <is>
          <t>Activité professionnelle formulée à l’infinitif ; réponse = degré d’envie de réaliser cette activité, indépendamment du métier actuel et de la compétence perçue.</t>
        </is>
      </c>
    </row>
    <row r="16" ht="48" customHeight="1" s="34">
      <c r="A16" s="9" t="n">
        <v>15</v>
      </c>
      <c r="B16" s="9" t="inlineStr">
        <is>
          <t>PIP-SIT-I-I1-003</t>
        </is>
      </c>
      <c r="C16" s="9" t="inlineStr">
        <is>
          <t>I</t>
        </is>
      </c>
      <c r="D16" s="9" t="inlineStr">
        <is>
          <t>I1</t>
        </is>
      </c>
      <c r="E16" s="9" t="inlineStr">
        <is>
          <t>SIT</t>
        </is>
      </c>
      <c r="F16" s="44" t="inlineStr">
        <is>
          <t>Examiner les faits d’une situation inhabituelle avant d’avancer une explication.</t>
        </is>
      </c>
      <c r="G16" s="9" t="inlineStr">
        <is>
          <t>0.6</t>
        </is>
      </c>
      <c r="H16" s="9" t="inlineStr">
        <is>
          <t>PIP-BANK-0.5</t>
        </is>
      </c>
      <c r="I16" s="9" t="inlineStr">
        <is>
          <t>ACTIF</t>
        </is>
      </c>
      <c r="J16" s="9" t="inlineStr">
        <is>
          <t>FAIBLE</t>
        </is>
      </c>
      <c r="K16" s="9" t="inlineStr">
        <is>
          <t>FAIBLE</t>
        </is>
      </c>
      <c r="L16" s="9" t="inlineStr">
        <is>
          <t>FAIBLE</t>
        </is>
      </c>
      <c r="M16" s="9" t="inlineStr">
        <is>
          <t>Activité professionnelle formulée à l’infinitif ; réponse = degré d’envie de réaliser cette activité, indépendamment du métier actuel et de la compétence perçue.</t>
        </is>
      </c>
    </row>
    <row r="17" ht="48" customHeight="1" s="34">
      <c r="A17" s="9" t="n">
        <v>16</v>
      </c>
      <c r="B17" s="9" t="inlineStr">
        <is>
          <t>PIP-ACT-I-I2-005</t>
        </is>
      </c>
      <c r="C17" s="9" t="inlineStr">
        <is>
          <t>I</t>
        </is>
      </c>
      <c r="D17" s="9" t="inlineStr">
        <is>
          <t>I2</t>
        </is>
      </c>
      <c r="E17" s="9" t="inlineStr">
        <is>
          <t>ACT</t>
        </is>
      </c>
      <c r="F17" s="44" t="inlineStr">
        <is>
          <t>Analyser plusieurs informations pour comprendre les liens entre elles et ce qu’elles permettent d’expliquer.</t>
        </is>
      </c>
      <c r="G17" s="9" t="inlineStr">
        <is>
          <t>0.6</t>
        </is>
      </c>
      <c r="H17" s="9" t="inlineStr">
        <is>
          <t>PIP-BANK-0.5</t>
        </is>
      </c>
      <c r="I17" s="9" t="inlineStr">
        <is>
          <t>ACTIF</t>
        </is>
      </c>
      <c r="J17" s="9" t="inlineStr">
        <is>
          <t>FAIBLE</t>
        </is>
      </c>
      <c r="K17" s="9" t="inlineStr">
        <is>
          <t>FAIBLE</t>
        </is>
      </c>
      <c r="L17" s="9" t="inlineStr">
        <is>
          <t>FAIBLE</t>
        </is>
      </c>
      <c r="M17" s="9" t="inlineStr">
        <is>
          <t>Activité professionnelle formulée à l’infinitif ; réponse = degré d’envie de réaliser cette activité, indépendamment du métier actuel et de la compétence perçue.</t>
        </is>
      </c>
    </row>
    <row r="18" ht="48" customHeight="1" s="34">
      <c r="A18" s="9" t="n">
        <v>17</v>
      </c>
      <c r="B18" s="9" t="inlineStr">
        <is>
          <t>PIP-ACT-I-I2-006</t>
        </is>
      </c>
      <c r="C18" s="9" t="inlineStr">
        <is>
          <t>I</t>
        </is>
      </c>
      <c r="D18" s="9" t="inlineStr">
        <is>
          <t>I2</t>
        </is>
      </c>
      <c r="E18" s="9" t="inlineStr">
        <is>
          <t>ACT</t>
        </is>
      </c>
      <c r="F18" s="44" t="inlineStr">
        <is>
          <t>Décomposer un problème complexe en plusieurs questions plus simples afin d’en comprendre la logique.</t>
        </is>
      </c>
      <c r="G18" s="9" t="inlineStr">
        <is>
          <t>0.6</t>
        </is>
      </c>
      <c r="H18" s="9" t="inlineStr">
        <is>
          <t>PIP-BANK-0.5</t>
        </is>
      </c>
      <c r="I18" s="9" t="inlineStr">
        <is>
          <t>ACTIF</t>
        </is>
      </c>
      <c r="J18" s="9" t="inlineStr">
        <is>
          <t>FAIBLE</t>
        </is>
      </c>
      <c r="K18" s="9" t="inlineStr">
        <is>
          <t>FAIBLE</t>
        </is>
      </c>
      <c r="L18" s="9" t="inlineStr">
        <is>
          <t>FAIBLE</t>
        </is>
      </c>
      <c r="M18" s="9" t="inlineStr">
        <is>
          <t>Activité professionnelle formulée à l’infinitif ; réponse = degré d’envie de réaliser cette activité, indépendamment du métier actuel et de la compétence perçue.</t>
        </is>
      </c>
    </row>
    <row r="19" ht="48" customHeight="1" s="34">
      <c r="A19" s="9" t="n">
        <v>18</v>
      </c>
      <c r="B19" s="9" t="inlineStr">
        <is>
          <t>PIP-SIT-I-I2-007</t>
        </is>
      </c>
      <c r="C19" s="9" t="inlineStr">
        <is>
          <t>I</t>
        </is>
      </c>
      <c r="D19" s="9" t="inlineStr">
        <is>
          <t>I2</t>
        </is>
      </c>
      <c r="E19" s="9" t="inlineStr">
        <is>
          <t>SIT</t>
        </is>
      </c>
      <c r="F19" s="44" t="inlineStr">
        <is>
          <t>Réfléchir étape par étape à un problème sans réponse évidente pour comprendre ce qui se passe.</t>
        </is>
      </c>
      <c r="G19" s="9" t="inlineStr">
        <is>
          <t>0.6</t>
        </is>
      </c>
      <c r="H19" s="9" t="inlineStr">
        <is>
          <t>PIP-BANK-0.5</t>
        </is>
      </c>
      <c r="I19" s="9" t="inlineStr">
        <is>
          <t>ACTIF</t>
        </is>
      </c>
      <c r="J19" s="9" t="inlineStr">
        <is>
          <t>FAIBLE</t>
        </is>
      </c>
      <c r="K19" s="9" t="inlineStr">
        <is>
          <t>FAIBLE</t>
        </is>
      </c>
      <c r="L19" s="9" t="inlineStr">
        <is>
          <t>FAIBLE</t>
        </is>
      </c>
      <c r="M19" s="9" t="inlineStr">
        <is>
          <t>Activité professionnelle formulée à l’infinitif ; réponse = degré d’envie de réaliser cette activité, indépendamment du métier actuel et de la compétence perçue.</t>
        </is>
      </c>
    </row>
    <row r="20" ht="48" customHeight="1" s="34">
      <c r="A20" s="9" t="n">
        <v>19</v>
      </c>
      <c r="B20" s="9" t="inlineStr">
        <is>
          <t>PIP-ACT-I-I3-009</t>
        </is>
      </c>
      <c r="C20" s="9" t="inlineStr">
        <is>
          <t>I</t>
        </is>
      </c>
      <c r="D20" s="9" t="inlineStr">
        <is>
          <t>I3</t>
        </is>
      </c>
      <c r="E20" s="9" t="inlineStr">
        <is>
          <t>ACT</t>
        </is>
      </c>
      <c r="F20" s="44" t="inlineStr">
        <is>
          <t>Rechercher des informations dans plusieurs sources pour répondre à une question précise.</t>
        </is>
      </c>
      <c r="G20" s="9" t="inlineStr">
        <is>
          <t>0.6</t>
        </is>
      </c>
      <c r="H20" s="9" t="inlineStr">
        <is>
          <t>PIP-BANK-0.5</t>
        </is>
      </c>
      <c r="I20" s="9" t="inlineStr">
        <is>
          <t>ACTIF</t>
        </is>
      </c>
      <c r="J20" s="9" t="inlineStr">
        <is>
          <t>FAIBLE</t>
        </is>
      </c>
      <c r="K20" s="9" t="inlineStr">
        <is>
          <t>FAIBLE</t>
        </is>
      </c>
      <c r="L20" s="9" t="inlineStr">
        <is>
          <t>FAIBLE</t>
        </is>
      </c>
      <c r="M20" s="9" t="inlineStr">
        <is>
          <t>Activité professionnelle formulée à l’infinitif ; réponse = degré d’envie de réaliser cette activité, indépendamment du métier actuel et de la compétence perçue.</t>
        </is>
      </c>
    </row>
    <row r="21" ht="48" customHeight="1" s="34">
      <c r="A21" s="9" t="n">
        <v>20</v>
      </c>
      <c r="B21" s="9" t="inlineStr">
        <is>
          <t>PIP-ACT-I-I3-010</t>
        </is>
      </c>
      <c r="C21" s="9" t="inlineStr">
        <is>
          <t>I</t>
        </is>
      </c>
      <c r="D21" s="9" t="inlineStr">
        <is>
          <t>I3</t>
        </is>
      </c>
      <c r="E21" s="9" t="inlineStr">
        <is>
          <t>ACT</t>
        </is>
      </c>
      <c r="F21" s="44" t="inlineStr">
        <is>
          <t>Vérifier une information incertaine en recoupant plusieurs sources et éléments de preuve.</t>
        </is>
      </c>
      <c r="G21" s="9" t="inlineStr">
        <is>
          <t>0.6</t>
        </is>
      </c>
      <c r="H21" s="9" t="inlineStr">
        <is>
          <t>PIP-BANK-0.5</t>
        </is>
      </c>
      <c r="I21" s="9" t="inlineStr">
        <is>
          <t>ACTIF</t>
        </is>
      </c>
      <c r="J21" s="9" t="inlineStr">
        <is>
          <t>FAIBLE</t>
        </is>
      </c>
      <c r="K21" s="9" t="inlineStr">
        <is>
          <t>FAIBLE</t>
        </is>
      </c>
      <c r="L21" s="9" t="inlineStr">
        <is>
          <t>FAIBLE</t>
        </is>
      </c>
      <c r="M21" s="9" t="inlineStr">
        <is>
          <t>Activité professionnelle formulée à l’infinitif ; réponse = degré d’envie de réaliser cette activité, indépendamment du métier actuel et de la compétence perçue.</t>
        </is>
      </c>
    </row>
    <row r="22" ht="48" customHeight="1" s="34">
      <c r="A22" s="9" t="n">
        <v>21</v>
      </c>
      <c r="B22" s="9" t="inlineStr">
        <is>
          <t>PIP-ACT-I-I4-013</t>
        </is>
      </c>
      <c r="C22" s="9" t="inlineStr">
        <is>
          <t>I</t>
        </is>
      </c>
      <c r="D22" s="9" t="inlineStr">
        <is>
          <t>I4</t>
        </is>
      </c>
      <c r="E22" s="9" t="inlineStr">
        <is>
          <t>ACT</t>
        </is>
      </c>
      <c r="F22" s="44" t="inlineStr">
        <is>
          <t>Tester une hypothèse en choisissant une manière concrète de vérifier si elle se confirme.</t>
        </is>
      </c>
      <c r="G22" s="9" t="inlineStr">
        <is>
          <t>0.6</t>
        </is>
      </c>
      <c r="H22" s="9" t="inlineStr">
        <is>
          <t>PIP-BANK-0.5</t>
        </is>
      </c>
      <c r="I22" s="9" t="inlineStr">
        <is>
          <t>ACTIF</t>
        </is>
      </c>
      <c r="J22" s="9" t="inlineStr">
        <is>
          <t>FAIBLE</t>
        </is>
      </c>
      <c r="K22" s="9" t="inlineStr">
        <is>
          <t>FAIBLE</t>
        </is>
      </c>
      <c r="L22" s="9" t="inlineStr">
        <is>
          <t>FAIBLE</t>
        </is>
      </c>
      <c r="M22" s="9" t="inlineStr">
        <is>
          <t>Activité professionnelle formulée à l’infinitif ; réponse = degré d’envie de réaliser cette activité, indépendamment du métier actuel et de la compétence perçue.</t>
        </is>
      </c>
    </row>
    <row r="23" ht="48" customHeight="1" s="34">
      <c r="A23" s="9" t="n">
        <v>22</v>
      </c>
      <c r="B23" s="9" t="inlineStr">
        <is>
          <t>PIP-ACT-I-I4-014</t>
        </is>
      </c>
      <c r="C23" s="9" t="inlineStr">
        <is>
          <t>I</t>
        </is>
      </c>
      <c r="D23" s="9" t="inlineStr">
        <is>
          <t>I4</t>
        </is>
      </c>
      <c r="E23" s="9" t="inlineStr">
        <is>
          <t>ACT</t>
        </is>
      </c>
      <c r="F23" s="44" t="inlineStr">
        <is>
          <t>Réaliser plusieurs essais en ne modifiant qu’un élément à la fois pour comprendre son effet sur le résultat.</t>
        </is>
      </c>
      <c r="G23" s="9" t="inlineStr">
        <is>
          <t>0.6</t>
        </is>
      </c>
      <c r="H23" s="9" t="inlineStr">
        <is>
          <t>PIP-BANK-0.5</t>
        </is>
      </c>
      <c r="I23" s="9" t="inlineStr">
        <is>
          <t>ACTIF</t>
        </is>
      </c>
      <c r="J23" s="9" t="inlineStr">
        <is>
          <t>FAIBLE</t>
        </is>
      </c>
      <c r="K23" s="9" t="inlineStr">
        <is>
          <t>FAIBLE</t>
        </is>
      </c>
      <c r="L23" s="9" t="inlineStr">
        <is>
          <t>FAIBLE</t>
        </is>
      </c>
      <c r="M23" s="9" t="inlineStr">
        <is>
          <t>Activité professionnelle formulée à l’infinitif ; réponse = degré d’envie de réaliser cette activité, indépendamment du métier actuel et de la compétence perçue.</t>
        </is>
      </c>
    </row>
    <row r="24" ht="48" customHeight="1" s="34">
      <c r="A24" s="9" t="n">
        <v>23</v>
      </c>
      <c r="B24" s="9" t="inlineStr">
        <is>
          <t>PIP-ACT-I-I5-017</t>
        </is>
      </c>
      <c r="C24" s="9" t="inlineStr">
        <is>
          <t>I</t>
        </is>
      </c>
      <c r="D24" s="9" t="inlineStr">
        <is>
          <t>I5</t>
        </is>
      </c>
      <c r="E24" s="9" t="inlineStr">
        <is>
          <t>ACT</t>
        </is>
      </c>
      <c r="F24" s="44" t="inlineStr">
        <is>
          <t>Rechercher la cause d’un phénomène ou d’un dysfonctionnement pour pouvoir l’expliquer.</t>
        </is>
      </c>
      <c r="G24" s="9" t="inlineStr">
        <is>
          <t>0.6</t>
        </is>
      </c>
      <c r="H24" s="9" t="inlineStr">
        <is>
          <t>PIP-BANK-0.5</t>
        </is>
      </c>
      <c r="I24" s="9" t="inlineStr">
        <is>
          <t>ACTIF</t>
        </is>
      </c>
      <c r="J24" s="9" t="inlineStr">
        <is>
          <t>FAIBLE</t>
        </is>
      </c>
      <c r="K24" s="9" t="inlineStr">
        <is>
          <t>FAIBLE</t>
        </is>
      </c>
      <c r="L24" s="9" t="inlineStr">
        <is>
          <t>FAIBLE</t>
        </is>
      </c>
      <c r="M24" s="9" t="inlineStr">
        <is>
          <t>Activité professionnelle formulée à l’infinitif ; réponse = degré d’envie de réaliser cette activité, indépendamment du métier actuel et de la compétence perçue.</t>
        </is>
      </c>
    </row>
    <row r="25" ht="48" customHeight="1" s="34">
      <c r="A25" s="9" t="n">
        <v>24</v>
      </c>
      <c r="B25" s="9" t="inlineStr">
        <is>
          <t>PIP-ACT-I-I5-018</t>
        </is>
      </c>
      <c r="C25" s="9" t="inlineStr">
        <is>
          <t>I</t>
        </is>
      </c>
      <c r="D25" s="9" t="inlineStr">
        <is>
          <t>I5</t>
        </is>
      </c>
      <c r="E25" s="9" t="inlineStr">
        <is>
          <t>ACT</t>
        </is>
      </c>
      <c r="F25" s="44" t="inlineStr">
        <is>
          <t>Résoudre un problème nouveau en construisant une explication ou une solution fondée sur les informations disponibles.</t>
        </is>
      </c>
      <c r="G25" s="9" t="inlineStr">
        <is>
          <t>0.6</t>
        </is>
      </c>
      <c r="H25" s="9" t="inlineStr">
        <is>
          <t>PIP-BANK-0.5</t>
        </is>
      </c>
      <c r="I25" s="9" t="inlineStr">
        <is>
          <t>ACTIF</t>
        </is>
      </c>
      <c r="J25" s="9" t="inlineStr">
        <is>
          <t>FAIBLE</t>
        </is>
      </c>
      <c r="K25" s="9" t="inlineStr">
        <is>
          <t>FAIBLE</t>
        </is>
      </c>
      <c r="L25" s="9" t="inlineStr">
        <is>
          <t>FAIBLE</t>
        </is>
      </c>
      <c r="M25" s="9" t="inlineStr">
        <is>
          <t>Activité professionnelle formulée à l’infinitif ; réponse = degré d’envie de réaliser cette activité, indépendamment du métier actuel et de la compétence perçue.</t>
        </is>
      </c>
    </row>
    <row r="26" ht="48" customHeight="1" s="34">
      <c r="A26" s="9" t="n">
        <v>25</v>
      </c>
      <c r="B26" s="9" t="inlineStr">
        <is>
          <t>PIP-ACT-A-A1-001</t>
        </is>
      </c>
      <c r="C26" s="9" t="inlineStr">
        <is>
          <t>A</t>
        </is>
      </c>
      <c r="D26" s="9" t="inlineStr">
        <is>
          <t>A1</t>
        </is>
      </c>
      <c r="E26" s="9" t="inlineStr">
        <is>
          <t>ACT</t>
        </is>
      </c>
      <c r="F26" s="44" t="inlineStr">
        <is>
          <t>Imaginer plusieurs idées différentes pour répondre à un même thème ou à une même demande.</t>
        </is>
      </c>
      <c r="G26" s="9" t="inlineStr">
        <is>
          <t>0.6</t>
        </is>
      </c>
      <c r="H26" s="9" t="inlineStr">
        <is>
          <t>PIP-BANK-0.5</t>
        </is>
      </c>
      <c r="I26" s="9" t="inlineStr">
        <is>
          <t>ACTIF</t>
        </is>
      </c>
      <c r="J26" s="9" t="inlineStr">
        <is>
          <t>FAIBLE</t>
        </is>
      </c>
      <c r="K26" s="9" t="inlineStr">
        <is>
          <t>FAIBLE</t>
        </is>
      </c>
      <c r="L26" s="9" t="inlineStr">
        <is>
          <t>FAIBLE</t>
        </is>
      </c>
      <c r="M26" s="9" t="inlineStr">
        <is>
          <t>Activité professionnelle formulée à l’infinitif ; réponse = degré d’envie de réaliser cette activité, indépendamment du métier actuel et de la compétence perçue.</t>
        </is>
      </c>
    </row>
    <row r="27" ht="48" customHeight="1" s="34">
      <c r="A27" s="9" t="n">
        <v>26</v>
      </c>
      <c r="B27" s="9" t="inlineStr">
        <is>
          <t>PIP-ACT-A-A1-002</t>
        </is>
      </c>
      <c r="C27" s="9" t="inlineStr">
        <is>
          <t>A</t>
        </is>
      </c>
      <c r="D27" s="9" t="inlineStr">
        <is>
          <t>A1</t>
        </is>
      </c>
      <c r="E27" s="9" t="inlineStr">
        <is>
          <t>ACT</t>
        </is>
      </c>
      <c r="F27" s="44" t="inlineStr">
        <is>
          <t>Inventer une manière originale de présenter un message, un objet ou une expérience.</t>
        </is>
      </c>
      <c r="G27" s="9" t="inlineStr">
        <is>
          <t>0.6</t>
        </is>
      </c>
      <c r="H27" s="9" t="inlineStr">
        <is>
          <t>PIP-BANK-0.5</t>
        </is>
      </c>
      <c r="I27" s="9" t="inlineStr">
        <is>
          <t>ACTIF</t>
        </is>
      </c>
      <c r="J27" s="9" t="inlineStr">
        <is>
          <t>FAIBLE</t>
        </is>
      </c>
      <c r="K27" s="9" t="inlineStr">
        <is>
          <t>FAIBLE</t>
        </is>
      </c>
      <c r="L27" s="9" t="inlineStr">
        <is>
          <t>FAIBLE</t>
        </is>
      </c>
      <c r="M27" s="9" t="inlineStr">
        <is>
          <t>Activité professionnelle formulée à l’infinitif ; réponse = degré d’envie de réaliser cette activité, indépendamment du métier actuel et de la compétence perçue.</t>
        </is>
      </c>
    </row>
    <row r="28" ht="48" customHeight="1" s="34">
      <c r="A28" s="9" t="n">
        <v>27</v>
      </c>
      <c r="B28" s="9" t="inlineStr">
        <is>
          <t>PIP-SIT-A-A1-003</t>
        </is>
      </c>
      <c r="C28" s="9" t="inlineStr">
        <is>
          <t>A</t>
        </is>
      </c>
      <c r="D28" s="9" t="inlineStr">
        <is>
          <t>A1</t>
        </is>
      </c>
      <c r="E28" s="9" t="inlineStr">
        <is>
          <t>SIT</t>
        </is>
      </c>
      <c r="F28" s="44" t="inlineStr">
        <is>
          <t>Imaginer une proposition personnelle lorsqu’une demande est ouverte et qu’aucune solution n’est imposée.</t>
        </is>
      </c>
      <c r="G28" s="9" t="inlineStr">
        <is>
          <t>0.6</t>
        </is>
      </c>
      <c r="H28" s="9" t="inlineStr">
        <is>
          <t>PIP-BANK-0.5</t>
        </is>
      </c>
      <c r="I28" s="9" t="inlineStr">
        <is>
          <t>ACTIF</t>
        </is>
      </c>
      <c r="J28" s="9" t="inlineStr">
        <is>
          <t>FAIBLE</t>
        </is>
      </c>
      <c r="K28" s="9" t="inlineStr">
        <is>
          <t>FAIBLE</t>
        </is>
      </c>
      <c r="L28" s="9" t="inlineStr">
        <is>
          <t>FAIBLE</t>
        </is>
      </c>
      <c r="M28" s="9" t="inlineStr">
        <is>
          <t>Activité professionnelle formulée à l’infinitif ; réponse = degré d’envie de réaliser cette activité, indépendamment du métier actuel et de la compétence perçue.</t>
        </is>
      </c>
    </row>
    <row r="29" ht="48" customHeight="1" s="34">
      <c r="A29" s="9" t="n">
        <v>28</v>
      </c>
      <c r="B29" s="9" t="inlineStr">
        <is>
          <t>PIP-ACT-A-A2-005</t>
        </is>
      </c>
      <c r="C29" s="9" t="inlineStr">
        <is>
          <t>A</t>
        </is>
      </c>
      <c r="D29" s="9" t="inlineStr">
        <is>
          <t>A2</t>
        </is>
      </c>
      <c r="E29" s="9" t="inlineStr">
        <is>
          <t>ACT</t>
        </is>
      </c>
      <c r="F29" s="44" t="inlineStr">
        <is>
          <t>Concevoir librement l’organisation visuelle d’un support pour transmettre une intention.</t>
        </is>
      </c>
      <c r="G29" s="9" t="inlineStr">
        <is>
          <t>0.6</t>
        </is>
      </c>
      <c r="H29" s="9" t="inlineStr">
        <is>
          <t>PIP-BANK-0.5</t>
        </is>
      </c>
      <c r="I29" s="9" t="inlineStr">
        <is>
          <t>ACTIF</t>
        </is>
      </c>
      <c r="J29" s="9" t="inlineStr">
        <is>
          <t>MOYEN</t>
        </is>
      </c>
      <c r="K29" s="9" t="inlineStr">
        <is>
          <t>FAIBLE</t>
        </is>
      </c>
      <c r="L29" s="9" t="inlineStr">
        <is>
          <t>FAIBLE</t>
        </is>
      </c>
      <c r="M29" s="9" t="inlineStr">
        <is>
          <t>Activité professionnelle formulée à l’infinitif ; réponse = degré d’envie de réaliser cette activité, indépendamment du métier actuel et de la compétence perçue.</t>
        </is>
      </c>
    </row>
    <row r="30" ht="48" customHeight="1" s="34">
      <c r="A30" s="9" t="n">
        <v>29</v>
      </c>
      <c r="B30" s="9" t="inlineStr">
        <is>
          <t>PIP-ACT-A-A2-006</t>
        </is>
      </c>
      <c r="C30" s="9" t="inlineStr">
        <is>
          <t>A</t>
        </is>
      </c>
      <c r="D30" s="9" t="inlineStr">
        <is>
          <t>A2</t>
        </is>
      </c>
      <c r="E30" s="9" t="inlineStr">
        <is>
          <t>ACT</t>
        </is>
      </c>
      <c r="F30" s="44" t="inlineStr">
        <is>
          <t>Composer un ensemble en choisissant comment agencer des formes, des textes, des images, des sons ou d’autres éléments.</t>
        </is>
      </c>
      <c r="G30" s="9" t="inlineStr">
        <is>
          <t>0.6</t>
        </is>
      </c>
      <c r="H30" s="9" t="inlineStr">
        <is>
          <t>PIP-BANK-0.5</t>
        </is>
      </c>
      <c r="I30" s="9" t="inlineStr">
        <is>
          <t>ACTIF</t>
        </is>
      </c>
      <c r="J30" s="9" t="inlineStr">
        <is>
          <t>FAIBLE</t>
        </is>
      </c>
      <c r="K30" s="9" t="inlineStr">
        <is>
          <t>FAIBLE</t>
        </is>
      </c>
      <c r="L30" s="9" t="inlineStr">
        <is>
          <t>FAIBLE</t>
        </is>
      </c>
      <c r="M30" s="9" t="inlineStr">
        <is>
          <t>Activité professionnelle formulée à l’infinitif ; réponse = degré d’envie de réaliser cette activité, indépendamment du métier actuel et de la compétence perçue.</t>
        </is>
      </c>
    </row>
    <row r="31" ht="48" customHeight="1" s="34">
      <c r="A31" s="9" t="n">
        <v>30</v>
      </c>
      <c r="B31" s="9" t="inlineStr">
        <is>
          <t>PIP-SIT-A-A2-007</t>
        </is>
      </c>
      <c r="C31" s="9" t="inlineStr">
        <is>
          <t>A</t>
        </is>
      </c>
      <c r="D31" s="9" t="inlineStr">
        <is>
          <t>A2</t>
        </is>
      </c>
      <c r="E31" s="9" t="inlineStr">
        <is>
          <t>SIT</t>
        </is>
      </c>
      <c r="F31" s="44" t="inlineStr">
        <is>
          <t>Créer une proposition en décidant librement comment organiser les éléments d’un support, d’un espace ou d’une présentation.</t>
        </is>
      </c>
      <c r="G31" s="9" t="inlineStr">
        <is>
          <t>0.6</t>
        </is>
      </c>
      <c r="H31" s="9" t="inlineStr">
        <is>
          <t>PIP-BANK-0.5</t>
        </is>
      </c>
      <c r="I31" s="9" t="inlineStr">
        <is>
          <t>ACTIF</t>
        </is>
      </c>
      <c r="J31" s="9" t="inlineStr">
        <is>
          <t>FAIBLE</t>
        </is>
      </c>
      <c r="K31" s="9" t="inlineStr">
        <is>
          <t>FAIBLE</t>
        </is>
      </c>
      <c r="L31" s="9" t="inlineStr">
        <is>
          <t>FAIBLE</t>
        </is>
      </c>
      <c r="M31" s="9" t="inlineStr">
        <is>
          <t>Activité professionnelle formulée à l’infinitif ; réponse = degré d’envie de réaliser cette activité, indépendamment du métier actuel et de la compétence perçue.</t>
        </is>
      </c>
    </row>
    <row r="32" ht="48" customHeight="1" s="34">
      <c r="A32" s="9" t="n">
        <v>31</v>
      </c>
      <c r="B32" s="9" t="inlineStr">
        <is>
          <t>PIP-ACT-A-A3-009</t>
        </is>
      </c>
      <c r="C32" s="9" t="inlineStr">
        <is>
          <t>A</t>
        </is>
      </c>
      <c r="D32" s="9" t="inlineStr">
        <is>
          <t>A3</t>
        </is>
      </c>
      <c r="E32" s="9" t="inlineStr">
        <is>
          <t>ACT</t>
        </is>
      </c>
      <c r="F32" s="44" t="inlineStr">
        <is>
          <t>Écrire un texte ou un récit pour faire passer une idée, une émotion ou un point de vue.</t>
        </is>
      </c>
      <c r="G32" s="9" t="inlineStr">
        <is>
          <t>0.6</t>
        </is>
      </c>
      <c r="H32" s="9" t="inlineStr">
        <is>
          <t>PIP-BANK-0.5</t>
        </is>
      </c>
      <c r="I32" s="9" t="inlineStr">
        <is>
          <t>ACTIF</t>
        </is>
      </c>
      <c r="J32" s="9" t="inlineStr">
        <is>
          <t>FAIBLE</t>
        </is>
      </c>
      <c r="K32" s="9" t="inlineStr">
        <is>
          <t>FAIBLE</t>
        </is>
      </c>
      <c r="L32" s="9" t="inlineStr">
        <is>
          <t>FAIBLE</t>
        </is>
      </c>
      <c r="M32" s="9" t="inlineStr">
        <is>
          <t>Activité professionnelle formulée à l’infinitif ; réponse = degré d’envie de réaliser cette activité, indépendamment du métier actuel et de la compétence perçue.</t>
        </is>
      </c>
    </row>
    <row r="33" ht="48" customHeight="1" s="34">
      <c r="A33" s="9" t="n">
        <v>32</v>
      </c>
      <c r="B33" s="9" t="inlineStr">
        <is>
          <t>PIP-ACT-A-A3-010</t>
        </is>
      </c>
      <c r="C33" s="9" t="inlineStr">
        <is>
          <t>A</t>
        </is>
      </c>
      <c r="D33" s="9" t="inlineStr">
        <is>
          <t>A3</t>
        </is>
      </c>
      <c r="E33" s="9" t="inlineStr">
        <is>
          <t>ACT</t>
        </is>
      </c>
      <c r="F33" s="44" t="inlineStr">
        <is>
          <t>Transformer un sujet factuel en récit vivant pour capter l’attention d’un public.</t>
        </is>
      </c>
      <c r="G33" s="9" t="inlineStr">
        <is>
          <t>0.6</t>
        </is>
      </c>
      <c r="H33" s="9" t="inlineStr">
        <is>
          <t>PIP-BANK-0.5</t>
        </is>
      </c>
      <c r="I33" s="9" t="inlineStr">
        <is>
          <t>ACTIF</t>
        </is>
      </c>
      <c r="J33" s="9" t="inlineStr">
        <is>
          <t>FAIBLE</t>
        </is>
      </c>
      <c r="K33" s="9" t="inlineStr">
        <is>
          <t>FAIBLE</t>
        </is>
      </c>
      <c r="L33" s="9" t="inlineStr">
        <is>
          <t>FAIBLE</t>
        </is>
      </c>
      <c r="M33" s="9" t="inlineStr">
        <is>
          <t>Activité professionnelle formulée à l’infinitif ; réponse = degré d’envie de réaliser cette activité, indépendamment du métier actuel et de la compétence perçue.</t>
        </is>
      </c>
    </row>
    <row r="34" ht="48" customHeight="1" s="34">
      <c r="A34" s="9" t="n">
        <v>33</v>
      </c>
      <c r="B34" s="9" t="inlineStr">
        <is>
          <t>PIP-ACT-A-A4-013</t>
        </is>
      </c>
      <c r="C34" s="9" t="inlineStr">
        <is>
          <t>A</t>
        </is>
      </c>
      <c r="D34" s="9" t="inlineStr">
        <is>
          <t>A4</t>
        </is>
      </c>
      <c r="E34" s="9" t="inlineStr">
        <is>
          <t>ACT</t>
        </is>
      </c>
      <c r="F34" s="44" t="inlineStr">
        <is>
          <t>Créer une composition visuelle en jouant sur les formes, les images et les couleurs.</t>
        </is>
      </c>
      <c r="G34" s="9" t="inlineStr">
        <is>
          <t>0.6</t>
        </is>
      </c>
      <c r="H34" s="9" t="inlineStr">
        <is>
          <t>PIP-BANK-0.5</t>
        </is>
      </c>
      <c r="I34" s="9" t="inlineStr">
        <is>
          <t>ACTIF</t>
        </is>
      </c>
      <c r="J34" s="9" t="inlineStr">
        <is>
          <t>FAIBLE</t>
        </is>
      </c>
      <c r="K34" s="9" t="inlineStr">
        <is>
          <t>FAIBLE</t>
        </is>
      </c>
      <c r="L34" s="9" t="inlineStr">
        <is>
          <t>FAIBLE</t>
        </is>
      </c>
      <c r="M34" s="9" t="inlineStr">
        <is>
          <t>Activité professionnelle formulée à l’infinitif ; réponse = degré d’envie de réaliser cette activité, indépendamment du métier actuel et de la compétence perçue.</t>
        </is>
      </c>
    </row>
    <row r="35" ht="48" customHeight="1" s="34">
      <c r="A35" s="9" t="n">
        <v>34</v>
      </c>
      <c r="B35" s="9" t="inlineStr">
        <is>
          <t>PIP-ACT-A-A4-014</t>
        </is>
      </c>
      <c r="C35" s="9" t="inlineStr">
        <is>
          <t>A</t>
        </is>
      </c>
      <c r="D35" s="9" t="inlineStr">
        <is>
          <t>A4</t>
        </is>
      </c>
      <c r="E35" s="9" t="inlineStr">
        <is>
          <t>ACT</t>
        </is>
      </c>
      <c r="F35" s="44" t="inlineStr">
        <is>
          <t>Imaginer l’ambiance d’un espace, d’un événement ou d’un contenu à partir de sons, d’images, de matières ou de lumière.</t>
        </is>
      </c>
      <c r="G35" s="9" t="inlineStr">
        <is>
          <t>0.6</t>
        </is>
      </c>
      <c r="H35" s="9" t="inlineStr">
        <is>
          <t>PIP-BANK-0.5</t>
        </is>
      </c>
      <c r="I35" s="9" t="inlineStr">
        <is>
          <t>ACTIF</t>
        </is>
      </c>
      <c r="J35" s="9" t="inlineStr">
        <is>
          <t>FAIBLE</t>
        </is>
      </c>
      <c r="K35" s="9" t="inlineStr">
        <is>
          <t>FAIBLE</t>
        </is>
      </c>
      <c r="L35" s="9" t="inlineStr">
        <is>
          <t>FAIBLE</t>
        </is>
      </c>
      <c r="M35" s="9" t="inlineStr">
        <is>
          <t>Activité professionnelle formulée à l’infinitif ; réponse = degré d’envie de réaliser cette activité, indépendamment du métier actuel et de la compétence perçue.</t>
        </is>
      </c>
    </row>
    <row r="36" ht="48" customHeight="1" s="34">
      <c r="A36" s="9" t="n">
        <v>35</v>
      </c>
      <c r="B36" s="9" t="inlineStr">
        <is>
          <t>PIP-ACT-A-A5-017</t>
        </is>
      </c>
      <c r="C36" s="9" t="inlineStr">
        <is>
          <t>A</t>
        </is>
      </c>
      <c r="D36" s="9" t="inlineStr">
        <is>
          <t>A5</t>
        </is>
      </c>
      <c r="E36" s="9" t="inlineStr">
        <is>
          <t>ACT</t>
        </is>
      </c>
      <c r="F36" s="44" t="inlineStr">
        <is>
          <t>Explorer plusieurs pistes créatives pour un même projet avant de choisir celle qui correspond le mieux à l’intention recherchée.</t>
        </is>
      </c>
      <c r="G36" s="9" t="inlineStr">
        <is>
          <t>0.6</t>
        </is>
      </c>
      <c r="H36" s="9" t="inlineStr">
        <is>
          <t>PIP-BANK-0.5</t>
        </is>
      </c>
      <c r="I36" s="9" t="inlineStr">
        <is>
          <t>ACTIF</t>
        </is>
      </c>
      <c r="J36" s="9" t="inlineStr">
        <is>
          <t>FAIBLE</t>
        </is>
      </c>
      <c r="K36" s="9" t="inlineStr">
        <is>
          <t>FAIBLE</t>
        </is>
      </c>
      <c r="L36" s="9" t="inlineStr">
        <is>
          <t>FAIBLE</t>
        </is>
      </c>
      <c r="M36" s="9" t="inlineStr">
        <is>
          <t>Activité professionnelle formulée à l’infinitif ; réponse = degré d’envie de réaliser cette activité, indépendamment du métier actuel et de la compétence perçue.</t>
        </is>
      </c>
    </row>
    <row r="37" ht="48" customHeight="1" s="34">
      <c r="A37" s="9" t="n">
        <v>36</v>
      </c>
      <c r="B37" s="9" t="inlineStr">
        <is>
          <t>PIP-ACT-A-A5-018</t>
        </is>
      </c>
      <c r="C37" s="9" t="inlineStr">
        <is>
          <t>A</t>
        </is>
      </c>
      <c r="D37" s="9" t="inlineStr">
        <is>
          <t>A5</t>
        </is>
      </c>
      <c r="E37" s="9" t="inlineStr">
        <is>
          <t>ACT</t>
        </is>
      </c>
      <c r="F37" s="44" t="inlineStr">
        <is>
          <t>Repenser une manière habituelle de faire afin de proposer une approche plus originale.</t>
        </is>
      </c>
      <c r="G37" s="9" t="inlineStr">
        <is>
          <t>0.6</t>
        </is>
      </c>
      <c r="H37" s="9" t="inlineStr">
        <is>
          <t>PIP-BANK-0.5</t>
        </is>
      </c>
      <c r="I37" s="9" t="inlineStr">
        <is>
          <t>ACTIF</t>
        </is>
      </c>
      <c r="J37" s="9" t="inlineStr">
        <is>
          <t>FAIBLE</t>
        </is>
      </c>
      <c r="K37" s="9" t="inlineStr">
        <is>
          <t>FAIBLE</t>
        </is>
      </c>
      <c r="L37" s="9" t="inlineStr">
        <is>
          <t>FAIBLE</t>
        </is>
      </c>
      <c r="M37" s="9" t="inlineStr">
        <is>
          <t>Activité professionnelle formulée à l’infinitif ; réponse = degré d’envie de réaliser cette activité, indépendamment du métier actuel et de la compétence perçue.</t>
        </is>
      </c>
    </row>
    <row r="38" ht="48" customHeight="1" s="34">
      <c r="A38" s="9" t="n">
        <v>37</v>
      </c>
      <c r="B38" s="9" t="inlineStr">
        <is>
          <t>PIP-ACT-S-S1-001</t>
        </is>
      </c>
      <c r="C38" s="9" t="inlineStr">
        <is>
          <t>S</t>
        </is>
      </c>
      <c r="D38" s="9" t="inlineStr">
        <is>
          <t>S1</t>
        </is>
      </c>
      <c r="E38" s="9" t="inlineStr">
        <is>
          <t>ACT</t>
        </is>
      </c>
      <c r="F38" s="44" t="inlineStr">
        <is>
          <t>Expliquer une notion à une personne jusqu’à ce qu’elle puisse la comprendre par elle-même.</t>
        </is>
      </c>
      <c r="G38" s="9" t="inlineStr">
        <is>
          <t>0.6</t>
        </is>
      </c>
      <c r="H38" s="9" t="inlineStr">
        <is>
          <t>PIP-BANK-0.5</t>
        </is>
      </c>
      <c r="I38" s="9" t="inlineStr">
        <is>
          <t>ACTIF</t>
        </is>
      </c>
      <c r="J38" s="9" t="inlineStr">
        <is>
          <t>FAIBLE</t>
        </is>
      </c>
      <c r="K38" s="9" t="inlineStr">
        <is>
          <t>MOYEN</t>
        </is>
      </c>
      <c r="L38" s="9" t="inlineStr">
        <is>
          <t>FAIBLE</t>
        </is>
      </c>
      <c r="M38" s="9" t="inlineStr">
        <is>
          <t>Activité professionnelle formulée à l’infinitif ; réponse = degré d’envie de réaliser cette activité, indépendamment du métier actuel et de la compétence perçue.</t>
        </is>
      </c>
    </row>
    <row r="39" ht="48" customHeight="1" s="34">
      <c r="A39" s="9" t="n">
        <v>38</v>
      </c>
      <c r="B39" s="9" t="inlineStr">
        <is>
          <t>PIP-ACT-S-S1-002</t>
        </is>
      </c>
      <c r="C39" s="9" t="inlineStr">
        <is>
          <t>S</t>
        </is>
      </c>
      <c r="D39" s="9" t="inlineStr">
        <is>
          <t>S1</t>
        </is>
      </c>
      <c r="E39" s="9" t="inlineStr">
        <is>
          <t>ACT</t>
        </is>
      </c>
      <c r="F39" s="44" t="inlineStr">
        <is>
          <t>Montrer étape par étape à quelqu’un comment réaliser une tâche pour qu’il puisse ensuite la refaire seul.</t>
        </is>
      </c>
      <c r="G39" s="9" t="inlineStr">
        <is>
          <t>0.6</t>
        </is>
      </c>
      <c r="H39" s="9" t="inlineStr">
        <is>
          <t>PIP-BANK-0.5</t>
        </is>
      </c>
      <c r="I39" s="9" t="inlineStr">
        <is>
          <t>ACTIF</t>
        </is>
      </c>
      <c r="J39" s="9" t="inlineStr">
        <is>
          <t>FAIBLE</t>
        </is>
      </c>
      <c r="K39" s="9" t="inlineStr">
        <is>
          <t>MOYEN</t>
        </is>
      </c>
      <c r="L39" s="9" t="inlineStr">
        <is>
          <t>FAIBLE</t>
        </is>
      </c>
      <c r="M39" s="9" t="inlineStr">
        <is>
          <t>Activité professionnelle formulée à l’infinitif ; réponse = degré d’envie de réaliser cette activité, indépendamment du métier actuel et de la compétence perçue.</t>
        </is>
      </c>
    </row>
    <row r="40" ht="48" customHeight="1" s="34">
      <c r="A40" s="9" t="n">
        <v>39</v>
      </c>
      <c r="B40" s="9" t="inlineStr">
        <is>
          <t>PIP-SIT-S-S1-003</t>
        </is>
      </c>
      <c r="C40" s="9" t="inlineStr">
        <is>
          <t>S</t>
        </is>
      </c>
      <c r="D40" s="9" t="inlineStr">
        <is>
          <t>S1</t>
        </is>
      </c>
      <c r="E40" s="9" t="inlineStr">
        <is>
          <t>SIT</t>
        </is>
      </c>
      <c r="F40" s="44" t="inlineStr">
        <is>
          <t>Chercher une autre manière d’expliquer lorsqu’une personne ne comprend pas du premier coup.</t>
        </is>
      </c>
      <c r="G40" s="9" t="inlineStr">
        <is>
          <t>0.6</t>
        </is>
      </c>
      <c r="H40" s="9" t="inlineStr">
        <is>
          <t>PIP-BANK-0.5</t>
        </is>
      </c>
      <c r="I40" s="9" t="inlineStr">
        <is>
          <t>ACTIF</t>
        </is>
      </c>
      <c r="J40" s="9" t="inlineStr">
        <is>
          <t>FAIBLE</t>
        </is>
      </c>
      <c r="K40" s="9" t="inlineStr">
        <is>
          <t>MOYEN</t>
        </is>
      </c>
      <c r="L40" s="9" t="inlineStr">
        <is>
          <t>FAIBLE</t>
        </is>
      </c>
      <c r="M40" s="9" t="inlineStr">
        <is>
          <t>Activité professionnelle formulée à l’infinitif ; réponse = degré d’envie de réaliser cette activité, indépendamment du métier actuel et de la compétence perçue.</t>
        </is>
      </c>
    </row>
    <row r="41" ht="48" customHeight="1" s="34">
      <c r="A41" s="9" t="n">
        <v>40</v>
      </c>
      <c r="B41" s="9" t="inlineStr">
        <is>
          <t>PIP-ACT-S-S2-005</t>
        </is>
      </c>
      <c r="C41" s="9" t="inlineStr">
        <is>
          <t>S</t>
        </is>
      </c>
      <c r="D41" s="9" t="inlineStr">
        <is>
          <t>S2</t>
        </is>
      </c>
      <c r="E41" s="9" t="inlineStr">
        <is>
          <t>ACT</t>
        </is>
      </c>
      <c r="F41" s="44" t="inlineStr">
        <is>
          <t>Accompagner une personne dans les étapes nécessaires pour atteindre un objectif important pour elle.</t>
        </is>
      </c>
      <c r="G41" s="9" t="inlineStr">
        <is>
          <t>0.6</t>
        </is>
      </c>
      <c r="H41" s="9" t="inlineStr">
        <is>
          <t>PIP-BANK-0.5</t>
        </is>
      </c>
      <c r="I41" s="9" t="inlineStr">
        <is>
          <t>ACTIF</t>
        </is>
      </c>
      <c r="J41" s="9" t="inlineStr">
        <is>
          <t>FAIBLE</t>
        </is>
      </c>
      <c r="K41" s="9" t="inlineStr">
        <is>
          <t>MOYEN</t>
        </is>
      </c>
      <c r="L41" s="9" t="inlineStr">
        <is>
          <t>FAIBLE</t>
        </is>
      </c>
      <c r="M41" s="9" t="inlineStr">
        <is>
          <t>Activité professionnelle formulée à l’infinitif ; réponse = degré d’envie de réaliser cette activité, indépendamment du métier actuel et de la compétence perçue.</t>
        </is>
      </c>
    </row>
    <row r="42" ht="48" customHeight="1" s="34">
      <c r="A42" s="9" t="n">
        <v>41</v>
      </c>
      <c r="B42" s="9" t="inlineStr">
        <is>
          <t>PIP-ACT-S-S2-006</t>
        </is>
      </c>
      <c r="C42" s="9" t="inlineStr">
        <is>
          <t>S</t>
        </is>
      </c>
      <c r="D42" s="9" t="inlineStr">
        <is>
          <t>S2</t>
        </is>
      </c>
      <c r="E42" s="9" t="inlineStr">
        <is>
          <t>ACT</t>
        </is>
      </c>
      <c r="F42" s="44" t="inlineStr">
        <is>
          <t>Soutenir une personne qui rencontre une difficulté dans son parcours.</t>
        </is>
      </c>
      <c r="G42" s="9" t="inlineStr">
        <is>
          <t>0.6</t>
        </is>
      </c>
      <c r="H42" s="9" t="inlineStr">
        <is>
          <t>PIP-BANK-0.5</t>
        </is>
      </c>
      <c r="I42" s="9" t="inlineStr">
        <is>
          <t>ACTIF</t>
        </is>
      </c>
      <c r="J42" s="9" t="inlineStr">
        <is>
          <t>FAIBLE</t>
        </is>
      </c>
      <c r="K42" s="9" t="inlineStr">
        <is>
          <t>MOYEN</t>
        </is>
      </c>
      <c r="L42" s="9" t="inlineStr">
        <is>
          <t>FAIBLE</t>
        </is>
      </c>
      <c r="M42" s="9" t="inlineStr">
        <is>
          <t>Activité professionnelle formulée à l’infinitif ; réponse = degré d’envie de réaliser cette activité, indépendamment du métier actuel et de la compétence perçue.</t>
        </is>
      </c>
    </row>
    <row r="43" ht="48" customHeight="1" s="34">
      <c r="A43" s="9" t="n">
        <v>42</v>
      </c>
      <c r="B43" s="9" t="inlineStr">
        <is>
          <t>PIP-SIT-S-S2-007</t>
        </is>
      </c>
      <c r="C43" s="9" t="inlineStr">
        <is>
          <t>S</t>
        </is>
      </c>
      <c r="D43" s="9" t="inlineStr">
        <is>
          <t>S2</t>
        </is>
      </c>
      <c r="E43" s="9" t="inlineStr">
        <is>
          <t>SIT</t>
        </is>
      </c>
      <c r="F43" s="44" t="inlineStr">
        <is>
          <t>Être présent auprès d’une personne pendant une période de changement et l’aider à avancer progressivement.</t>
        </is>
      </c>
      <c r="G43" s="9" t="inlineStr">
        <is>
          <t>0.6</t>
        </is>
      </c>
      <c r="H43" s="9" t="inlineStr">
        <is>
          <t>PIP-BANK-0.5</t>
        </is>
      </c>
      <c r="I43" s="9" t="inlineStr">
        <is>
          <t>ACTIF</t>
        </is>
      </c>
      <c r="J43" s="9" t="inlineStr">
        <is>
          <t>FAIBLE</t>
        </is>
      </c>
      <c r="K43" s="9" t="inlineStr">
        <is>
          <t>MOYEN</t>
        </is>
      </c>
      <c r="L43" s="9" t="inlineStr">
        <is>
          <t>FAIBLE</t>
        </is>
      </c>
      <c r="M43" s="9" t="inlineStr">
        <is>
          <t>Activité professionnelle formulée à l’infinitif ; réponse = degré d’envie de réaliser cette activité, indépendamment du métier actuel et de la compétence perçue.</t>
        </is>
      </c>
    </row>
    <row r="44" ht="48" customHeight="1" s="34">
      <c r="A44" s="9" t="n">
        <v>43</v>
      </c>
      <c r="B44" s="9" t="inlineStr">
        <is>
          <t>PIP-ACT-S-S3-009</t>
        </is>
      </c>
      <c r="C44" s="9" t="inlineStr">
        <is>
          <t>S</t>
        </is>
      </c>
      <c r="D44" s="9" t="inlineStr">
        <is>
          <t>S3</t>
        </is>
      </c>
      <c r="E44" s="9" t="inlineStr">
        <is>
          <t>ACT</t>
        </is>
      </c>
      <c r="F44" s="44" t="inlineStr">
        <is>
          <t>Écouter la situation d’une personne puis l’aider à repérer les différentes options possibles.</t>
        </is>
      </c>
      <c r="G44" s="9" t="inlineStr">
        <is>
          <t>0.6</t>
        </is>
      </c>
      <c r="H44" s="9" t="inlineStr">
        <is>
          <t>PIP-BANK-0.5</t>
        </is>
      </c>
      <c r="I44" s="9" t="inlineStr">
        <is>
          <t>ACTIF</t>
        </is>
      </c>
      <c r="J44" s="9" t="inlineStr">
        <is>
          <t>MOYEN</t>
        </is>
      </c>
      <c r="K44" s="9" t="inlineStr">
        <is>
          <t>MOYEN</t>
        </is>
      </c>
      <c r="L44" s="9" t="inlineStr">
        <is>
          <t>FAIBLE</t>
        </is>
      </c>
      <c r="M44" s="9" t="inlineStr">
        <is>
          <t>Activité professionnelle formulée à l’infinitif ; réponse = degré d’envie de réaliser cette activité, indépendamment du métier actuel et de la compétence perçue.</t>
        </is>
      </c>
    </row>
    <row r="45" ht="48" customHeight="1" s="34">
      <c r="A45" s="9" t="n">
        <v>44</v>
      </c>
      <c r="B45" s="9" t="inlineStr">
        <is>
          <t>PIP-ACT-S-S3-010</t>
        </is>
      </c>
      <c r="C45" s="9" t="inlineStr">
        <is>
          <t>S</t>
        </is>
      </c>
      <c r="D45" s="9" t="inlineStr">
        <is>
          <t>S3</t>
        </is>
      </c>
      <c r="E45" s="9" t="inlineStr">
        <is>
          <t>ACT</t>
        </is>
      </c>
      <c r="F45" s="44" t="inlineStr">
        <is>
          <t>Donner à quelqu’un les informations utiles pour qu’il puisse prendre lui-même une décision éclairée.</t>
        </is>
      </c>
      <c r="G45" s="9" t="inlineStr">
        <is>
          <t>0.6</t>
        </is>
      </c>
      <c r="H45" s="9" t="inlineStr">
        <is>
          <t>PIP-BANK-0.5</t>
        </is>
      </c>
      <c r="I45" s="9" t="inlineStr">
        <is>
          <t>ACTIF</t>
        </is>
      </c>
      <c r="J45" s="9" t="inlineStr">
        <is>
          <t>FAIBLE</t>
        </is>
      </c>
      <c r="K45" s="9" t="inlineStr">
        <is>
          <t>MOYEN</t>
        </is>
      </c>
      <c r="L45" s="9" t="inlineStr">
        <is>
          <t>FAIBLE</t>
        </is>
      </c>
      <c r="M45" s="9" t="inlineStr">
        <is>
          <t>Activité professionnelle formulée à l’infinitif ; réponse = degré d’envie de réaliser cette activité, indépendamment du métier actuel et de la compétence perçue.</t>
        </is>
      </c>
    </row>
    <row r="46" ht="48" customHeight="1" s="34">
      <c r="A46" s="9" t="n">
        <v>45</v>
      </c>
      <c r="B46" s="9" t="inlineStr">
        <is>
          <t>PIP-ACT-S-S4-013</t>
        </is>
      </c>
      <c r="C46" s="9" t="inlineStr">
        <is>
          <t>S</t>
        </is>
      </c>
      <c r="D46" s="9" t="inlineStr">
        <is>
          <t>S4</t>
        </is>
      </c>
      <c r="E46" s="9" t="inlineStr">
        <is>
          <t>ACT</t>
        </is>
      </c>
      <c r="F46" s="44" t="inlineStr">
        <is>
          <t>Aider concrètement une personne fragilisée à préserver ou retrouver son confort, sa santé ou son autonomie.</t>
        </is>
      </c>
      <c r="G46" s="9" t="inlineStr">
        <is>
          <t>0.6</t>
        </is>
      </c>
      <c r="H46" s="9" t="inlineStr">
        <is>
          <t>PIP-BANK-0.5</t>
        </is>
      </c>
      <c r="I46" s="9" t="inlineStr">
        <is>
          <t>ACTIF</t>
        </is>
      </c>
      <c r="J46" s="9" t="inlineStr">
        <is>
          <t>FAIBLE</t>
        </is>
      </c>
      <c r="K46" s="9" t="inlineStr">
        <is>
          <t>MOYEN</t>
        </is>
      </c>
      <c r="L46" s="9" t="inlineStr">
        <is>
          <t>FAIBLE</t>
        </is>
      </c>
      <c r="M46" s="9" t="inlineStr">
        <is>
          <t>Activité professionnelle formulée à l’infinitif ; réponse = degré d’envie de réaliser cette activité, indépendamment du métier actuel et de la compétence perçue.</t>
        </is>
      </c>
    </row>
    <row r="47" ht="48" customHeight="1" s="34">
      <c r="A47" s="9" t="n">
        <v>46</v>
      </c>
      <c r="B47" s="9" t="inlineStr">
        <is>
          <t>PIP-ACT-S-S4-014</t>
        </is>
      </c>
      <c r="C47" s="9" t="inlineStr">
        <is>
          <t>S</t>
        </is>
      </c>
      <c r="D47" s="9" t="inlineStr">
        <is>
          <t>S4</t>
        </is>
      </c>
      <c r="E47" s="9" t="inlineStr">
        <is>
          <t>ACT</t>
        </is>
      </c>
      <c r="F47" s="44" t="inlineStr">
        <is>
          <t>Réaliser des gestes d’assistance ou de prévention destinés à protéger la santé ou la sécurité d’une personne.</t>
        </is>
      </c>
      <c r="G47" s="9" t="inlineStr">
        <is>
          <t>0.6</t>
        </is>
      </c>
      <c r="H47" s="9" t="inlineStr">
        <is>
          <t>PIP-BANK-0.5</t>
        </is>
      </c>
      <c r="I47" s="9" t="inlineStr">
        <is>
          <t>ACTIF</t>
        </is>
      </c>
      <c r="J47" s="9" t="inlineStr">
        <is>
          <t>FAIBLE</t>
        </is>
      </c>
      <c r="K47" s="9" t="inlineStr">
        <is>
          <t>MOYEN</t>
        </is>
      </c>
      <c r="L47" s="9" t="inlineStr">
        <is>
          <t>MOYEN</t>
        </is>
      </c>
      <c r="M47" s="9" t="inlineStr">
        <is>
          <t>Activité professionnelle formulée à l’infinitif ; réponse = degré d’envie de réaliser cette activité, indépendamment du métier actuel et de la compétence perçue.</t>
        </is>
      </c>
    </row>
    <row r="48" ht="48" customHeight="1" s="34">
      <c r="A48" s="9" t="n">
        <v>47</v>
      </c>
      <c r="B48" s="9" t="inlineStr">
        <is>
          <t>PIP-ACT-S-S5-017</t>
        </is>
      </c>
      <c r="C48" s="9" t="inlineStr">
        <is>
          <t>S</t>
        </is>
      </c>
      <c r="D48" s="9" t="inlineStr">
        <is>
          <t>S5</t>
        </is>
      </c>
      <c r="E48" s="9" t="inlineStr">
        <is>
          <t>ACT</t>
        </is>
      </c>
      <c r="F48" s="44" t="inlineStr">
        <is>
          <t>Accueillir une personne, comprendre sa demande et l’orienter vers le service ou la solution adaptée.</t>
        </is>
      </c>
      <c r="G48" s="9" t="inlineStr">
        <is>
          <t>0.6</t>
        </is>
      </c>
      <c r="H48" s="9" t="inlineStr">
        <is>
          <t>PIP-BANK-0.5</t>
        </is>
      </c>
      <c r="I48" s="9" t="inlineStr">
        <is>
          <t>ACTIF</t>
        </is>
      </c>
      <c r="J48" s="9" t="inlineStr">
        <is>
          <t>FAIBLE</t>
        </is>
      </c>
      <c r="K48" s="9" t="inlineStr">
        <is>
          <t>MOYEN</t>
        </is>
      </c>
      <c r="L48" s="9" t="inlineStr">
        <is>
          <t>FAIBLE</t>
        </is>
      </c>
      <c r="M48" s="9" t="inlineStr">
        <is>
          <t>Activité professionnelle formulée à l’infinitif ; réponse = degré d’envie de réaliser cette activité, indépendamment du métier actuel et de la compétence perçue.</t>
        </is>
      </c>
    </row>
    <row r="49" ht="48" customHeight="1" s="34">
      <c r="A49" s="9" t="n">
        <v>48</v>
      </c>
      <c r="B49" s="9" t="inlineStr">
        <is>
          <t>PIP-ACT-S-S5-018</t>
        </is>
      </c>
      <c r="C49" s="9" t="inlineStr">
        <is>
          <t>S</t>
        </is>
      </c>
      <c r="D49" s="9" t="inlineStr">
        <is>
          <t>S5</t>
        </is>
      </c>
      <c r="E49" s="9" t="inlineStr">
        <is>
          <t>ACT</t>
        </is>
      </c>
      <c r="F49" s="44" t="inlineStr">
        <is>
          <t>Répondre concrètement à la demande d’un usager ou d’un client afin de lui faciliter une démarche.</t>
        </is>
      </c>
      <c r="G49" s="9" t="inlineStr">
        <is>
          <t>0.6</t>
        </is>
      </c>
      <c r="H49" s="9" t="inlineStr">
        <is>
          <t>PIP-BANK-0.5</t>
        </is>
      </c>
      <c r="I49" s="9" t="inlineStr">
        <is>
          <t>ACTIF</t>
        </is>
      </c>
      <c r="J49" s="9" t="inlineStr">
        <is>
          <t>FAIBLE</t>
        </is>
      </c>
      <c r="K49" s="9" t="inlineStr">
        <is>
          <t>MOYEN</t>
        </is>
      </c>
      <c r="L49" s="9" t="inlineStr">
        <is>
          <t>FAIBLE</t>
        </is>
      </c>
      <c r="M49" s="9" t="inlineStr">
        <is>
          <t>Activité professionnelle formulée à l’infinitif ; réponse = degré d’envie de réaliser cette activité, indépendamment du métier actuel et de la compétence perçue.</t>
        </is>
      </c>
    </row>
    <row r="50" ht="48" customHeight="1" s="34">
      <c r="A50" s="9" t="n">
        <v>49</v>
      </c>
      <c r="B50" s="9" t="inlineStr">
        <is>
          <t>PIP-ACT-E-E1-001</t>
        </is>
      </c>
      <c r="C50" s="9" t="inlineStr">
        <is>
          <t>E</t>
        </is>
      </c>
      <c r="D50" s="9" t="inlineStr">
        <is>
          <t>E1</t>
        </is>
      </c>
      <c r="E50" s="9" t="inlineStr">
        <is>
          <t>ACT</t>
        </is>
      </c>
      <c r="F50" s="44" t="inlineStr">
        <is>
          <t>Lancer un nouveau service, une activité ou un projet à partir d’une idée ou d’une opportunité.</t>
        </is>
      </c>
      <c r="G50" s="9" t="inlineStr">
        <is>
          <t>0.6</t>
        </is>
      </c>
      <c r="H50" s="9" t="inlineStr">
        <is>
          <t>PIP-BANK-0.5</t>
        </is>
      </c>
      <c r="I50" s="9" t="inlineStr">
        <is>
          <t>ACTIF</t>
        </is>
      </c>
      <c r="J50" s="9" t="inlineStr">
        <is>
          <t>FAIBLE</t>
        </is>
      </c>
      <c r="K50" s="9" t="inlineStr">
        <is>
          <t>MOYEN</t>
        </is>
      </c>
      <c r="L50" s="9" t="inlineStr">
        <is>
          <t>FAIBLE</t>
        </is>
      </c>
      <c r="M50" s="9" t="inlineStr">
        <is>
          <t>Activité professionnelle formulée à l’infinitif ; réponse = degré d’envie de réaliser cette activité, indépendamment du métier actuel et de la compétence perçue.</t>
        </is>
      </c>
    </row>
    <row r="51" ht="48" customHeight="1" s="34">
      <c r="A51" s="9" t="n">
        <v>50</v>
      </c>
      <c r="B51" s="9" t="inlineStr">
        <is>
          <t>PIP-ACT-E-E1-002</t>
        </is>
      </c>
      <c r="C51" s="9" t="inlineStr">
        <is>
          <t>E</t>
        </is>
      </c>
      <c r="D51" s="9" t="inlineStr">
        <is>
          <t>E1</t>
        </is>
      </c>
      <c r="E51" s="9" t="inlineStr">
        <is>
          <t>ACT</t>
        </is>
      </c>
      <c r="F51" s="44" t="inlineStr">
        <is>
          <t>Rechercher de nouvelles possibilités pour développer un projet, une activité ou une offre existante.</t>
        </is>
      </c>
      <c r="G51" s="9" t="inlineStr">
        <is>
          <t>0.6</t>
        </is>
      </c>
      <c r="H51" s="9" t="inlineStr">
        <is>
          <t>PIP-BANK-0.5</t>
        </is>
      </c>
      <c r="I51" s="9" t="inlineStr">
        <is>
          <t>ACTIF</t>
        </is>
      </c>
      <c r="J51" s="9" t="inlineStr">
        <is>
          <t>FAIBLE</t>
        </is>
      </c>
      <c r="K51" s="9" t="inlineStr">
        <is>
          <t>MOYEN</t>
        </is>
      </c>
      <c r="L51" s="9" t="inlineStr">
        <is>
          <t>FAIBLE</t>
        </is>
      </c>
      <c r="M51" s="9" t="inlineStr">
        <is>
          <t>Activité professionnelle formulée à l’infinitif ; réponse = degré d’envie de réaliser cette activité, indépendamment du métier actuel et de la compétence perçue.</t>
        </is>
      </c>
    </row>
    <row r="52" ht="48" customHeight="1" s="34">
      <c r="A52" s="9" t="n">
        <v>51</v>
      </c>
      <c r="B52" s="9" t="inlineStr">
        <is>
          <t>PIP-SIT-E-E1-003</t>
        </is>
      </c>
      <c r="C52" s="9" t="inlineStr">
        <is>
          <t>E</t>
        </is>
      </c>
      <c r="D52" s="9" t="inlineStr">
        <is>
          <t>E1</t>
        </is>
      </c>
      <c r="E52" s="9" t="inlineStr">
        <is>
          <t>SIT</t>
        </is>
      </c>
      <c r="F52" s="44" t="inlineStr">
        <is>
          <t>Repérer une opportunité et prendre l’initiative de réunir les moyens nécessaires pour en faire un projet concret.</t>
        </is>
      </c>
      <c r="G52" s="9" t="inlineStr">
        <is>
          <t>0.6</t>
        </is>
      </c>
      <c r="H52" s="9" t="inlineStr">
        <is>
          <t>PIP-BANK-0.5</t>
        </is>
      </c>
      <c r="I52" s="9" t="inlineStr">
        <is>
          <t>ACTIF</t>
        </is>
      </c>
      <c r="J52" s="9" t="inlineStr">
        <is>
          <t>FAIBLE</t>
        </is>
      </c>
      <c r="K52" s="9" t="inlineStr">
        <is>
          <t>MOYEN</t>
        </is>
      </c>
      <c r="L52" s="9" t="inlineStr">
        <is>
          <t>FAIBLE</t>
        </is>
      </c>
      <c r="M52" s="9" t="inlineStr">
        <is>
          <t>Activité professionnelle formulée à l’infinitif ; réponse = degré d’envie de réaliser cette activité, indépendamment du métier actuel et de la compétence perçue.</t>
        </is>
      </c>
    </row>
    <row r="53" ht="48" customHeight="1" s="34">
      <c r="A53" s="9" t="n">
        <v>52</v>
      </c>
      <c r="B53" s="9" t="inlineStr">
        <is>
          <t>PIP-ACT-E-E2-005</t>
        </is>
      </c>
      <c r="C53" s="9" t="inlineStr">
        <is>
          <t>E</t>
        </is>
      </c>
      <c r="D53" s="9" t="inlineStr">
        <is>
          <t>E2</t>
        </is>
      </c>
      <c r="E53" s="9" t="inlineStr">
        <is>
          <t>ACT</t>
        </is>
      </c>
      <c r="F53" s="44" t="inlineStr">
        <is>
          <t>Présenter une proposition à un client, une équipe ou un partenaire de manière à susciter son adhésion.</t>
        </is>
      </c>
      <c r="G53" s="9" t="inlineStr">
        <is>
          <t>0.6</t>
        </is>
      </c>
      <c r="H53" s="9" t="inlineStr">
        <is>
          <t>PIP-BANK-0.5</t>
        </is>
      </c>
      <c r="I53" s="9" t="inlineStr">
        <is>
          <t>ACTIF</t>
        </is>
      </c>
      <c r="J53" s="9" t="inlineStr">
        <is>
          <t>FAIBLE</t>
        </is>
      </c>
      <c r="K53" s="9" t="inlineStr">
        <is>
          <t>MOYEN</t>
        </is>
      </c>
      <c r="L53" s="9" t="inlineStr">
        <is>
          <t>FAIBLE</t>
        </is>
      </c>
      <c r="M53" s="9" t="inlineStr">
        <is>
          <t>Activité professionnelle formulée à l’infinitif ; réponse = degré d’envie de réaliser cette activité, indépendamment du métier actuel et de la compétence perçue.</t>
        </is>
      </c>
    </row>
    <row r="54" ht="48" customHeight="1" s="34">
      <c r="A54" s="9" t="n">
        <v>53</v>
      </c>
      <c r="B54" s="9" t="inlineStr">
        <is>
          <t>PIP-ACT-E-E2-006</t>
        </is>
      </c>
      <c r="C54" s="9" t="inlineStr">
        <is>
          <t>E</t>
        </is>
      </c>
      <c r="D54" s="9" t="inlineStr">
        <is>
          <t>E2</t>
        </is>
      </c>
      <c r="E54" s="9" t="inlineStr">
        <is>
          <t>ACT</t>
        </is>
      </c>
      <c r="F54" s="44" t="inlineStr">
        <is>
          <t>Promouvoir un produit, un service, un projet ou une idée auprès d’un public susceptible d’être intéressé.</t>
        </is>
      </c>
      <c r="G54" s="9" t="inlineStr">
        <is>
          <t>0.6</t>
        </is>
      </c>
      <c r="H54" s="9" t="inlineStr">
        <is>
          <t>PIP-BANK-0.5</t>
        </is>
      </c>
      <c r="I54" s="9" t="inlineStr">
        <is>
          <t>ACTIF</t>
        </is>
      </c>
      <c r="J54" s="9" t="inlineStr">
        <is>
          <t>FAIBLE</t>
        </is>
      </c>
      <c r="K54" s="9" t="inlineStr">
        <is>
          <t>MOYEN</t>
        </is>
      </c>
      <c r="L54" s="9" t="inlineStr">
        <is>
          <t>FAIBLE</t>
        </is>
      </c>
      <c r="M54" s="9" t="inlineStr">
        <is>
          <t>Activité professionnelle formulée à l’infinitif ; réponse = degré d’envie de réaliser cette activité, indépendamment du métier actuel et de la compétence perçue.</t>
        </is>
      </c>
    </row>
    <row r="55" ht="48" customHeight="1" s="34">
      <c r="A55" s="9" t="n">
        <v>54</v>
      </c>
      <c r="B55" s="9" t="inlineStr">
        <is>
          <t>PIP-SIT-E-E2-007</t>
        </is>
      </c>
      <c r="C55" s="9" t="inlineStr">
        <is>
          <t>E</t>
        </is>
      </c>
      <c r="D55" s="9" t="inlineStr">
        <is>
          <t>E2</t>
        </is>
      </c>
      <c r="E55" s="9" t="inlineStr">
        <is>
          <t>SIT</t>
        </is>
      </c>
      <c r="F55" s="44" t="inlineStr">
        <is>
          <t>Défendre une proposition devant des personnes hésitantes afin de les convaincre de la retenir.</t>
        </is>
      </c>
      <c r="G55" s="9" t="inlineStr">
        <is>
          <t>0.6</t>
        </is>
      </c>
      <c r="H55" s="9" t="inlineStr">
        <is>
          <t>PIP-BANK-0.5</t>
        </is>
      </c>
      <c r="I55" s="9" t="inlineStr">
        <is>
          <t>ACTIF</t>
        </is>
      </c>
      <c r="J55" s="9" t="inlineStr">
        <is>
          <t>FAIBLE</t>
        </is>
      </c>
      <c r="K55" s="9" t="inlineStr">
        <is>
          <t>MOYEN</t>
        </is>
      </c>
      <c r="L55" s="9" t="inlineStr">
        <is>
          <t>FAIBLE</t>
        </is>
      </c>
      <c r="M55" s="9" t="inlineStr">
        <is>
          <t>Activité professionnelle formulée à l’infinitif ; réponse = degré d’envie de réaliser cette activité, indépendamment du métier actuel et de la compétence perçue.</t>
        </is>
      </c>
    </row>
    <row r="56" ht="48" customHeight="1" s="34">
      <c r="A56" s="9" t="n">
        <v>55</v>
      </c>
      <c r="B56" s="9" t="inlineStr">
        <is>
          <t>PIP-ACT-E-E3-009</t>
        </is>
      </c>
      <c r="C56" s="9" t="inlineStr">
        <is>
          <t>E</t>
        </is>
      </c>
      <c r="D56" s="9" t="inlineStr">
        <is>
          <t>E3</t>
        </is>
      </c>
      <c r="E56" s="9" t="inlineStr">
        <is>
          <t>ACT</t>
        </is>
      </c>
      <c r="F56" s="44" t="inlineStr">
        <is>
          <t>Négocier les conditions d’un accord entre plusieurs parties pour parvenir à une solution acceptable.</t>
        </is>
      </c>
      <c r="G56" s="9" t="inlineStr">
        <is>
          <t>0.6</t>
        </is>
      </c>
      <c r="H56" s="9" t="inlineStr">
        <is>
          <t>PIP-BANK-0.5</t>
        </is>
      </c>
      <c r="I56" s="9" t="inlineStr">
        <is>
          <t>ACTIF</t>
        </is>
      </c>
      <c r="J56" s="9" t="inlineStr">
        <is>
          <t>FAIBLE</t>
        </is>
      </c>
      <c r="K56" s="9" t="inlineStr">
        <is>
          <t>MOYEN</t>
        </is>
      </c>
      <c r="L56" s="9" t="inlineStr">
        <is>
          <t>MOYEN</t>
        </is>
      </c>
      <c r="M56" s="9" t="inlineStr">
        <is>
          <t>Activité professionnelle formulée à l’infinitif ; réponse = degré d’envie de réaliser cette activité, indépendamment du métier actuel et de la compétence perçue.</t>
        </is>
      </c>
    </row>
    <row r="57" ht="48" customHeight="1" s="34">
      <c r="A57" s="9" t="n">
        <v>56</v>
      </c>
      <c r="B57" s="9" t="inlineStr">
        <is>
          <t>PIP-ACT-E-E3-010</t>
        </is>
      </c>
      <c r="C57" s="9" t="inlineStr">
        <is>
          <t>E</t>
        </is>
      </c>
      <c r="D57" s="9" t="inlineStr">
        <is>
          <t>E3</t>
        </is>
      </c>
      <c r="E57" s="9" t="inlineStr">
        <is>
          <t>ACT</t>
        </is>
      </c>
      <c r="F57" s="44" t="inlineStr">
        <is>
          <t>Rechercher un compromis lorsque plusieurs personnes ou organisations défendent des intérêts différents.</t>
        </is>
      </c>
      <c r="G57" s="9" t="inlineStr">
        <is>
          <t>0.6</t>
        </is>
      </c>
      <c r="H57" s="9" t="inlineStr">
        <is>
          <t>PIP-BANK-0.5</t>
        </is>
      </c>
      <c r="I57" s="9" t="inlineStr">
        <is>
          <t>ACTIF</t>
        </is>
      </c>
      <c r="J57" s="9" t="inlineStr">
        <is>
          <t>MOYEN</t>
        </is>
      </c>
      <c r="K57" s="9" t="inlineStr">
        <is>
          <t>MOYEN</t>
        </is>
      </c>
      <c r="L57" s="9" t="inlineStr">
        <is>
          <t>FAIBLE</t>
        </is>
      </c>
      <c r="M57" s="9" t="inlineStr">
        <is>
          <t>Activité professionnelle formulée à l’infinitif ; réponse = degré d’envie de réaliser cette activité, indépendamment du métier actuel et de la compétence perçue.</t>
        </is>
      </c>
    </row>
    <row r="58" ht="48" customHeight="1" s="34">
      <c r="A58" s="9" t="n">
        <v>57</v>
      </c>
      <c r="B58" s="9" t="inlineStr">
        <is>
          <t>PIP-ACT-E-E4-013</t>
        </is>
      </c>
      <c r="C58" s="9" t="inlineStr">
        <is>
          <t>E</t>
        </is>
      </c>
      <c r="D58" s="9" t="inlineStr">
        <is>
          <t>E4</t>
        </is>
      </c>
      <c r="E58" s="9" t="inlineStr">
        <is>
          <t>ACT</t>
        </is>
      </c>
      <c r="F58" s="44" t="inlineStr">
        <is>
          <t>Coordonner plusieurs personnes, répartir les responsabilités et suivre l’avancement d’un projet.</t>
        </is>
      </c>
      <c r="G58" s="9" t="inlineStr">
        <is>
          <t>0.6</t>
        </is>
      </c>
      <c r="H58" s="9" t="inlineStr">
        <is>
          <t>PIP-BANK-0.5</t>
        </is>
      </c>
      <c r="I58" s="9" t="inlineStr">
        <is>
          <t>ACTIF</t>
        </is>
      </c>
      <c r="J58" s="9" t="inlineStr">
        <is>
          <t>MOYEN</t>
        </is>
      </c>
      <c r="K58" s="9" t="inlineStr">
        <is>
          <t>MOYEN</t>
        </is>
      </c>
      <c r="L58" s="9" t="inlineStr">
        <is>
          <t>FAIBLE</t>
        </is>
      </c>
      <c r="M58" s="9" t="inlineStr">
        <is>
          <t>Activité professionnelle formulée à l’infinitif ; réponse = degré d’envie de réaliser cette activité, indépendamment du métier actuel et de la compétence perçue.</t>
        </is>
      </c>
    </row>
    <row r="59" ht="48" customHeight="1" s="34">
      <c r="A59" s="9" t="n">
        <v>58</v>
      </c>
      <c r="B59" s="9" t="inlineStr">
        <is>
          <t>PIP-ACT-E-E4-014</t>
        </is>
      </c>
      <c r="C59" s="9" t="inlineStr">
        <is>
          <t>E</t>
        </is>
      </c>
      <c r="D59" s="9" t="inlineStr">
        <is>
          <t>E4</t>
        </is>
      </c>
      <c r="E59" s="9" t="inlineStr">
        <is>
          <t>ACT</t>
        </is>
      </c>
      <c r="F59" s="44" t="inlineStr">
        <is>
          <t>Prendre une décision qui donne une direction claire à une équipe ou à un projet.</t>
        </is>
      </c>
      <c r="G59" s="9" t="inlineStr">
        <is>
          <t>0.6</t>
        </is>
      </c>
      <c r="H59" s="9" t="inlineStr">
        <is>
          <t>PIP-BANK-0.5</t>
        </is>
      </c>
      <c r="I59" s="9" t="inlineStr">
        <is>
          <t>ACTIF</t>
        </is>
      </c>
      <c r="J59" s="9" t="inlineStr">
        <is>
          <t>FAIBLE</t>
        </is>
      </c>
      <c r="K59" s="9" t="inlineStr">
        <is>
          <t>MOYEN</t>
        </is>
      </c>
      <c r="L59" s="9" t="inlineStr">
        <is>
          <t>FAIBLE</t>
        </is>
      </c>
      <c r="M59" s="9" t="inlineStr">
        <is>
          <t>Activité professionnelle formulée à l’infinitif ; réponse = degré d’envie de réaliser cette activité, indépendamment du métier actuel et de la compétence perçue.</t>
        </is>
      </c>
    </row>
    <row r="60" ht="48" customHeight="1" s="34">
      <c r="A60" s="9" t="n">
        <v>59</v>
      </c>
      <c r="B60" s="9" t="inlineStr">
        <is>
          <t>PIP-ACT-E-E5-017</t>
        </is>
      </c>
      <c r="C60" s="9" t="inlineStr">
        <is>
          <t>E</t>
        </is>
      </c>
      <c r="D60" s="9" t="inlineStr">
        <is>
          <t>E5</t>
        </is>
      </c>
      <c r="E60" s="9" t="inlineStr">
        <is>
          <t>ACT</t>
        </is>
      </c>
      <c r="F60" s="44" t="inlineStr">
        <is>
          <t>Prendre la parole au nom d’une organisation, d’un projet ou d’une cause devant des interlocuteurs externes.</t>
        </is>
      </c>
      <c r="G60" s="9" t="inlineStr">
        <is>
          <t>0.6</t>
        </is>
      </c>
      <c r="H60" s="9" t="inlineStr">
        <is>
          <t>PIP-BANK-0.5</t>
        </is>
      </c>
      <c r="I60" s="9" t="inlineStr">
        <is>
          <t>ACTIF</t>
        </is>
      </c>
      <c r="J60" s="9" t="inlineStr">
        <is>
          <t>FAIBLE</t>
        </is>
      </c>
      <c r="K60" s="9" t="inlineStr">
        <is>
          <t>MOYEN</t>
        </is>
      </c>
      <c r="L60" s="9" t="inlineStr">
        <is>
          <t>FAIBLE</t>
        </is>
      </c>
      <c r="M60" s="9" t="inlineStr">
        <is>
          <t>Activité professionnelle formulée à l’infinitif ; réponse = degré d’envie de réaliser cette activité, indépendamment du métier actuel et de la compétence perçue.</t>
        </is>
      </c>
    </row>
    <row r="61" ht="48" customHeight="1" s="34">
      <c r="A61" s="9" t="n">
        <v>60</v>
      </c>
      <c r="B61" s="9" t="inlineStr">
        <is>
          <t>PIP-ACT-E-E5-018</t>
        </is>
      </c>
      <c r="C61" s="9" t="inlineStr">
        <is>
          <t>E</t>
        </is>
      </c>
      <c r="D61" s="9" t="inlineStr">
        <is>
          <t>E5</t>
        </is>
      </c>
      <c r="E61" s="9" t="inlineStr">
        <is>
          <t>ACT</t>
        </is>
      </c>
      <c r="F61" s="44" t="inlineStr">
        <is>
          <t>Mobiliser plusieurs personnes autour d’un objectif et leur donner envie de contribuer.</t>
        </is>
      </c>
      <c r="G61" s="9" t="inlineStr">
        <is>
          <t>0.6</t>
        </is>
      </c>
      <c r="H61" s="9" t="inlineStr">
        <is>
          <t>PIP-BANK-0.5</t>
        </is>
      </c>
      <c r="I61" s="9" t="inlineStr">
        <is>
          <t>ACTIF</t>
        </is>
      </c>
      <c r="J61" s="9" t="inlineStr">
        <is>
          <t>FAIBLE</t>
        </is>
      </c>
      <c r="K61" s="9" t="inlineStr">
        <is>
          <t>MOYEN</t>
        </is>
      </c>
      <c r="L61" s="9" t="inlineStr">
        <is>
          <t>FAIBLE</t>
        </is>
      </c>
      <c r="M61" s="9" t="inlineStr">
        <is>
          <t>Activité professionnelle formulée à l’infinitif ; réponse = degré d’envie de réaliser cette activité, indépendamment du métier actuel et de la compétence perçue.</t>
        </is>
      </c>
    </row>
    <row r="62" ht="48" customHeight="1" s="34">
      <c r="A62" s="9" t="n">
        <v>61</v>
      </c>
      <c r="B62" s="9" t="inlineStr">
        <is>
          <t>PIP-ACT-C-C1-001</t>
        </is>
      </c>
      <c r="C62" s="9" t="inlineStr">
        <is>
          <t>C</t>
        </is>
      </c>
      <c r="D62" s="9" t="inlineStr">
        <is>
          <t>C1</t>
        </is>
      </c>
      <c r="E62" s="9" t="inlineStr">
        <is>
          <t>ACT</t>
        </is>
      </c>
      <c r="F62" s="44" t="inlineStr">
        <is>
          <t>Organiser des dossiers ou des informations de manière à pouvoir les retrouver rapidement.</t>
        </is>
      </c>
      <c r="G62" s="9" t="inlineStr">
        <is>
          <t>0.6</t>
        </is>
      </c>
      <c r="H62" s="9" t="inlineStr">
        <is>
          <t>PIP-BANK-0.5</t>
        </is>
      </c>
      <c r="I62" s="9" t="inlineStr">
        <is>
          <t>ACTIF</t>
        </is>
      </c>
      <c r="J62" s="9" t="inlineStr">
        <is>
          <t>FAIBLE</t>
        </is>
      </c>
      <c r="K62" s="9" t="inlineStr">
        <is>
          <t>MOYEN</t>
        </is>
      </c>
      <c r="L62" s="9" t="inlineStr">
        <is>
          <t>FAIBLE</t>
        </is>
      </c>
      <c r="M62" s="9" t="inlineStr">
        <is>
          <t>Activité professionnelle formulée à l’infinitif ; réponse = degré d’envie de réaliser cette activité, indépendamment du métier actuel et de la compétence perçue.</t>
        </is>
      </c>
    </row>
    <row r="63" ht="48" customHeight="1" s="34">
      <c r="A63" s="9" t="n">
        <v>62</v>
      </c>
      <c r="B63" s="9" t="inlineStr">
        <is>
          <t>PIP-ACT-C-C1-002</t>
        </is>
      </c>
      <c r="C63" s="9" t="inlineStr">
        <is>
          <t>C</t>
        </is>
      </c>
      <c r="D63" s="9" t="inlineStr">
        <is>
          <t>C1</t>
        </is>
      </c>
      <c r="E63" s="9" t="inlineStr">
        <is>
          <t>ACT</t>
        </is>
      </c>
      <c r="F63" s="44" t="inlineStr">
        <is>
          <t>Classer des documents ou des données selon des catégories et des règles définies.</t>
        </is>
      </c>
      <c r="G63" s="9" t="inlineStr">
        <is>
          <t>0.6</t>
        </is>
      </c>
      <c r="H63" s="9" t="inlineStr">
        <is>
          <t>PIP-BANK-0.5</t>
        </is>
      </c>
      <c r="I63" s="9" t="inlineStr">
        <is>
          <t>ACTIF</t>
        </is>
      </c>
      <c r="J63" s="9" t="inlineStr">
        <is>
          <t>FAIBLE</t>
        </is>
      </c>
      <c r="K63" s="9" t="inlineStr">
        <is>
          <t>MOYEN</t>
        </is>
      </c>
      <c r="L63" s="9" t="inlineStr">
        <is>
          <t>FAIBLE</t>
        </is>
      </c>
      <c r="M63" s="9" t="inlineStr">
        <is>
          <t>Activité professionnelle formulée à l’infinitif ; réponse = degré d’envie de réaliser cette activité, indépendamment du métier actuel et de la compétence perçue.</t>
        </is>
      </c>
    </row>
    <row r="64" ht="48" customHeight="1" s="34">
      <c r="A64" s="9" t="n">
        <v>63</v>
      </c>
      <c r="B64" s="9" t="inlineStr">
        <is>
          <t>PIP-SIT-C-C1-003</t>
        </is>
      </c>
      <c r="C64" s="9" t="inlineStr">
        <is>
          <t>C</t>
        </is>
      </c>
      <c r="D64" s="9" t="inlineStr">
        <is>
          <t>C1</t>
        </is>
      </c>
      <c r="E64" s="9" t="inlineStr">
        <is>
          <t>SIT</t>
        </is>
      </c>
      <c r="F64" s="44" t="inlineStr">
        <is>
          <t>Réorganiser un ensemble de fichiers ou d’informations dispersés pour les rendre faciles à utiliser.</t>
        </is>
      </c>
      <c r="G64" s="9" t="inlineStr">
        <is>
          <t>0.6</t>
        </is>
      </c>
      <c r="H64" s="9" t="inlineStr">
        <is>
          <t>PIP-BANK-0.5</t>
        </is>
      </c>
      <c r="I64" s="9" t="inlineStr">
        <is>
          <t>ACTIF</t>
        </is>
      </c>
      <c r="J64" s="9" t="inlineStr">
        <is>
          <t>FAIBLE</t>
        </is>
      </c>
      <c r="K64" s="9" t="inlineStr">
        <is>
          <t>MOYEN</t>
        </is>
      </c>
      <c r="L64" s="9" t="inlineStr">
        <is>
          <t>FAIBLE</t>
        </is>
      </c>
      <c r="M64" s="9" t="inlineStr">
        <is>
          <t>Activité professionnelle formulée à l’infinitif ; réponse = degré d’envie de réaliser cette activité, indépendamment du métier actuel et de la compétence perçue.</t>
        </is>
      </c>
    </row>
    <row r="65" ht="48" customHeight="1" s="34">
      <c r="A65" s="9" t="n">
        <v>64</v>
      </c>
      <c r="B65" s="9" t="inlineStr">
        <is>
          <t>PIP-ACT-C-C2-005</t>
        </is>
      </c>
      <c r="C65" s="9" t="inlineStr">
        <is>
          <t>C</t>
        </is>
      </c>
      <c r="D65" s="9" t="inlineStr">
        <is>
          <t>C2</t>
        </is>
      </c>
      <c r="E65" s="9" t="inlineStr">
        <is>
          <t>ACT</t>
        </is>
      </c>
      <c r="F65" s="44" t="inlineStr">
        <is>
          <t>Saisir avec précision des informations dans un dossier, une base ou un système de suivi.</t>
        </is>
      </c>
      <c r="G65" s="9" t="inlineStr">
        <is>
          <t>0.6</t>
        </is>
      </c>
      <c r="H65" s="9" t="inlineStr">
        <is>
          <t>PIP-BANK-0.5</t>
        </is>
      </c>
      <c r="I65" s="9" t="inlineStr">
        <is>
          <t>ACTIF</t>
        </is>
      </c>
      <c r="J65" s="9" t="inlineStr">
        <is>
          <t>FAIBLE</t>
        </is>
      </c>
      <c r="K65" s="9" t="inlineStr">
        <is>
          <t>MOYEN</t>
        </is>
      </c>
      <c r="L65" s="9" t="inlineStr">
        <is>
          <t>MOYEN</t>
        </is>
      </c>
      <c r="M65" s="9" t="inlineStr">
        <is>
          <t>Activité professionnelle formulée à l’infinitif ; réponse = degré d’envie de réaliser cette activité, indépendamment du métier actuel et de la compétence perçue.</t>
        </is>
      </c>
    </row>
    <row r="66" ht="48" customHeight="1" s="34">
      <c r="A66" s="9" t="n">
        <v>65</v>
      </c>
      <c r="B66" s="9" t="inlineStr">
        <is>
          <t>PIP-ACT-C-C2-006</t>
        </is>
      </c>
      <c r="C66" s="9" t="inlineStr">
        <is>
          <t>C</t>
        </is>
      </c>
      <c r="D66" s="9" t="inlineStr">
        <is>
          <t>C2</t>
        </is>
      </c>
      <c r="E66" s="9" t="inlineStr">
        <is>
          <t>ACT</t>
        </is>
      </c>
      <c r="F66" s="44" t="inlineStr">
        <is>
          <t>Mettre à jour régulièrement un fichier de suivi afin que les informations restent exactes et actuelles.</t>
        </is>
      </c>
      <c r="G66" s="9" t="inlineStr">
        <is>
          <t>0.6</t>
        </is>
      </c>
      <c r="H66" s="9" t="inlineStr">
        <is>
          <t>PIP-BANK-0.5</t>
        </is>
      </c>
      <c r="I66" s="9" t="inlineStr">
        <is>
          <t>ACTIF</t>
        </is>
      </c>
      <c r="J66" s="9" t="inlineStr">
        <is>
          <t>FAIBLE</t>
        </is>
      </c>
      <c r="K66" s="9" t="inlineStr">
        <is>
          <t>MOYEN</t>
        </is>
      </c>
      <c r="L66" s="9" t="inlineStr">
        <is>
          <t>FAIBLE</t>
        </is>
      </c>
      <c r="M66" s="9" t="inlineStr">
        <is>
          <t>Activité professionnelle formulée à l’infinitif ; réponse = degré d’envie de réaliser cette activité, indépendamment du métier actuel et de la compétence perçue.</t>
        </is>
      </c>
    </row>
    <row r="67" ht="48" customHeight="1" s="34">
      <c r="A67" s="9" t="n">
        <v>66</v>
      </c>
      <c r="B67" s="9" t="inlineStr">
        <is>
          <t>PIP-SIT-C-C2-007</t>
        </is>
      </c>
      <c r="C67" s="9" t="inlineStr">
        <is>
          <t>C</t>
        </is>
      </c>
      <c r="D67" s="9" t="inlineStr">
        <is>
          <t>C2</t>
        </is>
      </c>
      <c r="E67" s="9" t="inlineStr">
        <is>
          <t>SIT</t>
        </is>
      </c>
      <c r="F67" s="44" t="inlineStr">
        <is>
          <t>Compléter un dossier contenant des informations manquantes puis vérifier qu’il est à jour.</t>
        </is>
      </c>
      <c r="G67" s="9" t="inlineStr">
        <is>
          <t>0.6</t>
        </is>
      </c>
      <c r="H67" s="9" t="inlineStr">
        <is>
          <t>PIP-BANK-0.5</t>
        </is>
      </c>
      <c r="I67" s="9" t="inlineStr">
        <is>
          <t>ACTIF</t>
        </is>
      </c>
      <c r="J67" s="9" t="inlineStr">
        <is>
          <t>FAIBLE</t>
        </is>
      </c>
      <c r="K67" s="9" t="inlineStr">
        <is>
          <t>MOYEN</t>
        </is>
      </c>
      <c r="L67" s="9" t="inlineStr">
        <is>
          <t>FAIBLE</t>
        </is>
      </c>
      <c r="M67" s="9" t="inlineStr">
        <is>
          <t>Activité professionnelle formulée à l’infinitif ; réponse = degré d’envie de réaliser cette activité, indépendamment du métier actuel et de la compétence perçue.</t>
        </is>
      </c>
    </row>
    <row r="68" ht="48" customHeight="1" s="34">
      <c r="A68" s="9" t="n">
        <v>67</v>
      </c>
      <c r="B68" s="9" t="inlineStr">
        <is>
          <t>PIP-ACT-C-C3-009</t>
        </is>
      </c>
      <c r="C68" s="9" t="inlineStr">
        <is>
          <t>C</t>
        </is>
      </c>
      <c r="D68" s="9" t="inlineStr">
        <is>
          <t>C3</t>
        </is>
      </c>
      <c r="E68" s="9" t="inlineStr">
        <is>
          <t>ACT</t>
        </is>
      </c>
      <c r="F68" s="44" t="inlineStr">
        <is>
          <t>Contrôler des informations avant leur utilisation afin de vérifier qu’elles sont exactes et complètes.</t>
        </is>
      </c>
      <c r="G68" s="9" t="inlineStr">
        <is>
          <t>0.6</t>
        </is>
      </c>
      <c r="H68" s="9" t="inlineStr">
        <is>
          <t>PIP-BANK-0.5</t>
        </is>
      </c>
      <c r="I68" s="9" t="inlineStr">
        <is>
          <t>ACTIF</t>
        </is>
      </c>
      <c r="J68" s="9" t="inlineStr">
        <is>
          <t>FAIBLE</t>
        </is>
      </c>
      <c r="K68" s="9" t="inlineStr">
        <is>
          <t>MOYEN</t>
        </is>
      </c>
      <c r="L68" s="9" t="inlineStr">
        <is>
          <t>FAIBLE</t>
        </is>
      </c>
      <c r="M68" s="9" t="inlineStr">
        <is>
          <t>Activité professionnelle formulée à l’infinitif ; réponse = degré d’envie de réaliser cette activité, indépendamment du métier actuel et de la compétence perçue.</t>
        </is>
      </c>
    </row>
    <row r="69" ht="48" customHeight="1" s="34">
      <c r="A69" s="9" t="n">
        <v>68</v>
      </c>
      <c r="B69" s="9" t="inlineStr">
        <is>
          <t>PIP-ACT-C-C3-010</t>
        </is>
      </c>
      <c r="C69" s="9" t="inlineStr">
        <is>
          <t>C</t>
        </is>
      </c>
      <c r="D69" s="9" t="inlineStr">
        <is>
          <t>C3</t>
        </is>
      </c>
      <c r="E69" s="9" t="inlineStr">
        <is>
          <t>ACT</t>
        </is>
      </c>
      <c r="F69" s="44" t="inlineStr">
        <is>
          <t>Comparer des données entre plusieurs documents pour repérer une erreur, un écart ou une incohérence.</t>
        </is>
      </c>
      <c r="G69" s="9" t="inlineStr">
        <is>
          <t>0.6</t>
        </is>
      </c>
      <c r="H69" s="9" t="inlineStr">
        <is>
          <t>PIP-BANK-0.5</t>
        </is>
      </c>
      <c r="I69" s="9" t="inlineStr">
        <is>
          <t>ACTIF</t>
        </is>
      </c>
      <c r="J69" s="9" t="inlineStr">
        <is>
          <t>MOYEN</t>
        </is>
      </c>
      <c r="K69" s="9" t="inlineStr">
        <is>
          <t>MOYEN</t>
        </is>
      </c>
      <c r="L69" s="9" t="inlineStr">
        <is>
          <t>FAIBLE</t>
        </is>
      </c>
      <c r="M69" s="9" t="inlineStr">
        <is>
          <t>Activité professionnelle formulée à l’infinitif ; réponse = degré d’envie de réaliser cette activité, indépendamment du métier actuel et de la compétence perçue.</t>
        </is>
      </c>
    </row>
    <row r="70" ht="48" customHeight="1" s="34">
      <c r="A70" s="9" t="n">
        <v>69</v>
      </c>
      <c r="B70" s="9" t="inlineStr">
        <is>
          <t>PIP-ACT-C-C4-013</t>
        </is>
      </c>
      <c r="C70" s="9" t="inlineStr">
        <is>
          <t>C</t>
        </is>
      </c>
      <c r="D70" s="9" t="inlineStr">
        <is>
          <t>C4</t>
        </is>
      </c>
      <c r="E70" s="9" t="inlineStr">
        <is>
          <t>ACT</t>
        </is>
      </c>
      <c r="F70" s="44" t="inlineStr">
        <is>
          <t>Réaliser une opération en suivant une procédure précise afin de respecter les règles prévues.</t>
        </is>
      </c>
      <c r="G70" s="9" t="inlineStr">
        <is>
          <t>0.6</t>
        </is>
      </c>
      <c r="H70" s="9" t="inlineStr">
        <is>
          <t>PIP-BANK-0.5</t>
        </is>
      </c>
      <c r="I70" s="9" t="inlineStr">
        <is>
          <t>ACTIF</t>
        </is>
      </c>
      <c r="J70" s="9" t="inlineStr">
        <is>
          <t>FAIBLE</t>
        </is>
      </c>
      <c r="K70" s="9" t="inlineStr">
        <is>
          <t>MOYEN</t>
        </is>
      </c>
      <c r="L70" s="9" t="inlineStr">
        <is>
          <t>MOYEN</t>
        </is>
      </c>
      <c r="M70" s="9" t="inlineStr">
        <is>
          <t>Activité professionnelle formulée à l’infinitif ; réponse = degré d’envie de réaliser cette activité, indépendamment du métier actuel et de la compétence perçue.</t>
        </is>
      </c>
    </row>
    <row r="71" ht="48" customHeight="1" s="34">
      <c r="A71" s="9" t="n">
        <v>70</v>
      </c>
      <c r="B71" s="9" t="inlineStr">
        <is>
          <t>PIP-ACT-C-C4-014</t>
        </is>
      </c>
      <c r="C71" s="9" t="inlineStr">
        <is>
          <t>C</t>
        </is>
      </c>
      <c r="D71" s="9" t="inlineStr">
        <is>
          <t>C4</t>
        </is>
      </c>
      <c r="E71" s="9" t="inlineStr">
        <is>
          <t>ACT</t>
        </is>
      </c>
      <c r="F71" s="44" t="inlineStr">
        <is>
          <t>Contrôler qu’une opération, un dossier ou une activité respecte les critères et règles applicables.</t>
        </is>
      </c>
      <c r="G71" s="9" t="inlineStr">
        <is>
          <t>0.6</t>
        </is>
      </c>
      <c r="H71" s="9" t="inlineStr">
        <is>
          <t>PIP-BANK-0.5</t>
        </is>
      </c>
      <c r="I71" s="9" t="inlineStr">
        <is>
          <t>ACTIF</t>
        </is>
      </c>
      <c r="J71" s="9" t="inlineStr">
        <is>
          <t>FAIBLE</t>
        </is>
      </c>
      <c r="K71" s="9" t="inlineStr">
        <is>
          <t>MOYEN</t>
        </is>
      </c>
      <c r="L71" s="9" t="inlineStr">
        <is>
          <t>FAIBLE</t>
        </is>
      </c>
      <c r="M71" s="9" t="inlineStr">
        <is>
          <t>Activité professionnelle formulée à l’infinitif ; réponse = degré d’envie de réaliser cette activité, indépendamment du métier actuel et de la compétence perçue.</t>
        </is>
      </c>
    </row>
    <row r="72" ht="48" customHeight="1" s="34">
      <c r="A72" s="9" t="n">
        <v>71</v>
      </c>
      <c r="B72" s="9" t="inlineStr">
        <is>
          <t>PIP-ACT-C-C5-017</t>
        </is>
      </c>
      <c r="C72" s="9" t="inlineStr">
        <is>
          <t>C</t>
        </is>
      </c>
      <c r="D72" s="9" t="inlineStr">
        <is>
          <t>C5</t>
        </is>
      </c>
      <c r="E72" s="9" t="inlineStr">
        <is>
          <t>ACT</t>
        </is>
      </c>
      <c r="F72" s="44" t="inlineStr">
        <is>
          <t>Suivre un dossier depuis son ouverture jusqu’à sa clôture en vérifiant que chaque étape est réalisée.</t>
        </is>
      </c>
      <c r="G72" s="9" t="inlineStr">
        <is>
          <t>0.6</t>
        </is>
      </c>
      <c r="H72" s="9" t="inlineStr">
        <is>
          <t>PIP-BANK-0.5</t>
        </is>
      </c>
      <c r="I72" s="9" t="inlineStr">
        <is>
          <t>ACTIF</t>
        </is>
      </c>
      <c r="J72" s="9" t="inlineStr">
        <is>
          <t>FAIBLE</t>
        </is>
      </c>
      <c r="K72" s="9" t="inlineStr">
        <is>
          <t>MOYEN</t>
        </is>
      </c>
      <c r="L72" s="9" t="inlineStr">
        <is>
          <t>MOYEN</t>
        </is>
      </c>
      <c r="M72" s="9" t="inlineStr">
        <is>
          <t>Activité professionnelle formulée à l’infinitif ; réponse = degré d’envie de réaliser cette activité, indépendamment du métier actuel et de la compétence perçue.</t>
        </is>
      </c>
    </row>
    <row r="73" ht="48" customHeight="1" s="34">
      <c r="A73" s="9" t="n">
        <v>72</v>
      </c>
      <c r="B73" s="9" t="inlineStr">
        <is>
          <t>PIP-ACT-C-C5-018</t>
        </is>
      </c>
      <c r="C73" s="9" t="inlineStr">
        <is>
          <t>C</t>
        </is>
      </c>
      <c r="D73" s="9" t="inlineStr">
        <is>
          <t>C5</t>
        </is>
      </c>
      <c r="E73" s="9" t="inlineStr">
        <is>
          <t>ACT</t>
        </is>
      </c>
      <c r="F73" s="44" t="inlineStr">
        <is>
          <t>Planifier plusieurs échéances et vérifier régulièrement que les opérations prévues sont réalisées au bon moment.</t>
        </is>
      </c>
      <c r="G73" s="9" t="inlineStr">
        <is>
          <t>0.6</t>
        </is>
      </c>
      <c r="H73" s="9" t="inlineStr">
        <is>
          <t>PIP-BANK-0.5</t>
        </is>
      </c>
      <c r="I73" s="9" t="inlineStr">
        <is>
          <t>ACTIF</t>
        </is>
      </c>
      <c r="J73" s="9" t="inlineStr">
        <is>
          <t>MOYEN</t>
        </is>
      </c>
      <c r="K73" s="9" t="inlineStr">
        <is>
          <t>MOYEN</t>
        </is>
      </c>
      <c r="L73" s="9" t="inlineStr">
        <is>
          <t>FAIBLE</t>
        </is>
      </c>
      <c r="M73" s="9" t="inlineStr">
        <is>
          <t>Activité professionnelle formulée à l’infinitif ; réponse = degré d’envie de réaliser cette activité, indépendamment du métier actuel et de la compétence perçue.</t>
        </is>
      </c>
    </row>
  </sheetData>
  <autoFilter ref="A1:M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2" customWidth="1" style="34" min="1" max="1"/>
    <col width="105" customWidth="1" style="34" min="2" max="2"/>
  </cols>
  <sheetData>
    <row r="1">
      <c r="A1" s="46" t="inlineStr">
        <is>
          <t>CLARTÉ360 — PIP RIASEC — CONSIGNE ET ÉCHELLE DE RÉPONSE</t>
        </is>
      </c>
      <c r="B1" s="9" t="n"/>
    </row>
    <row r="2">
      <c r="A2" s="9" t="n"/>
      <c r="B2" s="9" t="n"/>
    </row>
    <row r="3">
      <c r="A3" s="47" t="inlineStr">
        <is>
          <t>Principe</t>
        </is>
      </c>
      <c r="B3" s="9" t="inlineStr">
        <is>
          <t>Le PIP mesure des intérêts professionnels. Il ne mesure ni les compétences, ni les aptitudes, ni l’intelligence, ni la personnalité.</t>
        </is>
      </c>
    </row>
    <row r="4" ht="70" customHeight="1" s="34">
      <c r="A4" s="47" t="inlineStr">
        <is>
          <t>Consigne affichée</t>
        </is>
      </c>
      <c r="B4" s="9" t="inlineStr">
        <is>
          <t>Pour chacune des activités suivantes, indiquez dans quelle mesure vous aimeriez la réaliser dans votre travail. Répondez selon votre envie, et non selon ce que vous savez déjà faire, votre métier actuel ou ce que vous pensez devoir aimer.</t>
        </is>
      </c>
    </row>
    <row r="5" ht="65" customHeight="1" s="34">
      <c r="A5" s="47" t="inlineStr">
        <is>
          <t>Règle de lecture</t>
        </is>
      </c>
      <c r="B5" s="9" t="inlineStr">
        <is>
          <t>Chaque item décrit une activité. La réponse exprime uniquement le degré d’attirance pour cette activité. Une réponse élevée sur une dimension secondaire enrichit le profil ; elle ne constitue jamais une injonction à changer de métier.</t>
        </is>
      </c>
    </row>
    <row r="6">
      <c r="A6" s="9" t="n"/>
      <c r="B6" s="9" t="n"/>
    </row>
    <row r="7">
      <c r="A7" s="48" t="inlineStr">
        <is>
          <t>score</t>
        </is>
      </c>
      <c r="B7" s="48" t="inlineStr">
        <is>
          <t>libellé affiché</t>
        </is>
      </c>
    </row>
    <row r="8">
      <c r="A8" s="9" t="n">
        <v>1</v>
      </c>
      <c r="B8" s="9" t="inlineStr">
        <is>
          <t>Je n’aimerais pas du tout faire cela</t>
        </is>
      </c>
    </row>
    <row r="9">
      <c r="A9" s="9" t="n">
        <v>2</v>
      </c>
      <c r="B9" s="9" t="inlineStr">
        <is>
          <t>J’aimerais peu faire cela</t>
        </is>
      </c>
    </row>
    <row r="10">
      <c r="A10" s="9" t="n">
        <v>3</v>
      </c>
      <c r="B10" s="9" t="inlineStr">
        <is>
          <t>Je suis partagé(e) / sans préférence marquée</t>
        </is>
      </c>
    </row>
    <row r="11">
      <c r="A11" s="9" t="n">
        <v>4</v>
      </c>
      <c r="B11" s="9" t="inlineStr">
        <is>
          <t>J’aimerais assez faire cela</t>
        </is>
      </c>
    </row>
    <row r="12">
      <c r="A12" s="9" t="n">
        <v>5</v>
      </c>
      <c r="B12" s="9" t="inlineStr">
        <is>
          <t>J’aimerais beaucoup faire cela</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3"/>
  <sheetViews>
    <sheetView showGridLines="0" workbookViewId="0">
      <pane ySplit="1" topLeftCell="A2" activePane="bottomLeft" state="frozen"/>
      <selection pane="bottomLeft" activeCell="A1" sqref="A1"/>
    </sheetView>
  </sheetViews>
  <sheetFormatPr baseColWidth="8" defaultRowHeight="15"/>
  <cols>
    <col width="8" customWidth="1" style="34" min="1" max="1"/>
    <col width="28" customWidth="1" style="34" min="2" max="2"/>
    <col width="10" customWidth="1" style="34" min="3" max="3"/>
    <col width="10" customWidth="1" style="34" min="4" max="4"/>
    <col width="55" customWidth="1" style="34" min="5" max="5"/>
    <col width="70" customWidth="1" style="34" min="6" max="6"/>
    <col width="70" customWidth="1" style="34" min="7" max="7"/>
    <col width="14" customWidth="1" style="34" min="8" max="8"/>
    <col width="62" customWidth="1" style="34" min="9" max="9"/>
  </cols>
  <sheetData>
    <row r="1">
      <c r="A1" s="45" t="inlineStr">
        <is>
          <t>ordre</t>
        </is>
      </c>
      <c r="B1" s="45" t="inlineStr">
        <is>
          <t>item_id</t>
        </is>
      </c>
      <c r="C1" s="45" t="inlineStr">
        <is>
          <t>dimension</t>
        </is>
      </c>
      <c r="D1" s="45" t="inlineStr">
        <is>
          <t>facette</t>
        </is>
      </c>
      <c r="E1" s="45" t="inlineStr">
        <is>
          <t>formulation_v0_4</t>
        </is>
      </c>
      <c r="F1" s="45" t="inlineStr">
        <is>
          <t>formulation_v0_5_concrete</t>
        </is>
      </c>
      <c r="G1" s="45" t="inlineStr">
        <is>
          <t>formulation_finale_v0_6</t>
        </is>
      </c>
      <c r="H1" s="45" t="inlineStr">
        <is>
          <t>decision_A1</t>
        </is>
      </c>
      <c r="I1" s="45" t="inlineStr">
        <is>
          <t>motif_A1</t>
        </is>
      </c>
    </row>
    <row r="2" ht="60" customHeight="1" s="34">
      <c r="A2" s="9" t="n">
        <v>1</v>
      </c>
      <c r="B2" s="9" t="inlineStr">
        <is>
          <t>PIP-ACT-R-R1-001</t>
        </is>
      </c>
      <c r="C2" s="9" t="inlineStr">
        <is>
          <t>R</t>
        </is>
      </c>
      <c r="D2" s="9" t="inlineStr">
        <is>
          <t>R1</t>
        </is>
      </c>
      <c r="E2" s="9" t="inlineStr">
        <is>
          <t>Assembler des éléments pour fabriquer un objet fonctionnel.</t>
        </is>
      </c>
      <c r="F2" s="9" t="inlineStr">
        <is>
          <t>Assembler les pièces d’un petit meuble ou d’un support pour qu’il soit solide et utilisable.</t>
        </is>
      </c>
      <c r="G2" s="9" t="inlineStr">
        <is>
          <t>Assembler plusieurs pièces pour obtenir un objet solide et utilisable.</t>
        </is>
      </c>
      <c r="H2" s="9" t="inlineStr">
        <is>
          <t>VALIDÉ_A1</t>
        </is>
      </c>
      <c r="I2" s="9" t="inlineStr">
        <is>
          <t>Centrage explicite sur l’intérêt pour une activité professionnelle ; compatible avec la consigne « aimeriez-vous réaliser cette activité », sans présumer métier ni compétence.</t>
        </is>
      </c>
    </row>
    <row r="3" ht="60" customHeight="1" s="34">
      <c r="A3" s="9" t="n">
        <v>2</v>
      </c>
      <c r="B3" s="9" t="inlineStr">
        <is>
          <t>PIP-ACT-R-R1-002</t>
        </is>
      </c>
      <c r="C3" s="9" t="inlineStr">
        <is>
          <t>R</t>
        </is>
      </c>
      <c r="D3" s="9" t="inlineStr">
        <is>
          <t>R1</t>
        </is>
      </c>
      <c r="E3" s="9" t="inlineStr">
        <is>
          <t>Transformer une matière ou un matériau pour lui donner une forme utile.</t>
        </is>
      </c>
      <c r="F3" s="9" t="inlineStr">
        <is>
          <t>Travailler du bois, du métal ou un autre matériau pour obtenir une pièce ayant une fonction précise.</t>
        </is>
      </c>
      <c r="G3" s="9" t="inlineStr">
        <is>
          <t>Façonner du bois, du métal ou un autre matériau pour lui donner une forme précise et utile.</t>
        </is>
      </c>
      <c r="H3" s="9" t="inlineStr">
        <is>
          <t>VALIDÉ_A1</t>
        </is>
      </c>
      <c r="I3" s="9" t="inlineStr">
        <is>
          <t>Centrage explicite sur l’intérêt pour une activité professionnelle ; compatible avec la consigne « aimeriez-vous réaliser cette activité », sans présumer métier ni compétence.</t>
        </is>
      </c>
    </row>
    <row r="4" ht="60" customHeight="1" s="34">
      <c r="A4" s="9" t="n">
        <v>3</v>
      </c>
      <c r="B4" s="9" t="inlineStr">
        <is>
          <t>PIP-SIT-R-R1-003</t>
        </is>
      </c>
      <c r="C4" s="9" t="inlineStr">
        <is>
          <t>R</t>
        </is>
      </c>
      <c r="D4" s="9" t="inlineStr">
        <is>
          <t>R1</t>
        </is>
      </c>
      <c r="E4" s="9" t="inlineStr">
        <is>
          <t>Prendre en charge la réalisation concrète d’un objet ou d’une structure à partir d’éléments séparés.</t>
        </is>
      </c>
      <c r="F4" s="9" t="inlineStr">
        <is>
          <t>À partir de pièces séparées, réaliser concrètement une étagère, un présentoir ou une petite structure.</t>
        </is>
      </c>
      <c r="G4" s="9" t="inlineStr">
        <is>
          <t>Construire concrètement une petite structure à partir d’éléments séparés.</t>
        </is>
      </c>
      <c r="H4" s="9" t="inlineStr">
        <is>
          <t>VALIDÉ_A1</t>
        </is>
      </c>
      <c r="I4" s="9" t="inlineStr">
        <is>
          <t>Centrage explicite sur l’intérêt pour une activité professionnelle ; compatible avec la consigne « aimeriez-vous réaliser cette activité », sans présumer métier ni compétence.</t>
        </is>
      </c>
    </row>
    <row r="5" ht="60" customHeight="1" s="34">
      <c r="A5" s="9" t="n">
        <v>4</v>
      </c>
      <c r="B5" s="9" t="inlineStr">
        <is>
          <t>PIP-ACT-R-R2-005</t>
        </is>
      </c>
      <c r="C5" s="9" t="inlineStr">
        <is>
          <t>R</t>
        </is>
      </c>
      <c r="D5" s="9" t="inlineStr">
        <is>
          <t>R2</t>
        </is>
      </c>
      <c r="E5" s="9" t="inlineStr">
        <is>
          <t>Installer un équipement pour qu’il soit prêt à fonctionner.</t>
        </is>
      </c>
      <c r="F5" s="9" t="inlineStr">
        <is>
          <t>Installer un poste de travail, un appareil ou un équipement puis vérifier qu’il fonctionne.</t>
        </is>
      </c>
      <c r="G5" s="9" t="inlineStr">
        <is>
          <t>Installer un appareil ou un équipement puis vérifier qu’il fonctionne correctement.</t>
        </is>
      </c>
      <c r="H5" s="9" t="inlineStr">
        <is>
          <t>VALIDÉ_A1</t>
        </is>
      </c>
      <c r="I5" s="9" t="inlineStr">
        <is>
          <t>Centrage explicite sur l’intérêt pour une activité professionnelle ; compatible avec la consigne « aimeriez-vous réaliser cette activité », sans présumer métier ni compétence.</t>
        </is>
      </c>
    </row>
    <row r="6" ht="60" customHeight="1" s="34">
      <c r="A6" s="9" t="n">
        <v>5</v>
      </c>
      <c r="B6" s="9" t="inlineStr">
        <is>
          <t>PIP-ACT-R-R2-006</t>
        </is>
      </c>
      <c r="C6" s="9" t="inlineStr">
        <is>
          <t>R</t>
        </is>
      </c>
      <c r="D6" s="9" t="inlineStr">
        <is>
          <t>R2</t>
        </is>
      </c>
      <c r="E6" s="9" t="inlineStr">
        <is>
          <t>Réparer un matériel qui ne fonctionne plus correctement.</t>
        </is>
      </c>
      <c r="F6" s="9" t="inlineStr">
        <is>
          <t>Rechercher la panne d’un appareil simple puis intervenir concrètement pour le remettre en service.</t>
        </is>
      </c>
      <c r="G6" s="9" t="inlineStr">
        <is>
          <t>Rechercher la cause d’une panne puis intervenir concrètement pour remettre l’équipement en service.</t>
        </is>
      </c>
      <c r="H6" s="9" t="inlineStr">
        <is>
          <t>VALIDÉ_A1</t>
        </is>
      </c>
      <c r="I6" s="9" t="inlineStr">
        <is>
          <t>Centrage explicite sur l’intérêt pour une activité professionnelle ; compatible avec la consigne « aimeriez-vous réaliser cette activité », sans présumer métier ni compétence.</t>
        </is>
      </c>
    </row>
    <row r="7" ht="60" customHeight="1" s="34">
      <c r="A7" s="9" t="n">
        <v>6</v>
      </c>
      <c r="B7" s="9" t="inlineStr">
        <is>
          <t>PIP-ACT-R-R3-009</t>
        </is>
      </c>
      <c r="C7" s="9" t="inlineStr">
        <is>
          <t>R</t>
        </is>
      </c>
      <c r="D7" s="9" t="inlineStr">
        <is>
          <t>R3</t>
        </is>
      </c>
      <c r="E7" s="9" t="inlineStr">
        <is>
          <t>Utiliser des outils pour réaliser une tâche concrète avec précision.</t>
        </is>
      </c>
      <c r="F7" s="9" t="inlineStr">
        <is>
          <t>Utiliser des outils de mesure et des outils manuels pour réaliser un montage avec précision.</t>
        </is>
      </c>
      <c r="G7" s="9" t="inlineStr">
        <is>
          <t>Utiliser directement des outils de mesure et des outils manuels pour réaliser un montage précis.</t>
        </is>
      </c>
      <c r="H7" s="9" t="inlineStr">
        <is>
          <t>VALIDÉ_A1</t>
        </is>
      </c>
      <c r="I7" s="9" t="inlineStr">
        <is>
          <t>Centrage explicite sur l’intérêt pour une activité professionnelle ; compatible avec la consigne « aimeriez-vous réaliser cette activité », sans présumer métier ni compétence.</t>
        </is>
      </c>
    </row>
    <row r="8" ht="60" customHeight="1" s="34">
      <c r="A8" s="9" t="n">
        <v>7</v>
      </c>
      <c r="B8" s="9" t="inlineStr">
        <is>
          <t>PIP-ACT-R-R3-010</t>
        </is>
      </c>
      <c r="C8" s="9" t="inlineStr">
        <is>
          <t>R</t>
        </is>
      </c>
      <c r="D8" s="9" t="inlineStr">
        <is>
          <t>R3</t>
        </is>
      </c>
      <c r="E8" s="9" t="inlineStr">
        <is>
          <t>Piloter ou régler une machine pour obtenir le résultat attendu.</t>
        </is>
      </c>
      <c r="F8" s="9" t="inlineStr">
        <is>
          <t>Régler une machine ou un équipement pour obtenir une dimension, une forme ou un résultat précis.</t>
        </is>
      </c>
      <c r="G8" s="9" t="inlineStr">
        <is>
          <t>Régler une machine ou un équipement pour obtenir le résultat demandé.</t>
        </is>
      </c>
      <c r="H8" s="9" t="inlineStr">
        <is>
          <t>VALIDÉ_A1</t>
        </is>
      </c>
      <c r="I8" s="9" t="inlineStr">
        <is>
          <t>Centrage explicite sur l’intérêt pour une activité professionnelle ; compatible avec la consigne « aimeriez-vous réaliser cette activité », sans présumer métier ni compétence.</t>
        </is>
      </c>
    </row>
    <row r="9" ht="60" customHeight="1" s="34">
      <c r="A9" s="9" t="n">
        <v>8</v>
      </c>
      <c r="B9" s="9" t="inlineStr">
        <is>
          <t>PIP-SIT-R-R3-011</t>
        </is>
      </c>
      <c r="C9" s="9" t="inlineStr">
        <is>
          <t>R</t>
        </is>
      </c>
      <c r="D9" s="9" t="inlineStr">
        <is>
          <t>R3</t>
        </is>
      </c>
      <c r="E9" s="9" t="inlineStr">
        <is>
          <t>Prendre en charge une tâche qui nécessite de manipuler directement un appareil ou un équipement.</t>
        </is>
      </c>
      <c r="F9" s="9" t="inlineStr">
        <is>
          <t>Réaliser une opération qui demande de manipuler directement un appareil, une machine ou un instrument.</t>
        </is>
      </c>
      <c r="G9" s="9" t="inlineStr">
        <is>
          <t>Manipuler directement une machine, un appareil ou un instrument pour réaliser une opération.</t>
        </is>
      </c>
      <c r="H9" s="9" t="inlineStr">
        <is>
          <t>VALIDÉ_A1</t>
        </is>
      </c>
      <c r="I9" s="9" t="inlineStr">
        <is>
          <t>Centrage explicite sur l’intérêt pour une activité professionnelle ; compatible avec la consigne « aimeriez-vous réaliser cette activité », sans présumer métier ni compétence.</t>
        </is>
      </c>
    </row>
    <row r="10" ht="60" customHeight="1" s="34">
      <c r="A10" s="9" t="n">
        <v>9</v>
      </c>
      <c r="B10" s="9" t="inlineStr">
        <is>
          <t>PIP-ACT-R-R4-013</t>
        </is>
      </c>
      <c r="C10" s="9" t="inlineStr">
        <is>
          <t>R</t>
        </is>
      </c>
      <c r="D10" s="9" t="inlineStr">
        <is>
          <t>R4</t>
        </is>
      </c>
      <c r="E10" s="9" t="inlineStr">
        <is>
          <t>Se rendre sur différents sites pour intervenir directement sur le terrain.</t>
        </is>
      </c>
      <c r="F10" s="9" t="inlineStr">
        <is>
          <t>Se déplacer sur plusieurs sites pour constater une situation et intervenir directement sur place.</t>
        </is>
      </c>
      <c r="G10" s="9" t="inlineStr">
        <is>
          <t>Se déplacer sur le terrain pour constater une situation et intervenir sur place.</t>
        </is>
      </c>
      <c r="H10" s="9" t="inlineStr">
        <is>
          <t>VALIDÉ_A1</t>
        </is>
      </c>
      <c r="I10" s="9" t="inlineStr">
        <is>
          <t>Centrage explicite sur l’intérêt pour une activité professionnelle ; compatible avec la consigne « aimeriez-vous réaliser cette activité », sans présumer métier ni compétence.</t>
        </is>
      </c>
    </row>
    <row r="11" ht="60" customHeight="1" s="34">
      <c r="A11" s="9" t="n">
        <v>10</v>
      </c>
      <c r="B11" s="9" t="inlineStr">
        <is>
          <t>PIP-ACT-R-R4-014</t>
        </is>
      </c>
      <c r="C11" s="9" t="inlineStr">
        <is>
          <t>R</t>
        </is>
      </c>
      <c r="D11" s="9" t="inlineStr">
        <is>
          <t>R4</t>
        </is>
      </c>
      <c r="E11" s="9" t="inlineStr">
        <is>
          <t>Réaliser une activité professionnelle principalement en extérieur.</t>
        </is>
      </c>
      <c r="F11" s="9" t="inlineStr">
        <is>
          <t>Passer l’essentiel de sa journée de travail dehors, sur un chantier, un site naturel ou un espace extérieur.</t>
        </is>
      </c>
      <c r="G11" s="9" t="inlineStr">
        <is>
          <t>Réaliser une grande partie de son travail à l’extérieur, sur un chantier, un site ou dans un espace naturel.</t>
        </is>
      </c>
      <c r="H11" s="9" t="inlineStr">
        <is>
          <t>VALIDÉ_A1</t>
        </is>
      </c>
      <c r="I11" s="9" t="inlineStr">
        <is>
          <t>Centrage explicite sur l’intérêt pour une activité professionnelle ; compatible avec la consigne « aimeriez-vous réaliser cette activité », sans présumer métier ni compétence.</t>
        </is>
      </c>
    </row>
    <row r="12" ht="60" customHeight="1" s="34">
      <c r="A12" s="9" t="n">
        <v>11</v>
      </c>
      <c r="B12" s="9" t="inlineStr">
        <is>
          <t>PIP-ACT-R-R5-017</t>
        </is>
      </c>
      <c r="C12" s="9" t="inlineStr">
        <is>
          <t>R</t>
        </is>
      </c>
      <c r="D12" s="9" t="inlineStr">
        <is>
          <t>R5</t>
        </is>
      </c>
      <c r="E12" s="9" t="inlineStr">
        <is>
          <t>S’occuper concrètement de plantes ou d’animaux dans le cadre du travail.</t>
        </is>
      </c>
      <c r="F12" s="9" t="inlineStr">
        <is>
          <t>S’occuper concrètement de cultures, de plantes ou d’animaux : nourrir, entretenir, surveiller leur état.</t>
        </is>
      </c>
      <c r="G12" s="9" t="inlineStr">
        <is>
          <t>Prendre soin concrètement de plantes, de cultures ou d’animaux en assurant leur entretien et leur suivi.</t>
        </is>
      </c>
      <c r="H12" s="9" t="inlineStr">
        <is>
          <t>VALIDÉ_A1</t>
        </is>
      </c>
      <c r="I12" s="9" t="inlineStr">
        <is>
          <t>Centrage explicite sur l’intérêt pour une activité professionnelle ; compatible avec la consigne « aimeriez-vous réaliser cette activité », sans présumer métier ni compétence.</t>
        </is>
      </c>
    </row>
    <row r="13" ht="60" customHeight="1" s="34">
      <c r="A13" s="9" t="n">
        <v>12</v>
      </c>
      <c r="B13" s="9" t="inlineStr">
        <is>
          <t>PIP-ACT-R-R5-018</t>
        </is>
      </c>
      <c r="C13" s="9" t="inlineStr">
        <is>
          <t>R</t>
        </is>
      </c>
      <c r="D13" s="9" t="inlineStr">
        <is>
          <t>R5</t>
        </is>
      </c>
      <c r="E13" s="9" t="inlineStr">
        <is>
          <t>Manipuler des matériaux ou des produits pour réaliser une tâche physique utile.</t>
        </is>
      </c>
      <c r="F13" s="9" t="inlineStr">
        <is>
          <t>Manipuler des matériaux, déplacer des éléments ou préparer physiquement des produits pour réaliser une opération utile.</t>
        </is>
      </c>
      <c r="G13" s="9" t="inlineStr">
        <is>
          <t>Manipuler des matériaux, déplacer ou préparer physiquement des éléments pour réaliser une tâche utile.</t>
        </is>
      </c>
      <c r="H13" s="9" t="inlineStr">
        <is>
          <t>VALIDÉ_A1</t>
        </is>
      </c>
      <c r="I13" s="9" t="inlineStr">
        <is>
          <t>Centrage explicite sur l’intérêt pour une activité professionnelle ; compatible avec la consigne « aimeriez-vous réaliser cette activité », sans présumer métier ni compétence.</t>
        </is>
      </c>
    </row>
    <row r="14" ht="60" customHeight="1" s="34">
      <c r="A14" s="9" t="n">
        <v>13</v>
      </c>
      <c r="B14" s="9" t="inlineStr">
        <is>
          <t>PIP-ACT-I-I1-001</t>
        </is>
      </c>
      <c r="C14" s="9" t="inlineStr">
        <is>
          <t>I</t>
        </is>
      </c>
      <c r="D14" s="9" t="inlineStr">
        <is>
          <t>I1</t>
        </is>
      </c>
      <c r="E14" s="9" t="inlineStr">
        <is>
          <t>Observer attentivement une situation pour en repérer les caractéristiques importantes.</t>
        </is>
      </c>
      <c r="F14" s="9" t="inlineStr">
        <is>
          <t>Observer un fonctionnement, un phénomène ou une situation et relever les détails importants avant de conclure.</t>
        </is>
      </c>
      <c r="G14" s="9" t="inlineStr">
        <is>
          <t>Observer attentivement un fonctionnement ou une situation pour en repérer les détails importants.</t>
        </is>
      </c>
      <c r="H14" s="9" t="inlineStr">
        <is>
          <t>VALIDÉ_A1</t>
        </is>
      </c>
      <c r="I14" s="9" t="inlineStr">
        <is>
          <t>Centrage explicite sur l’intérêt pour une activité professionnelle ; compatible avec la consigne « aimeriez-vous réaliser cette activité », sans présumer métier ni compétence.</t>
        </is>
      </c>
    </row>
    <row r="15" ht="60" customHeight="1" s="34">
      <c r="A15" s="9" t="n">
        <v>14</v>
      </c>
      <c r="B15" s="9" t="inlineStr">
        <is>
          <t>PIP-ACT-I-I1-002</t>
        </is>
      </c>
      <c r="C15" s="9" t="inlineStr">
        <is>
          <t>I</t>
        </is>
      </c>
      <c r="D15" s="9" t="inlineStr">
        <is>
          <t>I1</t>
        </is>
      </c>
      <c r="E15" s="9" t="inlineStr">
        <is>
          <t>Comparer plusieurs informations ou observations pour identifier ce qui les distingue.</t>
        </is>
      </c>
      <c r="F15" s="9" t="inlineStr">
        <is>
          <t>Comparer deux séries d’informations ou d’observations pour identifier précisément ce qui diffère.</t>
        </is>
      </c>
      <c r="G15" s="9" t="inlineStr">
        <is>
          <t>Analyser et comparer plusieurs informations ou observations pour comprendre ce qui les distingue.</t>
        </is>
      </c>
      <c r="H15" s="9" t="inlineStr">
        <is>
          <t>VALIDÉ_A1</t>
        </is>
      </c>
      <c r="I15" s="9" t="inlineStr">
        <is>
          <t>Centrage explicite sur l’intérêt pour une activité professionnelle ; compatible avec la consigne « aimeriez-vous réaliser cette activité », sans présumer métier ni compétence.</t>
        </is>
      </c>
    </row>
    <row r="16" ht="60" customHeight="1" s="34">
      <c r="A16" s="9" t="n">
        <v>15</v>
      </c>
      <c r="B16" s="9" t="inlineStr">
        <is>
          <t>PIP-SIT-I-I1-003</t>
        </is>
      </c>
      <c r="C16" s="9" t="inlineStr">
        <is>
          <t>I</t>
        </is>
      </c>
      <c r="D16" s="9" t="inlineStr">
        <is>
          <t>I1</t>
        </is>
      </c>
      <c r="E16" s="9" t="inlineStr">
        <is>
          <t>Examiner une situation nouvelle afin de comprendre précisément ce qui s’y passe.</t>
        </is>
      </c>
      <c r="F16" s="9" t="inlineStr">
        <is>
          <t>Face à une situation inhabituelle, prendre le temps d’examiner les faits avant d’avancer une explication.</t>
        </is>
      </c>
      <c r="G16" s="9" t="inlineStr">
        <is>
          <t>Examiner les faits d’une situation inhabituelle avant d’avancer une explication.</t>
        </is>
      </c>
      <c r="H16" s="9" t="inlineStr">
        <is>
          <t>VALIDÉ_A1</t>
        </is>
      </c>
      <c r="I16" s="9" t="inlineStr">
        <is>
          <t>Centrage explicite sur l’intérêt pour une activité professionnelle ; compatible avec la consigne « aimeriez-vous réaliser cette activité », sans présumer métier ni compétence.</t>
        </is>
      </c>
    </row>
    <row r="17" ht="60" customHeight="1" s="34">
      <c r="A17" s="9" t="n">
        <v>16</v>
      </c>
      <c r="B17" s="9" t="inlineStr">
        <is>
          <t>PIP-ACT-I-I2-005</t>
        </is>
      </c>
      <c r="C17" s="9" t="inlineStr">
        <is>
          <t>I</t>
        </is>
      </c>
      <c r="D17" s="9" t="inlineStr">
        <is>
          <t>I2</t>
        </is>
      </c>
      <c r="E17" s="9" t="inlineStr">
        <is>
          <t>Analyser plusieurs informations pour comprendre les liens entre elles.</t>
        </is>
      </c>
      <c r="F17" s="9" t="inlineStr">
        <is>
          <t>Analyser plusieurs données pour comprendre comment elles sont liées et ce qu’elles expliquent.</t>
        </is>
      </c>
      <c r="G17" s="9" t="inlineStr">
        <is>
          <t>Analyser plusieurs informations pour comprendre les liens entre elles et ce qu’elles permettent d’expliquer.</t>
        </is>
      </c>
      <c r="H17" s="9" t="inlineStr">
        <is>
          <t>VALIDÉ_A1</t>
        </is>
      </c>
      <c r="I17" s="9" t="inlineStr">
        <is>
          <t>Centrage explicite sur l’intérêt pour une activité professionnelle ; compatible avec la consigne « aimeriez-vous réaliser cette activité », sans présumer métier ni compétence.</t>
        </is>
      </c>
    </row>
    <row r="18" ht="60" customHeight="1" s="34">
      <c r="A18" s="9" t="n">
        <v>17</v>
      </c>
      <c r="B18" s="9" t="inlineStr">
        <is>
          <t>PIP-ACT-I-I2-006</t>
        </is>
      </c>
      <c r="C18" s="9" t="inlineStr">
        <is>
          <t>I</t>
        </is>
      </c>
      <c r="D18" s="9" t="inlineStr">
        <is>
          <t>I2</t>
        </is>
      </c>
      <c r="E18" s="9" t="inlineStr">
        <is>
          <t>Décomposer un problème complexe en plusieurs éléments pour mieux le comprendre.</t>
        </is>
      </c>
      <c r="F18" s="9" t="inlineStr">
        <is>
          <t>Découper un problème complexe en plusieurs questions plus simples afin d’en comprendre la logique.</t>
        </is>
      </c>
      <c r="G18" s="9" t="inlineStr">
        <is>
          <t>Décomposer un problème complexe en plusieurs questions plus simples afin d’en comprendre la logique.</t>
        </is>
      </c>
      <c r="H18" s="9" t="inlineStr">
        <is>
          <t>VALIDÉ_A1</t>
        </is>
      </c>
      <c r="I18" s="9" t="inlineStr">
        <is>
          <t>Centrage explicite sur l’intérêt pour une activité professionnelle ; compatible avec la consigne « aimeriez-vous réaliser cette activité », sans présumer métier ni compétence.</t>
        </is>
      </c>
    </row>
    <row r="19" ht="60" customHeight="1" s="34">
      <c r="A19" s="9" t="n">
        <v>18</v>
      </c>
      <c r="B19" s="9" t="inlineStr">
        <is>
          <t>PIP-SIT-I-I2-007</t>
        </is>
      </c>
      <c r="C19" s="9" t="inlineStr">
        <is>
          <t>I</t>
        </is>
      </c>
      <c r="D19" s="9" t="inlineStr">
        <is>
          <t>I2</t>
        </is>
      </c>
      <c r="E19" s="9" t="inlineStr">
        <is>
          <t>Faire face à un problème où il faut raisonner étape par étape avant de trouver une explication.</t>
        </is>
      </c>
      <c r="F19" s="9" t="inlineStr">
        <is>
          <t>Un problème n’a pas de réponse évidente : raisonner étape par étape pour comprendre ce qui se passe.</t>
        </is>
      </c>
      <c r="G19" s="9" t="inlineStr">
        <is>
          <t>Réfléchir étape par étape à un problème sans réponse évidente pour comprendre ce qui se passe.</t>
        </is>
      </c>
      <c r="H19" s="9" t="inlineStr">
        <is>
          <t>VALIDÉ_A1</t>
        </is>
      </c>
      <c r="I19" s="9" t="inlineStr">
        <is>
          <t>Centrage explicite sur l’intérêt pour une activité professionnelle ; compatible avec la consigne « aimeriez-vous réaliser cette activité », sans présumer métier ni compétence.</t>
        </is>
      </c>
    </row>
    <row r="20" ht="60" customHeight="1" s="34">
      <c r="A20" s="9" t="n">
        <v>19</v>
      </c>
      <c r="B20" s="9" t="inlineStr">
        <is>
          <t>PIP-ACT-I-I3-009</t>
        </is>
      </c>
      <c r="C20" s="9" t="inlineStr">
        <is>
          <t>I</t>
        </is>
      </c>
      <c r="D20" s="9" t="inlineStr">
        <is>
          <t>I3</t>
        </is>
      </c>
      <c r="E20" s="9" t="inlineStr">
        <is>
          <t>Rechercher des informations provenant de plusieurs sources pour répondre à une question.</t>
        </is>
      </c>
      <c r="F20" s="9" t="inlineStr">
        <is>
          <t>Chercher des informations dans plusieurs sources fiables pour répondre à une question précise.</t>
        </is>
      </c>
      <c r="G20" s="9" t="inlineStr">
        <is>
          <t>Rechercher des informations dans plusieurs sources pour répondre à une question précise.</t>
        </is>
      </c>
      <c r="H20" s="9" t="inlineStr">
        <is>
          <t>VALIDÉ_A1</t>
        </is>
      </c>
      <c r="I20" s="9" t="inlineStr">
        <is>
          <t>Centrage explicite sur l’intérêt pour une activité professionnelle ; compatible avec la consigne « aimeriez-vous réaliser cette activité », sans présumer métier ni compétence.</t>
        </is>
      </c>
    </row>
    <row r="21" ht="60" customHeight="1" s="34">
      <c r="A21" s="9" t="n">
        <v>20</v>
      </c>
      <c r="B21" s="9" t="inlineStr">
        <is>
          <t>PIP-ACT-I-I3-010</t>
        </is>
      </c>
      <c r="C21" s="9" t="inlineStr">
        <is>
          <t>I</t>
        </is>
      </c>
      <c r="D21" s="9" t="inlineStr">
        <is>
          <t>I3</t>
        </is>
      </c>
      <c r="E21" s="9" t="inlineStr">
        <is>
          <t>Enquêter pour vérifier ce qui est exact lorsqu’une situation reste incertaine.</t>
        </is>
      </c>
      <c r="F21" s="9" t="inlineStr">
        <is>
          <t>Vérifier une information incertaine en recoupant des sources et en recherchant des éléments de preuve.</t>
        </is>
      </c>
      <c r="G21" s="9" t="inlineStr">
        <is>
          <t>Vérifier une information incertaine en recoupant plusieurs sources et éléments de preuve.</t>
        </is>
      </c>
      <c r="H21" s="9" t="inlineStr">
        <is>
          <t>VALIDÉ_A1</t>
        </is>
      </c>
      <c r="I21" s="9" t="inlineStr">
        <is>
          <t>Centrage explicite sur l’intérêt pour une activité professionnelle ; compatible avec la consigne « aimeriez-vous réaliser cette activité », sans présumer métier ni compétence.</t>
        </is>
      </c>
    </row>
    <row r="22" ht="60" customHeight="1" s="34">
      <c r="A22" s="9" t="n">
        <v>21</v>
      </c>
      <c r="B22" s="9" t="inlineStr">
        <is>
          <t>PIP-ACT-I-I4-013</t>
        </is>
      </c>
      <c r="C22" s="9" t="inlineStr">
        <is>
          <t>I</t>
        </is>
      </c>
      <c r="D22" s="9" t="inlineStr">
        <is>
          <t>I4</t>
        </is>
      </c>
      <c r="E22" s="9" t="inlineStr">
        <is>
          <t>Tester une hypothèse pour voir si elle se vérifie.</t>
        </is>
      </c>
      <c r="F22" s="9" t="inlineStr">
        <is>
          <t>Tester une hypothèse en définissant une manière simple de vérifier si elle se confirme.</t>
        </is>
      </c>
      <c r="G22" s="9" t="inlineStr">
        <is>
          <t>Tester une hypothèse en choisissant une manière concrète de vérifier si elle se confirme.</t>
        </is>
      </c>
      <c r="H22" s="9" t="inlineStr">
        <is>
          <t>VALIDÉ_A1</t>
        </is>
      </c>
      <c r="I22" s="9" t="inlineStr">
        <is>
          <t>Centrage explicite sur l’intérêt pour une activité professionnelle ; compatible avec la consigne « aimeriez-vous réaliser cette activité », sans présumer métier ni compétence.</t>
        </is>
      </c>
    </row>
    <row r="23" ht="60" customHeight="1" s="34">
      <c r="A23" s="9" t="n">
        <v>22</v>
      </c>
      <c r="B23" s="9" t="inlineStr">
        <is>
          <t>PIP-ACT-I-I4-014</t>
        </is>
      </c>
      <c r="C23" s="9" t="inlineStr">
        <is>
          <t>I</t>
        </is>
      </c>
      <c r="D23" s="9" t="inlineStr">
        <is>
          <t>I4</t>
        </is>
      </c>
      <c r="E23" s="9" t="inlineStr">
        <is>
          <t>Comparer plusieurs essais pour comprendre ce qui produit un résultat différent.</t>
        </is>
      </c>
      <c r="F23" s="9" t="inlineStr">
        <is>
          <t>Réaliser plusieurs essais en modifiant un paramètre pour comprendre ce qui change le résultat.</t>
        </is>
      </c>
      <c r="G23" s="9" t="inlineStr">
        <is>
          <t>Réaliser plusieurs essais en ne modifiant qu’un élément à la fois pour comprendre son effet sur le résultat.</t>
        </is>
      </c>
      <c r="H23" s="9" t="inlineStr">
        <is>
          <t>VALIDÉ_A1</t>
        </is>
      </c>
      <c r="I23" s="9" t="inlineStr">
        <is>
          <t>Centrage explicite sur l’intérêt pour une activité professionnelle ; compatible avec la consigne « aimeriez-vous réaliser cette activité », sans présumer métier ni compétence.</t>
        </is>
      </c>
    </row>
    <row r="24" ht="60" customHeight="1" s="34">
      <c r="A24" s="9" t="n">
        <v>23</v>
      </c>
      <c r="B24" s="9" t="inlineStr">
        <is>
          <t>PIP-ACT-I-I5-017</t>
        </is>
      </c>
      <c r="C24" s="9" t="inlineStr">
        <is>
          <t>I</t>
        </is>
      </c>
      <c r="D24" s="9" t="inlineStr">
        <is>
          <t>I5</t>
        </is>
      </c>
      <c r="E24" s="9" t="inlineStr">
        <is>
          <t>Chercher la cause d’un problème pour pouvoir l’expliquer.</t>
        </is>
      </c>
      <c r="F24" s="9" t="inlineStr">
        <is>
          <t>Rechercher la cause d’un dysfonctionnement ou d’un phénomène avant de proposer une explication.</t>
        </is>
      </c>
      <c r="G24" s="9" t="inlineStr">
        <is>
          <t>Rechercher la cause d’un phénomène ou d’un dysfonctionnement pour pouvoir l’expliquer.</t>
        </is>
      </c>
      <c r="H24" s="9" t="inlineStr">
        <is>
          <t>VALIDÉ_A1</t>
        </is>
      </c>
      <c r="I24" s="9" t="inlineStr">
        <is>
          <t>Centrage explicite sur l’intérêt pour une activité professionnelle ; compatible avec la consigne « aimeriez-vous réaliser cette activité », sans présumer métier ni compétence.</t>
        </is>
      </c>
    </row>
    <row r="25" ht="60" customHeight="1" s="34">
      <c r="A25" s="9" t="n">
        <v>24</v>
      </c>
      <c r="B25" s="9" t="inlineStr">
        <is>
          <t>PIP-ACT-I-I5-018</t>
        </is>
      </c>
      <c r="C25" s="9" t="inlineStr">
        <is>
          <t>I</t>
        </is>
      </c>
      <c r="D25" s="9" t="inlineStr">
        <is>
          <t>I5</t>
        </is>
      </c>
      <c r="E25" s="9" t="inlineStr">
        <is>
          <t>Résoudre un problème nouveau en construisant une solution fondée sur les informations disponibles.</t>
        </is>
      </c>
      <c r="F25" s="9" t="inlineStr">
        <is>
          <t>Résoudre un problème nouveau en utilisant les informations disponibles pour construire une solution raisonnée.</t>
        </is>
      </c>
      <c r="G25" s="9" t="inlineStr">
        <is>
          <t>Résoudre un problème nouveau en construisant une explication ou une solution fondée sur les informations disponibles.</t>
        </is>
      </c>
      <c r="H25" s="9" t="inlineStr">
        <is>
          <t>VALIDÉ_A1</t>
        </is>
      </c>
      <c r="I25" s="9" t="inlineStr">
        <is>
          <t>Centrage explicite sur l’intérêt pour une activité professionnelle ; compatible avec la consigne « aimeriez-vous réaliser cette activité », sans présumer métier ni compétence.</t>
        </is>
      </c>
    </row>
    <row r="26" ht="60" customHeight="1" s="34">
      <c r="A26" s="9" t="n">
        <v>25</v>
      </c>
      <c r="B26" s="9" t="inlineStr">
        <is>
          <t>PIP-ACT-A-A1-001</t>
        </is>
      </c>
      <c r="C26" s="9" t="inlineStr">
        <is>
          <t>A</t>
        </is>
      </c>
      <c r="D26" s="9" t="inlineStr">
        <is>
          <t>A1</t>
        </is>
      </c>
      <c r="E26" s="9" t="inlineStr">
        <is>
          <t>Imaginer plusieurs idées nouvelles à partir d’un même sujet.</t>
        </is>
      </c>
      <c r="F26" s="9" t="inlineStr">
        <is>
          <t>Imaginer plusieurs concepts différents pour répondre à un même thème ou à une même demande.</t>
        </is>
      </c>
      <c r="G26" s="9" t="inlineStr">
        <is>
          <t>Imaginer plusieurs idées différentes pour répondre à un même thème ou à une même demande.</t>
        </is>
      </c>
      <c r="H26" s="9" t="inlineStr">
        <is>
          <t>VALIDÉ_A1</t>
        </is>
      </c>
      <c r="I26" s="9" t="inlineStr">
        <is>
          <t>Centrage explicite sur l’intérêt pour une activité professionnelle ; compatible avec la consigne « aimeriez-vous réaliser cette activité », sans présumer métier ni compétence.</t>
        </is>
      </c>
    </row>
    <row r="27" ht="60" customHeight="1" s="34">
      <c r="A27" s="9" t="n">
        <v>26</v>
      </c>
      <c r="B27" s="9" t="inlineStr">
        <is>
          <t>PIP-ACT-A-A1-002</t>
        </is>
      </c>
      <c r="C27" s="9" t="inlineStr">
        <is>
          <t>A</t>
        </is>
      </c>
      <c r="D27" s="9" t="inlineStr">
        <is>
          <t>A1</t>
        </is>
      </c>
      <c r="E27" s="9" t="inlineStr">
        <is>
          <t>Inventer une manière originale de présenter ou de réaliser quelque chose.</t>
        </is>
      </c>
      <c r="F27" s="9" t="inlineStr">
        <is>
          <t>Inventer une manière originale de présenter un message, un objet ou une expérience.</t>
        </is>
      </c>
      <c r="G27" s="9" t="inlineStr">
        <is>
          <t>Inventer une manière originale de présenter un message, un objet ou une expérience.</t>
        </is>
      </c>
      <c r="H27" s="9" t="inlineStr">
        <is>
          <t>VALIDÉ_A1</t>
        </is>
      </c>
      <c r="I27" s="9" t="inlineStr">
        <is>
          <t>Centrage explicite sur l’intérêt pour une activité professionnelle ; compatible avec la consigne « aimeriez-vous réaliser cette activité », sans présumer métier ni compétence.</t>
        </is>
      </c>
    </row>
    <row r="28" ht="60" customHeight="1" s="34">
      <c r="A28" s="9" t="n">
        <v>27</v>
      </c>
      <c r="B28" s="9" t="inlineStr">
        <is>
          <t>PIP-SIT-A-A1-003</t>
        </is>
      </c>
      <c r="C28" s="9" t="inlineStr">
        <is>
          <t>A</t>
        </is>
      </c>
      <c r="D28" s="9" t="inlineStr">
        <is>
          <t>A1</t>
        </is>
      </c>
      <c r="E28" s="9" t="inlineStr">
        <is>
          <t>Faire face à une demande pour laquelle aucune solution n’est imposée et imaginer une proposition nouvelle.</t>
        </is>
      </c>
      <c r="F28" s="9" t="inlineStr">
        <is>
          <t>Une demande est ouverte et aucune solution n’est imposée : imaginer une proposition nouvelle et personnelle.</t>
        </is>
      </c>
      <c r="G28" s="9" t="inlineStr">
        <is>
          <t>Imaginer une proposition personnelle lorsqu’une demande est ouverte et qu’aucune solution n’est imposée.</t>
        </is>
      </c>
      <c r="H28" s="9" t="inlineStr">
        <is>
          <t>VALIDÉ_A1</t>
        </is>
      </c>
      <c r="I28" s="9" t="inlineStr">
        <is>
          <t>Centrage explicite sur l’intérêt pour une activité professionnelle ; compatible avec la consigne « aimeriez-vous réaliser cette activité », sans présumer métier ni compétence.</t>
        </is>
      </c>
    </row>
    <row r="29" ht="60" customHeight="1" s="34">
      <c r="A29" s="9" t="n">
        <v>28</v>
      </c>
      <c r="B29" s="9" t="inlineStr">
        <is>
          <t>PIP-ACT-A-A2-005</t>
        </is>
      </c>
      <c r="C29" s="9" t="inlineStr">
        <is>
          <t>A</t>
        </is>
      </c>
      <c r="D29" s="9" t="inlineStr">
        <is>
          <t>A2</t>
        </is>
      </c>
      <c r="E29" s="9" t="inlineStr">
        <is>
          <t>Concevoir l’organisation visuelle ou la forme d’un support pour qu’il exprime une intention.</t>
        </is>
      </c>
      <c r="F29" s="9" t="inlineStr">
        <is>
          <t>Concevoir librement la mise en page d’une affiche, d’une brochure ou d’un support visuel pour transmettre une intention.</t>
        </is>
      </c>
      <c r="G29" s="9" t="inlineStr">
        <is>
          <t>Concevoir librement l’organisation visuelle d’un support pour transmettre une intention.</t>
        </is>
      </c>
      <c r="H29" s="9" t="inlineStr">
        <is>
          <t>VALIDÉ_A1</t>
        </is>
      </c>
      <c r="I29" s="9" t="inlineStr">
        <is>
          <t>Centrage explicite sur l’intérêt pour une activité professionnelle ; compatible avec la consigne « aimeriez-vous réaliser cette activité », sans présumer métier ni compétence.</t>
        </is>
      </c>
    </row>
    <row r="30" ht="60" customHeight="1" s="34">
      <c r="A30" s="9" t="n">
        <v>29</v>
      </c>
      <c r="B30" s="9" t="inlineStr">
        <is>
          <t>PIP-ACT-A-A2-006</t>
        </is>
      </c>
      <c r="C30" s="9" t="inlineStr">
        <is>
          <t>A</t>
        </is>
      </c>
      <c r="D30" s="9" t="inlineStr">
        <is>
          <t>A2</t>
        </is>
      </c>
      <c r="E30" s="9" t="inlineStr">
        <is>
          <t>Composer différents éléments pour créer un ensemble cohérent et personnel.</t>
        </is>
      </c>
      <c r="F30" s="9" t="inlineStr">
        <is>
          <t>Composer un ensemble en choisissant personnellement la disposition des formes, textes, images, sons ou autres éléments.</t>
        </is>
      </c>
      <c r="G30" s="9" t="inlineStr">
        <is>
          <t>Composer un ensemble en choisissant comment agencer des formes, des textes, des images, des sons ou d’autres éléments.</t>
        </is>
      </c>
      <c r="H30" s="9" t="inlineStr">
        <is>
          <t>VALIDÉ_A1</t>
        </is>
      </c>
      <c r="I30" s="9" t="inlineStr">
        <is>
          <t>Centrage explicite sur l’intérêt pour une activité professionnelle ; compatible avec la consigne « aimeriez-vous réaliser cette activité », sans présumer métier ni compétence.</t>
        </is>
      </c>
    </row>
    <row r="31" ht="60" customHeight="1" s="34">
      <c r="A31" s="9" t="n">
        <v>30</v>
      </c>
      <c r="B31" s="9" t="inlineStr">
        <is>
          <t>PIP-SIT-A-A2-007</t>
        </is>
      </c>
      <c r="C31" s="9" t="inlineStr">
        <is>
          <t>A</t>
        </is>
      </c>
      <c r="D31" s="9" t="inlineStr">
        <is>
          <t>A2</t>
        </is>
      </c>
      <c r="E31" s="9" t="inlineStr">
        <is>
          <t>Créer une proposition en choisissant librement la manière d’agencer plusieurs éléments.</t>
        </is>
      </c>
      <c r="F31" s="9" t="inlineStr">
        <is>
          <t>Créer une proposition en décidant librement comment agencer les éléments d’un support visuel, d’un espace ou d’une présentation créative.</t>
        </is>
      </c>
      <c r="G31" s="9" t="inlineStr">
        <is>
          <t>Créer une proposition en décidant librement comment organiser les éléments d’un support, d’un espace ou d’une présentation.</t>
        </is>
      </c>
      <c r="H31" s="9" t="inlineStr">
        <is>
          <t>VALIDÉ_A1</t>
        </is>
      </c>
      <c r="I31" s="9" t="inlineStr">
        <is>
          <t>Centrage explicite sur l’intérêt pour une activité professionnelle ; compatible avec la consigne « aimeriez-vous réaliser cette activité », sans présumer métier ni compétence.</t>
        </is>
      </c>
    </row>
    <row r="32" ht="60" customHeight="1" s="34">
      <c r="A32" s="9" t="n">
        <v>31</v>
      </c>
      <c r="B32" s="9" t="inlineStr">
        <is>
          <t>PIP-ACT-A-A3-009</t>
        </is>
      </c>
      <c r="C32" s="9" t="inlineStr">
        <is>
          <t>A</t>
        </is>
      </c>
      <c r="D32" s="9" t="inlineStr">
        <is>
          <t>A3</t>
        </is>
      </c>
      <c r="E32" s="9" t="inlineStr">
        <is>
          <t>Écrire un texte pour transmettre une idée, une émotion ou un point de vue.</t>
        </is>
      </c>
      <c r="F32" s="9" t="inlineStr">
        <is>
          <t>Écrire un texte, un récit ou un message destiné à faire ressentir une idée, une émotion ou un point de vue.</t>
        </is>
      </c>
      <c r="G32" s="9" t="inlineStr">
        <is>
          <t>Écrire un texte ou un récit pour faire passer une idée, une émotion ou un point de vue.</t>
        </is>
      </c>
      <c r="H32" s="9" t="inlineStr">
        <is>
          <t>VALIDÉ_A1</t>
        </is>
      </c>
      <c r="I32" s="9" t="inlineStr">
        <is>
          <t>Centrage explicite sur l’intérêt pour une activité professionnelle ; compatible avec la consigne « aimeriez-vous réaliser cette activité », sans présumer métier ni compétence.</t>
        </is>
      </c>
    </row>
    <row r="33" ht="60" customHeight="1" s="34">
      <c r="A33" s="9" t="n">
        <v>32</v>
      </c>
      <c r="B33" s="9" t="inlineStr">
        <is>
          <t>PIP-ACT-A-A3-010</t>
        </is>
      </c>
      <c r="C33" s="9" t="inlineStr">
        <is>
          <t>A</t>
        </is>
      </c>
      <c r="D33" s="9" t="inlineStr">
        <is>
          <t>A3</t>
        </is>
      </c>
      <c r="E33" s="9" t="inlineStr">
        <is>
          <t>Mettre en récit un sujet pour le rendre vivant et expressif.</t>
        </is>
      </c>
      <c r="F33" s="9" t="inlineStr">
        <is>
          <t>Transformer un sujet factuel en récit vivant pour capter l’attention d’un public.</t>
        </is>
      </c>
      <c r="G33" s="9" t="inlineStr">
        <is>
          <t>Transformer un sujet factuel en récit vivant pour capter l’attention d’un public.</t>
        </is>
      </c>
      <c r="H33" s="9" t="inlineStr">
        <is>
          <t>VALIDÉ_A1</t>
        </is>
      </c>
      <c r="I33" s="9" t="inlineStr">
        <is>
          <t>Centrage explicite sur l’intérêt pour une activité professionnelle ; compatible avec la consigne « aimeriez-vous réaliser cette activité », sans présumer métier ni compétence.</t>
        </is>
      </c>
    </row>
    <row r="34" ht="60" customHeight="1" s="34">
      <c r="A34" s="9" t="n">
        <v>33</v>
      </c>
      <c r="B34" s="9" t="inlineStr">
        <is>
          <t>PIP-ACT-A-A4-013</t>
        </is>
      </c>
      <c r="C34" s="9" t="inlineStr">
        <is>
          <t>A</t>
        </is>
      </c>
      <c r="D34" s="9" t="inlineStr">
        <is>
          <t>A4</t>
        </is>
      </c>
      <c r="E34" s="9" t="inlineStr">
        <is>
          <t>Créer une composition visuelle en jouant sur les formes, les images ou les couleurs.</t>
        </is>
      </c>
      <c r="F34" s="9" t="inlineStr">
        <is>
          <t>Créer une affiche, une illustration ou une composition visuelle en jouant librement sur les formes et les couleurs.</t>
        </is>
      </c>
      <c r="G34" s="9" t="inlineStr">
        <is>
          <t>Créer une composition visuelle en jouant sur les formes, les images et les couleurs.</t>
        </is>
      </c>
      <c r="H34" s="9" t="inlineStr">
        <is>
          <t>VALIDÉ_A1</t>
        </is>
      </c>
      <c r="I34" s="9" t="inlineStr">
        <is>
          <t>Centrage explicite sur l’intérêt pour une activité professionnelle ; compatible avec la consigne « aimeriez-vous réaliser cette activité », sans présumer métier ni compétence.</t>
        </is>
      </c>
    </row>
    <row r="35" ht="60" customHeight="1" s="34">
      <c r="A35" s="9" t="n">
        <v>34</v>
      </c>
      <c r="B35" s="9" t="inlineStr">
        <is>
          <t>PIP-ACT-A-A4-014</t>
        </is>
      </c>
      <c r="C35" s="9" t="inlineStr">
        <is>
          <t>A</t>
        </is>
      </c>
      <c r="D35" s="9" t="inlineStr">
        <is>
          <t>A4</t>
        </is>
      </c>
      <c r="E35" s="9" t="inlineStr">
        <is>
          <t>Imaginer une ambiance à partir de sons, d’images, de matières ou d’un espace.</t>
        </is>
      </c>
      <c r="F35" s="9" t="inlineStr">
        <is>
          <t>Imaginer l’ambiance d’un espace, d’un événement ou d’un contenu à partir de sons, d’images, de matières ou de lumière.</t>
        </is>
      </c>
      <c r="G35" s="9" t="inlineStr">
        <is>
          <t>Imaginer l’ambiance d’un espace, d’un événement ou d’un contenu à partir de sons, d’images, de matières ou de lumière.</t>
        </is>
      </c>
      <c r="H35" s="9" t="inlineStr">
        <is>
          <t>VALIDÉ_A1</t>
        </is>
      </c>
      <c r="I35" s="9" t="inlineStr">
        <is>
          <t>Centrage explicite sur l’intérêt pour une activité professionnelle ; compatible avec la consigne « aimeriez-vous réaliser cette activité », sans présumer métier ni compétence.</t>
        </is>
      </c>
    </row>
    <row r="36" ht="60" customHeight="1" s="34">
      <c r="A36" s="9" t="n">
        <v>35</v>
      </c>
      <c r="B36" s="9" t="inlineStr">
        <is>
          <t>PIP-ACT-A-A5-017</t>
        </is>
      </c>
      <c r="C36" s="9" t="inlineStr">
        <is>
          <t>A</t>
        </is>
      </c>
      <c r="D36" s="9" t="inlineStr">
        <is>
          <t>A5</t>
        </is>
      </c>
      <c r="E36" s="9" t="inlineStr">
        <is>
          <t>Explorer plusieurs pistes créatives avant de choisir celle qui convient le mieux.</t>
        </is>
      </c>
      <c r="F36" s="9" t="inlineStr">
        <is>
          <t>Explorer plusieurs pistes créatives pour un même projet avant de retenir celle qui exprime le mieux l’intention recherchée.</t>
        </is>
      </c>
      <c r="G36" s="9" t="inlineStr">
        <is>
          <t>Explorer plusieurs pistes créatives pour un même projet avant de choisir celle qui correspond le mieux à l’intention recherchée.</t>
        </is>
      </c>
      <c r="H36" s="9" t="inlineStr">
        <is>
          <t>VALIDÉ_A1</t>
        </is>
      </c>
      <c r="I36" s="9" t="inlineStr">
        <is>
          <t>Centrage explicite sur l’intérêt pour une activité professionnelle ; compatible avec la consigne « aimeriez-vous réaliser cette activité », sans présumer métier ni compétence.</t>
        </is>
      </c>
    </row>
    <row r="37" ht="60" customHeight="1" s="34">
      <c r="A37" s="9" t="n">
        <v>36</v>
      </c>
      <c r="B37" s="9" t="inlineStr">
        <is>
          <t>PIP-ACT-A-A5-018</t>
        </is>
      </c>
      <c r="C37" s="9" t="inlineStr">
        <is>
          <t>A</t>
        </is>
      </c>
      <c r="D37" s="9" t="inlineStr">
        <is>
          <t>A5</t>
        </is>
      </c>
      <c r="E37" s="9" t="inlineStr">
        <is>
          <t>Réinventer une manière habituelle de faire pour proposer une approche originale.</t>
        </is>
      </c>
      <c r="F37" s="9" t="inlineStr">
        <is>
          <t>Repenser une manière habituelle de présenter ou de réaliser quelque chose afin de proposer une approche originale.</t>
        </is>
      </c>
      <c r="G37" s="9" t="inlineStr">
        <is>
          <t>Repenser une manière habituelle de faire afin de proposer une approche plus originale.</t>
        </is>
      </c>
      <c r="H37" s="9" t="inlineStr">
        <is>
          <t>VALIDÉ_A1</t>
        </is>
      </c>
      <c r="I37" s="9" t="inlineStr">
        <is>
          <t>Centrage explicite sur l’intérêt pour une activité professionnelle ; compatible avec la consigne « aimeriez-vous réaliser cette activité », sans présumer métier ni compétence.</t>
        </is>
      </c>
    </row>
    <row r="38" ht="60" customHeight="1" s="34">
      <c r="A38" s="9" t="n">
        <v>37</v>
      </c>
      <c r="B38" s="9" t="inlineStr">
        <is>
          <t>PIP-ACT-S-S1-001</t>
        </is>
      </c>
      <c r="C38" s="9" t="inlineStr">
        <is>
          <t>S</t>
        </is>
      </c>
      <c r="D38" s="9" t="inlineStr">
        <is>
          <t>S1</t>
        </is>
      </c>
      <c r="E38" s="9" t="inlineStr">
        <is>
          <t>Expliquer un sujet à une personne pour l’aider à le comprendre.</t>
        </is>
      </c>
      <c r="F38" s="9" t="inlineStr">
        <is>
          <t>Expliquer une notion à une personne jusqu’à ce qu’elle puisse la comprendre par elle-même.</t>
        </is>
      </c>
      <c r="G38" s="9" t="inlineStr">
        <is>
          <t>Expliquer une notion à une personne jusqu’à ce qu’elle puisse la comprendre par elle-même.</t>
        </is>
      </c>
      <c r="H38" s="9" t="inlineStr">
        <is>
          <t>VALIDÉ_A1</t>
        </is>
      </c>
      <c r="I38" s="9" t="inlineStr">
        <is>
          <t>Centrage explicite sur l’intérêt pour une activité professionnelle ; compatible avec la consigne « aimeriez-vous réaliser cette activité », sans présumer métier ni compétence.</t>
        </is>
      </c>
    </row>
    <row r="39" ht="60" customHeight="1" s="34">
      <c r="A39" s="9" t="n">
        <v>38</v>
      </c>
      <c r="B39" s="9" t="inlineStr">
        <is>
          <t>PIP-ACT-S-S1-002</t>
        </is>
      </c>
      <c r="C39" s="9" t="inlineStr">
        <is>
          <t>S</t>
        </is>
      </c>
      <c r="D39" s="9" t="inlineStr">
        <is>
          <t>S1</t>
        </is>
      </c>
      <c r="E39" s="9" t="inlineStr">
        <is>
          <t>Montrer à quelqu’un comment réaliser une tâche afin qu’il puisse ensuite la faire seul.</t>
        </is>
      </c>
      <c r="F39" s="9" t="inlineStr">
        <is>
          <t>Montrer étape par étape à quelqu’un comment réaliser une tâche pour qu’il puisse ensuite la refaire seul.</t>
        </is>
      </c>
      <c r="G39" s="9" t="inlineStr">
        <is>
          <t>Montrer étape par étape à quelqu’un comment réaliser une tâche pour qu’il puisse ensuite la refaire seul.</t>
        </is>
      </c>
      <c r="H39" s="9" t="inlineStr">
        <is>
          <t>VALIDÉ_A1</t>
        </is>
      </c>
      <c r="I39" s="9" t="inlineStr">
        <is>
          <t>Centrage explicite sur l’intérêt pour une activité professionnelle ; compatible avec la consigne « aimeriez-vous réaliser cette activité », sans présumer métier ni compétence.</t>
        </is>
      </c>
    </row>
    <row r="40" ht="60" customHeight="1" s="34">
      <c r="A40" s="9" t="n">
        <v>39</v>
      </c>
      <c r="B40" s="9" t="inlineStr">
        <is>
          <t>PIP-SIT-S-S1-003</t>
        </is>
      </c>
      <c r="C40" s="9" t="inlineStr">
        <is>
          <t>S</t>
        </is>
      </c>
      <c r="D40" s="9" t="inlineStr">
        <is>
          <t>S1</t>
        </is>
      </c>
      <c r="E40" s="9" t="inlineStr">
        <is>
          <t>Adapter sa manière d’expliquer lorsqu’une personne ne comprend pas du premier coup.</t>
        </is>
      </c>
      <c r="F40" s="9" t="inlineStr">
        <is>
          <t>Une personne ne comprend pas une première explication : chercher une autre manière de lui présenter les choses.</t>
        </is>
      </c>
      <c r="G40" s="9" t="inlineStr">
        <is>
          <t>Chercher une autre manière d’expliquer lorsqu’une personne ne comprend pas du premier coup.</t>
        </is>
      </c>
      <c r="H40" s="9" t="inlineStr">
        <is>
          <t>VALIDÉ_A1</t>
        </is>
      </c>
      <c r="I40" s="9" t="inlineStr">
        <is>
          <t>Centrage explicite sur l’intérêt pour une activité professionnelle ; compatible avec la consigne « aimeriez-vous réaliser cette activité », sans présumer métier ni compétence.</t>
        </is>
      </c>
    </row>
    <row r="41" ht="60" customHeight="1" s="34">
      <c r="A41" s="9" t="n">
        <v>40</v>
      </c>
      <c r="B41" s="9" t="inlineStr">
        <is>
          <t>PIP-ACT-S-S2-005</t>
        </is>
      </c>
      <c r="C41" s="9" t="inlineStr">
        <is>
          <t>S</t>
        </is>
      </c>
      <c r="D41" s="9" t="inlineStr">
        <is>
          <t>S2</t>
        </is>
      </c>
      <c r="E41" s="9" t="inlineStr">
        <is>
          <t>Accompagner une personne dans la réalisation d’un objectif qui compte pour elle.</t>
        </is>
      </c>
      <c r="F41" s="9" t="inlineStr">
        <is>
          <t>Accompagner une personne dans les étapes nécessaires pour atteindre un objectif qui compte pour elle.</t>
        </is>
      </c>
      <c r="G41" s="9" t="inlineStr">
        <is>
          <t>Accompagner une personne dans les étapes nécessaires pour atteindre un objectif important pour elle.</t>
        </is>
      </c>
      <c r="H41" s="9" t="inlineStr">
        <is>
          <t>VALIDÉ_A1</t>
        </is>
      </c>
      <c r="I41" s="9" t="inlineStr">
        <is>
          <t>Centrage explicite sur l’intérêt pour une activité professionnelle ; compatible avec la consigne « aimeriez-vous réaliser cette activité », sans présumer métier ni compétence.</t>
        </is>
      </c>
    </row>
    <row r="42" ht="60" customHeight="1" s="34">
      <c r="A42" s="9" t="n">
        <v>41</v>
      </c>
      <c r="B42" s="9" t="inlineStr">
        <is>
          <t>PIP-ACT-S-S2-006</t>
        </is>
      </c>
      <c r="C42" s="9" t="inlineStr">
        <is>
          <t>S</t>
        </is>
      </c>
      <c r="D42" s="9" t="inlineStr">
        <is>
          <t>S2</t>
        </is>
      </c>
      <c r="E42" s="9" t="inlineStr">
        <is>
          <t>Soutenir quelqu’un qui rencontre une difficulté dans son parcours.</t>
        </is>
      </c>
      <c r="F42" s="9" t="inlineStr">
        <is>
          <t>Soutenir quelqu’un qui traverse une difficulté professionnelle ou personnelle liée à son parcours.</t>
        </is>
      </c>
      <c r="G42" s="9" t="inlineStr">
        <is>
          <t>Soutenir une personne qui rencontre une difficulté dans son parcours.</t>
        </is>
      </c>
      <c r="H42" s="9" t="inlineStr">
        <is>
          <t>VALIDÉ_A1</t>
        </is>
      </c>
      <c r="I42" s="9" t="inlineStr">
        <is>
          <t>Centrage explicite sur l’intérêt pour une activité professionnelle ; compatible avec la consigne « aimeriez-vous réaliser cette activité », sans présumer métier ni compétence.</t>
        </is>
      </c>
    </row>
    <row r="43" ht="60" customHeight="1" s="34">
      <c r="A43" s="9" t="n">
        <v>42</v>
      </c>
      <c r="B43" s="9" t="inlineStr">
        <is>
          <t>PIP-SIT-S-S2-007</t>
        </is>
      </c>
      <c r="C43" s="9" t="inlineStr">
        <is>
          <t>S</t>
        </is>
      </c>
      <c r="D43" s="9" t="inlineStr">
        <is>
          <t>S2</t>
        </is>
      </c>
      <c r="E43" s="9" t="inlineStr">
        <is>
          <t>Être aux côtés d’une personne pendant une période de changement et l’aider à avancer.</t>
        </is>
      </c>
      <c r="F43" s="9" t="inlineStr">
        <is>
          <t>Être présent auprès d’une personne pendant un changement important et l’aider à avancer progressivement.</t>
        </is>
      </c>
      <c r="G43" s="9" t="inlineStr">
        <is>
          <t>Être présent auprès d’une personne pendant une période de changement et l’aider à avancer progressivement.</t>
        </is>
      </c>
      <c r="H43" s="9" t="inlineStr">
        <is>
          <t>VALIDÉ_A1</t>
        </is>
      </c>
      <c r="I43" s="9" t="inlineStr">
        <is>
          <t>Centrage explicite sur l’intérêt pour une activité professionnelle ; compatible avec la consigne « aimeriez-vous réaliser cette activité », sans présumer métier ni compétence.</t>
        </is>
      </c>
    </row>
    <row r="44" ht="60" customHeight="1" s="34">
      <c r="A44" s="9" t="n">
        <v>43</v>
      </c>
      <c r="B44" s="9" t="inlineStr">
        <is>
          <t>PIP-ACT-S-S3-009</t>
        </is>
      </c>
      <c r="C44" s="9" t="inlineStr">
        <is>
          <t>S</t>
        </is>
      </c>
      <c r="D44" s="9" t="inlineStr">
        <is>
          <t>S3</t>
        </is>
      </c>
      <c r="E44" s="9" t="inlineStr">
        <is>
          <t>Écouter la situation d’une personne puis l’aider à identifier les options qui s’offrent à elle.</t>
        </is>
      </c>
      <c r="F44" s="9" t="inlineStr">
        <is>
          <t>Écouter la situation d’une personne puis l’aider à repérer les différentes options possibles.</t>
        </is>
      </c>
      <c r="G44" s="9" t="inlineStr">
        <is>
          <t>Écouter la situation d’une personne puis l’aider à repérer les différentes options possibles.</t>
        </is>
      </c>
      <c r="H44" s="9" t="inlineStr">
        <is>
          <t>VALIDÉ_A1</t>
        </is>
      </c>
      <c r="I44" s="9" t="inlineStr">
        <is>
          <t>Centrage explicite sur l’intérêt pour une activité professionnelle ; compatible avec la consigne « aimeriez-vous réaliser cette activité », sans présumer métier ni compétence.</t>
        </is>
      </c>
    </row>
    <row r="45" ht="60" customHeight="1" s="34">
      <c r="A45" s="9" t="n">
        <v>44</v>
      </c>
      <c r="B45" s="9" t="inlineStr">
        <is>
          <t>PIP-ACT-S-S3-010</t>
        </is>
      </c>
      <c r="C45" s="9" t="inlineStr">
        <is>
          <t>S</t>
        </is>
      </c>
      <c r="D45" s="9" t="inlineStr">
        <is>
          <t>S3</t>
        </is>
      </c>
      <c r="E45" s="9" t="inlineStr">
        <is>
          <t>Donner des informations utiles pour aider quelqu’un à faire un choix.</t>
        </is>
      </c>
      <c r="F45" s="9" t="inlineStr">
        <is>
          <t>Donner à quelqu’un les informations utiles pour qu’il puisse prendre lui-même une décision éclairée.</t>
        </is>
      </c>
      <c r="G45" s="9" t="inlineStr">
        <is>
          <t>Donner à quelqu’un les informations utiles pour qu’il puisse prendre lui-même une décision éclairée.</t>
        </is>
      </c>
      <c r="H45" s="9" t="inlineStr">
        <is>
          <t>VALIDÉ_A1</t>
        </is>
      </c>
      <c r="I45" s="9" t="inlineStr">
        <is>
          <t>Centrage explicite sur l’intérêt pour une activité professionnelle ; compatible avec la consigne « aimeriez-vous réaliser cette activité », sans présumer métier ni compétence.</t>
        </is>
      </c>
    </row>
    <row r="46" ht="60" customHeight="1" s="34">
      <c r="A46" s="9" t="n">
        <v>45</v>
      </c>
      <c r="B46" s="9" t="inlineStr">
        <is>
          <t>PIP-ACT-S-S4-013</t>
        </is>
      </c>
      <c r="C46" s="9" t="inlineStr">
        <is>
          <t>S</t>
        </is>
      </c>
      <c r="D46" s="9" t="inlineStr">
        <is>
          <t>S4</t>
        </is>
      </c>
      <c r="E46" s="9" t="inlineStr">
        <is>
          <t>Prendre soin d’une personne qui a besoin d’aide pour préserver ou retrouver son bien-être.</t>
        </is>
      </c>
      <c r="F46" s="9" t="inlineStr">
        <is>
          <t>Aider concrètement une personne fragilisée à préserver ou retrouver son confort, sa santé ou son autonomie.</t>
        </is>
      </c>
      <c r="G46" s="9" t="inlineStr">
        <is>
          <t>Aider concrètement une personne fragilisée à préserver ou retrouver son confort, sa santé ou son autonomie.</t>
        </is>
      </c>
      <c r="H46" s="9" t="inlineStr">
        <is>
          <t>VALIDÉ_A1</t>
        </is>
      </c>
      <c r="I46" s="9" t="inlineStr">
        <is>
          <t>Centrage explicite sur l’intérêt pour une activité professionnelle ; compatible avec la consigne « aimeriez-vous réaliser cette activité », sans présumer métier ni compétence.</t>
        </is>
      </c>
    </row>
    <row r="47" ht="60" customHeight="1" s="34">
      <c r="A47" s="9" t="n">
        <v>46</v>
      </c>
      <c r="B47" s="9" t="inlineStr">
        <is>
          <t>PIP-ACT-S-S4-014</t>
        </is>
      </c>
      <c r="C47" s="9" t="inlineStr">
        <is>
          <t>S</t>
        </is>
      </c>
      <c r="D47" s="9" t="inlineStr">
        <is>
          <t>S4</t>
        </is>
      </c>
      <c r="E47" s="9" t="inlineStr">
        <is>
          <t>Réaliser des gestes d’assistance destinés à protéger la santé ou la sécurité d’une personne.</t>
        </is>
      </c>
      <c r="F47" s="9" t="inlineStr">
        <is>
          <t>Réaliser des gestes d’assistance ou de prévention destinés à protéger la santé ou la sécurité d’une personne.</t>
        </is>
      </c>
      <c r="G47" s="9" t="inlineStr">
        <is>
          <t>Réaliser des gestes d’assistance ou de prévention destinés à protéger la santé ou la sécurité d’une personne.</t>
        </is>
      </c>
      <c r="H47" s="9" t="inlineStr">
        <is>
          <t>VALIDÉ_A1</t>
        </is>
      </c>
      <c r="I47" s="9" t="inlineStr">
        <is>
          <t>Centrage explicite sur l’intérêt pour une activité professionnelle ; compatible avec la consigne « aimeriez-vous réaliser cette activité », sans présumer métier ni compétence.</t>
        </is>
      </c>
    </row>
    <row r="48" ht="60" customHeight="1" s="34">
      <c r="A48" s="9" t="n">
        <v>47</v>
      </c>
      <c r="B48" s="9" t="inlineStr">
        <is>
          <t>PIP-ACT-S-S5-017</t>
        </is>
      </c>
      <c r="C48" s="9" t="inlineStr">
        <is>
          <t>S</t>
        </is>
      </c>
      <c r="D48" s="9" t="inlineStr">
        <is>
          <t>S5</t>
        </is>
      </c>
      <c r="E48" s="9" t="inlineStr">
        <is>
          <t>Accueillir une personne et l’aider à obtenir le service dont elle a besoin.</t>
        </is>
      </c>
      <c r="F48" s="9" t="inlineStr">
        <is>
          <t>Accueillir une personne, comprendre ce dont elle a besoin et l’aider à obtenir le service recherché.</t>
        </is>
      </c>
      <c r="G48" s="9" t="inlineStr">
        <is>
          <t>Accueillir une personne, comprendre sa demande et l’orienter vers le service ou la solution adaptée.</t>
        </is>
      </c>
      <c r="H48" s="9" t="inlineStr">
        <is>
          <t>VALIDÉ_A1</t>
        </is>
      </c>
      <c r="I48" s="9" t="inlineStr">
        <is>
          <t>Centrage explicite sur l’intérêt pour une activité professionnelle ; compatible avec la consigne « aimeriez-vous réaliser cette activité », sans présumer métier ni compétence.</t>
        </is>
      </c>
    </row>
    <row r="49" ht="60" customHeight="1" s="34">
      <c r="A49" s="9" t="n">
        <v>48</v>
      </c>
      <c r="B49" s="9" t="inlineStr">
        <is>
          <t>PIP-ACT-S-S5-018</t>
        </is>
      </c>
      <c r="C49" s="9" t="inlineStr">
        <is>
          <t>S</t>
        </is>
      </c>
      <c r="D49" s="9" t="inlineStr">
        <is>
          <t>S5</t>
        </is>
      </c>
      <c r="E49" s="9" t="inlineStr">
        <is>
          <t>Répondre concrètement à une demande afin de faciliter la démarche d’une personne.</t>
        </is>
      </c>
      <c r="F49" s="9" t="inlineStr">
        <is>
          <t>Répondre concrètement à la demande d’un usager ou d’un client afin de lui faciliter une démarche.</t>
        </is>
      </c>
      <c r="G49" s="9" t="inlineStr">
        <is>
          <t>Répondre concrètement à la demande d’un usager ou d’un client afin de lui faciliter une démarche.</t>
        </is>
      </c>
      <c r="H49" s="9" t="inlineStr">
        <is>
          <t>VALIDÉ_A1</t>
        </is>
      </c>
      <c r="I49" s="9" t="inlineStr">
        <is>
          <t>Centrage explicite sur l’intérêt pour une activité professionnelle ; compatible avec la consigne « aimeriez-vous réaliser cette activité », sans présumer métier ni compétence.</t>
        </is>
      </c>
    </row>
    <row r="50" ht="60" customHeight="1" s="34">
      <c r="A50" s="9" t="n">
        <v>49</v>
      </c>
      <c r="B50" s="9" t="inlineStr">
        <is>
          <t>PIP-ACT-E-E1-001</t>
        </is>
      </c>
      <c r="C50" s="9" t="inlineStr">
        <is>
          <t>E</t>
        </is>
      </c>
      <c r="D50" s="9" t="inlineStr">
        <is>
          <t>E1</t>
        </is>
      </c>
      <c r="E50" s="9" t="inlineStr">
        <is>
          <t>Lancer un nouveau projet à partir d’une idée ou d’une opportunité.</t>
        </is>
      </c>
      <c r="F50" s="9" t="inlineStr">
        <is>
          <t>Lancer un nouveau service, une activité ou un projet à partir d’une idée ou d’une opportunité identifiée.</t>
        </is>
      </c>
      <c r="G50" s="9" t="inlineStr">
        <is>
          <t>Lancer un nouveau service, une activité ou un projet à partir d’une idée ou d’une opportunité.</t>
        </is>
      </c>
      <c r="H50" s="9" t="inlineStr">
        <is>
          <t>VALIDÉ_A1</t>
        </is>
      </c>
      <c r="I50" s="9" t="inlineStr">
        <is>
          <t>Centrage explicite sur l’intérêt pour une activité professionnelle ; compatible avec la consigne « aimeriez-vous réaliser cette activité », sans présumer métier ni compétence.</t>
        </is>
      </c>
    </row>
    <row r="51" ht="60" customHeight="1" s="34">
      <c r="A51" s="9" t="n">
        <v>50</v>
      </c>
      <c r="B51" s="9" t="inlineStr">
        <is>
          <t>PIP-ACT-E-E1-002</t>
        </is>
      </c>
      <c r="C51" s="9" t="inlineStr">
        <is>
          <t>E</t>
        </is>
      </c>
      <c r="D51" s="9" t="inlineStr">
        <is>
          <t>E1</t>
        </is>
      </c>
      <c r="E51" s="9" t="inlineStr">
        <is>
          <t>Faire progresser un projet en identifiant de nouvelles possibilités de développement.</t>
        </is>
      </c>
      <c r="F51" s="9" t="inlineStr">
        <is>
          <t>Chercher de nouvelles possibilités pour développer un projet, une activité ou une offre existante.</t>
        </is>
      </c>
      <c r="G51" s="9" t="inlineStr">
        <is>
          <t>Rechercher de nouvelles possibilités pour développer un projet, une activité ou une offre existante.</t>
        </is>
      </c>
      <c r="H51" s="9" t="inlineStr">
        <is>
          <t>VALIDÉ_A1</t>
        </is>
      </c>
      <c r="I51" s="9" t="inlineStr">
        <is>
          <t>Centrage explicite sur l’intérêt pour une activité professionnelle ; compatible avec la consigne « aimeriez-vous réaliser cette activité », sans présumer métier ni compétence.</t>
        </is>
      </c>
    </row>
    <row r="52" ht="60" customHeight="1" s="34">
      <c r="A52" s="9" t="n">
        <v>51</v>
      </c>
      <c r="B52" s="9" t="inlineStr">
        <is>
          <t>PIP-SIT-E-E1-003</t>
        </is>
      </c>
      <c r="C52" s="9" t="inlineStr">
        <is>
          <t>E</t>
        </is>
      </c>
      <c r="D52" s="9" t="inlineStr">
        <is>
          <t>E1</t>
        </is>
      </c>
      <c r="E52" s="9" t="inlineStr">
        <is>
          <t>Voir une opportunité et prendre l’initiative de la transformer en projet concret.</t>
        </is>
      </c>
      <c r="F52" s="9" t="inlineStr">
        <is>
          <t>Repérer une opportunité et prendre l’initiative de réunir les moyens nécessaires pour en faire un projet concret.</t>
        </is>
      </c>
      <c r="G52" s="9" t="inlineStr">
        <is>
          <t>Repérer une opportunité et prendre l’initiative de réunir les moyens nécessaires pour en faire un projet concret.</t>
        </is>
      </c>
      <c r="H52" s="9" t="inlineStr">
        <is>
          <t>VALIDÉ_A1</t>
        </is>
      </c>
      <c r="I52" s="9" t="inlineStr">
        <is>
          <t>Centrage explicite sur l’intérêt pour une activité professionnelle ; compatible avec la consigne « aimeriez-vous réaliser cette activité », sans présumer métier ni compétence.</t>
        </is>
      </c>
    </row>
    <row r="53" ht="60" customHeight="1" s="34">
      <c r="A53" s="9" t="n">
        <v>52</v>
      </c>
      <c r="B53" s="9" t="inlineStr">
        <is>
          <t>PIP-ACT-E-E2-005</t>
        </is>
      </c>
      <c r="C53" s="9" t="inlineStr">
        <is>
          <t>E</t>
        </is>
      </c>
      <c r="D53" s="9" t="inlineStr">
        <is>
          <t>E2</t>
        </is>
      </c>
      <c r="E53" s="9" t="inlineStr">
        <is>
          <t>Présenter une proposition de façon à donner envie d’y adhérer.</t>
        </is>
      </c>
      <c r="F53" s="9" t="inlineStr">
        <is>
          <t>Présenter une proposition à un client, une équipe ou un partenaire de façon à susciter son adhésion.</t>
        </is>
      </c>
      <c r="G53" s="9" t="inlineStr">
        <is>
          <t>Présenter une proposition à un client, une équipe ou un partenaire de manière à susciter son adhésion.</t>
        </is>
      </c>
      <c r="H53" s="9" t="inlineStr">
        <is>
          <t>VALIDÉ_A1</t>
        </is>
      </c>
      <c r="I53" s="9" t="inlineStr">
        <is>
          <t>Centrage explicite sur l’intérêt pour une activité professionnelle ; compatible avec la consigne « aimeriez-vous réaliser cette activité », sans présumer métier ni compétence.</t>
        </is>
      </c>
    </row>
    <row r="54" ht="60" customHeight="1" s="34">
      <c r="A54" s="9" t="n">
        <v>53</v>
      </c>
      <c r="B54" s="9" t="inlineStr">
        <is>
          <t>PIP-ACT-E-E2-006</t>
        </is>
      </c>
      <c r="C54" s="9" t="inlineStr">
        <is>
          <t>E</t>
        </is>
      </c>
      <c r="D54" s="9" t="inlineStr">
        <is>
          <t>E2</t>
        </is>
      </c>
      <c r="E54" s="9" t="inlineStr">
        <is>
          <t>Promouvoir un produit, un service ou une idée auprès d’un public.</t>
        </is>
      </c>
      <c r="F54" s="9" t="inlineStr">
        <is>
          <t>Promouvoir un produit, un service, un projet ou une idée auprès d’un public susceptible d’être intéressé.</t>
        </is>
      </c>
      <c r="G54" s="9" t="inlineStr">
        <is>
          <t>Promouvoir un produit, un service, un projet ou une idée auprès d’un public susceptible d’être intéressé.</t>
        </is>
      </c>
      <c r="H54" s="9" t="inlineStr">
        <is>
          <t>VALIDÉ_A1</t>
        </is>
      </c>
      <c r="I54" s="9" t="inlineStr">
        <is>
          <t>Centrage explicite sur l’intérêt pour une activité professionnelle ; compatible avec la consigne « aimeriez-vous réaliser cette activité », sans présumer métier ni compétence.</t>
        </is>
      </c>
    </row>
    <row r="55" ht="60" customHeight="1" s="34">
      <c r="A55" s="9" t="n">
        <v>54</v>
      </c>
      <c r="B55" s="9" t="inlineStr">
        <is>
          <t>PIP-SIT-E-E2-007</t>
        </is>
      </c>
      <c r="C55" s="9" t="inlineStr">
        <is>
          <t>E</t>
        </is>
      </c>
      <c r="D55" s="9" t="inlineStr">
        <is>
          <t>E2</t>
        </is>
      </c>
      <c r="E55" s="9" t="inlineStr">
        <is>
          <t>Défendre une proposition devant des personnes qui hésitent afin d’obtenir leur adhésion.</t>
        </is>
      </c>
      <c r="F55" s="9" t="inlineStr">
        <is>
          <t>Défendre une proposition devant des personnes hésitantes afin de les convaincre de la retenir.</t>
        </is>
      </c>
      <c r="G55" s="9" t="inlineStr">
        <is>
          <t>Défendre une proposition devant des personnes hésitantes afin de les convaincre de la retenir.</t>
        </is>
      </c>
      <c r="H55" s="9" t="inlineStr">
        <is>
          <t>VALIDÉ_A1</t>
        </is>
      </c>
      <c r="I55" s="9" t="inlineStr">
        <is>
          <t>Centrage explicite sur l’intérêt pour une activité professionnelle ; compatible avec la consigne « aimeriez-vous réaliser cette activité », sans présumer métier ni compétence.</t>
        </is>
      </c>
    </row>
    <row r="56" ht="60" customHeight="1" s="34">
      <c r="A56" s="9" t="n">
        <v>55</v>
      </c>
      <c r="B56" s="9" t="inlineStr">
        <is>
          <t>PIP-ACT-E-E3-009</t>
        </is>
      </c>
      <c r="C56" s="9" t="inlineStr">
        <is>
          <t>E</t>
        </is>
      </c>
      <c r="D56" s="9" t="inlineStr">
        <is>
          <t>E3</t>
        </is>
      </c>
      <c r="E56" s="9" t="inlineStr">
        <is>
          <t>Négocier les conditions d’un accord entre plusieurs parties.</t>
        </is>
      </c>
      <c r="F56" s="9" t="inlineStr">
        <is>
          <t>Négocier avec plusieurs parties les conditions d’un accord afin de parvenir à une solution acceptable.</t>
        </is>
      </c>
      <c r="G56" s="9" t="inlineStr">
        <is>
          <t>Négocier les conditions d’un accord entre plusieurs parties pour parvenir à une solution acceptable.</t>
        </is>
      </c>
      <c r="H56" s="9" t="inlineStr">
        <is>
          <t>VALIDÉ_A1</t>
        </is>
      </c>
      <c r="I56" s="9" t="inlineStr">
        <is>
          <t>Centrage explicite sur l’intérêt pour une activité professionnelle ; compatible avec la consigne « aimeriez-vous réaliser cette activité », sans présumer métier ni compétence.</t>
        </is>
      </c>
    </row>
    <row r="57" ht="60" customHeight="1" s="34">
      <c r="A57" s="9" t="n">
        <v>56</v>
      </c>
      <c r="B57" s="9" t="inlineStr">
        <is>
          <t>PIP-ACT-E-E3-010</t>
        </is>
      </c>
      <c r="C57" s="9" t="inlineStr">
        <is>
          <t>E</t>
        </is>
      </c>
      <c r="D57" s="9" t="inlineStr">
        <is>
          <t>E3</t>
        </is>
      </c>
      <c r="E57" s="9" t="inlineStr">
        <is>
          <t>Chercher un compromis lorsque des personnes défendent des intérêts différents.</t>
        </is>
      </c>
      <c r="F57" s="9" t="inlineStr">
        <is>
          <t>Rechercher un compromis lorsque deux personnes ou organisations défendent des intérêts différents.</t>
        </is>
      </c>
      <c r="G57" s="9" t="inlineStr">
        <is>
          <t>Rechercher un compromis lorsque plusieurs personnes ou organisations défendent des intérêts différents.</t>
        </is>
      </c>
      <c r="H57" s="9" t="inlineStr">
        <is>
          <t>VALIDÉ_A1</t>
        </is>
      </c>
      <c r="I57" s="9" t="inlineStr">
        <is>
          <t>Centrage explicite sur l’intérêt pour une activité professionnelle ; compatible avec la consigne « aimeriez-vous réaliser cette activité », sans présumer métier ni compétence.</t>
        </is>
      </c>
    </row>
    <row r="58" ht="60" customHeight="1" s="34">
      <c r="A58" s="9" t="n">
        <v>57</v>
      </c>
      <c r="B58" s="9" t="inlineStr">
        <is>
          <t>PIP-ACT-E-E4-013</t>
        </is>
      </c>
      <c r="C58" s="9" t="inlineStr">
        <is>
          <t>E</t>
        </is>
      </c>
      <c r="D58" s="9" t="inlineStr">
        <is>
          <t>E4</t>
        </is>
      </c>
      <c r="E58" s="9" t="inlineStr">
        <is>
          <t>Coordonner le travail de plusieurs personnes pour faire avancer un projet.</t>
        </is>
      </c>
      <c r="F58" s="9" t="inlineStr">
        <is>
          <t>Coordonner plusieurs personnes, répartir les responsabilités et suivre l’avancement d’un projet.</t>
        </is>
      </c>
      <c r="G58" s="9" t="inlineStr">
        <is>
          <t>Coordonner plusieurs personnes, répartir les responsabilités et suivre l’avancement d’un projet.</t>
        </is>
      </c>
      <c r="H58" s="9" t="inlineStr">
        <is>
          <t>VALIDÉ_A1</t>
        </is>
      </c>
      <c r="I58" s="9" t="inlineStr">
        <is>
          <t>Centrage explicite sur l’intérêt pour une activité professionnelle ; compatible avec la consigne « aimeriez-vous réaliser cette activité », sans présumer métier ni compétence.</t>
        </is>
      </c>
    </row>
    <row r="59" ht="60" customHeight="1" s="34">
      <c r="A59" s="9" t="n">
        <v>58</v>
      </c>
      <c r="B59" s="9" t="inlineStr">
        <is>
          <t>PIP-ACT-E-E4-014</t>
        </is>
      </c>
      <c r="C59" s="9" t="inlineStr">
        <is>
          <t>E</t>
        </is>
      </c>
      <c r="D59" s="9" t="inlineStr">
        <is>
          <t>E4</t>
        </is>
      </c>
      <c r="E59" s="9" t="inlineStr">
        <is>
          <t>Prendre des décisions qui orientent l’action d’une équipe ou d’un projet.</t>
        </is>
      </c>
      <c r="F59" s="9" t="inlineStr">
        <is>
          <t>Prendre une décision qui donne une direction claire à une équipe ou à un projet.</t>
        </is>
      </c>
      <c r="G59" s="9" t="inlineStr">
        <is>
          <t>Prendre une décision qui donne une direction claire à une équipe ou à un projet.</t>
        </is>
      </c>
      <c r="H59" s="9" t="inlineStr">
        <is>
          <t>VALIDÉ_A1</t>
        </is>
      </c>
      <c r="I59" s="9" t="inlineStr">
        <is>
          <t>Centrage explicite sur l’intérêt pour une activité professionnelle ; compatible avec la consigne « aimeriez-vous réaliser cette activité », sans présumer métier ni compétence.</t>
        </is>
      </c>
    </row>
    <row r="60" ht="60" customHeight="1" s="34">
      <c r="A60" s="9" t="n">
        <v>59</v>
      </c>
      <c r="B60" s="9" t="inlineStr">
        <is>
          <t>PIP-ACT-E-E5-017</t>
        </is>
      </c>
      <c r="C60" s="9" t="inlineStr">
        <is>
          <t>E</t>
        </is>
      </c>
      <c r="D60" s="9" t="inlineStr">
        <is>
          <t>E5</t>
        </is>
      </c>
      <c r="E60" s="9" t="inlineStr">
        <is>
          <t>Prendre la parole pour représenter une organisation, un projet ou une cause.</t>
        </is>
      </c>
      <c r="F60" s="9" t="inlineStr">
        <is>
          <t>Prendre la parole au nom d’une organisation, d’un projet ou d’une cause devant des interlocuteurs externes.</t>
        </is>
      </c>
      <c r="G60" s="9" t="inlineStr">
        <is>
          <t>Prendre la parole au nom d’une organisation, d’un projet ou d’une cause devant des interlocuteurs externes.</t>
        </is>
      </c>
      <c r="H60" s="9" t="inlineStr">
        <is>
          <t>VALIDÉ_A1</t>
        </is>
      </c>
      <c r="I60" s="9" t="inlineStr">
        <is>
          <t>Centrage explicite sur l’intérêt pour une activité professionnelle ; compatible avec la consigne « aimeriez-vous réaliser cette activité », sans présumer métier ni compétence.</t>
        </is>
      </c>
    </row>
    <row r="61" ht="60" customHeight="1" s="34">
      <c r="A61" s="9" t="n">
        <v>60</v>
      </c>
      <c r="B61" s="9" t="inlineStr">
        <is>
          <t>PIP-ACT-E-E5-018</t>
        </is>
      </c>
      <c r="C61" s="9" t="inlineStr">
        <is>
          <t>E</t>
        </is>
      </c>
      <c r="D61" s="9" t="inlineStr">
        <is>
          <t>E5</t>
        </is>
      </c>
      <c r="E61" s="9" t="inlineStr">
        <is>
          <t>Mobiliser plusieurs personnes autour d’un objectif commun.</t>
        </is>
      </c>
      <c r="F61" s="9" t="inlineStr">
        <is>
          <t>Mobiliser plusieurs personnes autour d’un objectif et leur donner envie de contribuer.</t>
        </is>
      </c>
      <c r="G61" s="9" t="inlineStr">
        <is>
          <t>Mobiliser plusieurs personnes autour d’un objectif et leur donner envie de contribuer.</t>
        </is>
      </c>
      <c r="H61" s="9" t="inlineStr">
        <is>
          <t>VALIDÉ_A1</t>
        </is>
      </c>
      <c r="I61" s="9" t="inlineStr">
        <is>
          <t>Centrage explicite sur l’intérêt pour une activité professionnelle ; compatible avec la consigne « aimeriez-vous réaliser cette activité », sans présumer métier ni compétence.</t>
        </is>
      </c>
    </row>
    <row r="62" ht="60" customHeight="1" s="34">
      <c r="A62" s="9" t="n">
        <v>61</v>
      </c>
      <c r="B62" s="9" t="inlineStr">
        <is>
          <t>PIP-ACT-C-C1-001</t>
        </is>
      </c>
      <c r="C62" s="9" t="inlineStr">
        <is>
          <t>C</t>
        </is>
      </c>
      <c r="D62" s="9" t="inlineStr">
        <is>
          <t>C1</t>
        </is>
      </c>
      <c r="E62" s="9" t="inlineStr">
        <is>
          <t>Organiser des informations pour qu’elles soient faciles à retrouver et à utiliser.</t>
        </is>
      </c>
      <c r="F62" s="9" t="inlineStr">
        <is>
          <t>Organiser des dossiers ou informations dans une arborescence claire afin qu’ils soient rapidement retrouvés.</t>
        </is>
      </c>
      <c r="G62" s="9" t="inlineStr">
        <is>
          <t>Organiser des dossiers ou des informations de manière à pouvoir les retrouver rapidement.</t>
        </is>
      </c>
      <c r="H62" s="9" t="inlineStr">
        <is>
          <t>VALIDÉ_A1</t>
        </is>
      </c>
      <c r="I62" s="9" t="inlineStr">
        <is>
          <t>Centrage explicite sur l’intérêt pour une activité professionnelle ; compatible avec la consigne « aimeriez-vous réaliser cette activité », sans présumer métier ni compétence.</t>
        </is>
      </c>
    </row>
    <row r="63" ht="60" customHeight="1" s="34">
      <c r="A63" s="9" t="n">
        <v>62</v>
      </c>
      <c r="B63" s="9" t="inlineStr">
        <is>
          <t>PIP-ACT-C-C1-002</t>
        </is>
      </c>
      <c r="C63" s="9" t="inlineStr">
        <is>
          <t>C</t>
        </is>
      </c>
      <c r="D63" s="9" t="inlineStr">
        <is>
          <t>C1</t>
        </is>
      </c>
      <c r="E63" s="9" t="inlineStr">
        <is>
          <t>Classer des documents ou des données selon une structure claire.</t>
        </is>
      </c>
      <c r="F63" s="9" t="inlineStr">
        <is>
          <t>Classer des documents ou des données selon des catégories et des règles définies.</t>
        </is>
      </c>
      <c r="G63" s="9" t="inlineStr">
        <is>
          <t>Classer des documents ou des données selon des catégories et des règles définies.</t>
        </is>
      </c>
      <c r="H63" s="9" t="inlineStr">
        <is>
          <t>VALIDÉ_A1</t>
        </is>
      </c>
      <c r="I63" s="9" t="inlineStr">
        <is>
          <t>Centrage explicite sur l’intérêt pour une activité professionnelle ; compatible avec la consigne « aimeriez-vous réaliser cette activité », sans présumer métier ni compétence.</t>
        </is>
      </c>
    </row>
    <row r="64" ht="60" customHeight="1" s="34">
      <c r="A64" s="9" t="n">
        <v>63</v>
      </c>
      <c r="B64" s="9" t="inlineStr">
        <is>
          <t>PIP-SIT-C-C1-003</t>
        </is>
      </c>
      <c r="C64" s="9" t="inlineStr">
        <is>
          <t>C</t>
        </is>
      </c>
      <c r="D64" s="9" t="inlineStr">
        <is>
          <t>C1</t>
        </is>
      </c>
      <c r="E64" s="9" t="inlineStr">
        <is>
          <t>Remettre de l’ordre dans un ensemble d’informations dispersées afin qu’il devienne exploitable.</t>
        </is>
      </c>
      <c r="F64" s="9" t="inlineStr">
        <is>
          <t>Reprendre un ensemble de fichiers ou d’informations dispersés et les réorganiser pour qu’ils deviennent faciles à utiliser.</t>
        </is>
      </c>
      <c r="G64" s="9" t="inlineStr">
        <is>
          <t>Réorganiser un ensemble de fichiers ou d’informations dispersés pour les rendre faciles à utiliser.</t>
        </is>
      </c>
      <c r="H64" s="9" t="inlineStr">
        <is>
          <t>VALIDÉ_A1</t>
        </is>
      </c>
      <c r="I64" s="9" t="inlineStr">
        <is>
          <t>Centrage explicite sur l’intérêt pour une activité professionnelle ; compatible avec la consigne « aimeriez-vous réaliser cette activité », sans présumer métier ni compétence.</t>
        </is>
      </c>
    </row>
    <row r="65" ht="60" customHeight="1" s="34">
      <c r="A65" s="9" t="n">
        <v>64</v>
      </c>
      <c r="B65" s="9" t="inlineStr">
        <is>
          <t>PIP-ACT-C-C2-005</t>
        </is>
      </c>
      <c r="C65" s="9" t="inlineStr">
        <is>
          <t>C</t>
        </is>
      </c>
      <c r="D65" s="9" t="inlineStr">
        <is>
          <t>C2</t>
        </is>
      </c>
      <c r="E65" s="9" t="inlineStr">
        <is>
          <t>Enregistrer avec précision des informations dans un dossier ou un système.</t>
        </is>
      </c>
      <c r="F65" s="9" t="inlineStr">
        <is>
          <t>Saisir avec précision des informations dans un dossier, une base ou un système de suivi.</t>
        </is>
      </c>
      <c r="G65" s="9" t="inlineStr">
        <is>
          <t>Saisir avec précision des informations dans un dossier, une base ou un système de suivi.</t>
        </is>
      </c>
      <c r="H65" s="9" t="inlineStr">
        <is>
          <t>VALIDÉ_A1</t>
        </is>
      </c>
      <c r="I65" s="9" t="inlineStr">
        <is>
          <t>Centrage explicite sur l’intérêt pour une activité professionnelle ; compatible avec la consigne « aimeriez-vous réaliser cette activité », sans présumer métier ni compétence.</t>
        </is>
      </c>
    </row>
    <row r="66" ht="60" customHeight="1" s="34">
      <c r="A66" s="9" t="n">
        <v>65</v>
      </c>
      <c r="B66" s="9" t="inlineStr">
        <is>
          <t>PIP-ACT-C-C2-006</t>
        </is>
      </c>
      <c r="C66" s="9" t="inlineStr">
        <is>
          <t>C</t>
        </is>
      </c>
      <c r="D66" s="9" t="inlineStr">
        <is>
          <t>C2</t>
        </is>
      </c>
      <c r="E66" s="9" t="inlineStr">
        <is>
          <t>Mettre régulièrement à jour des données pour qu’elles restent fiables.</t>
        </is>
      </c>
      <c r="F66" s="9" t="inlineStr">
        <is>
          <t>Mettre à jour régulièrement un fichier de suivi afin que les informations restent exactes et actuelles.</t>
        </is>
      </c>
      <c r="G66" s="9" t="inlineStr">
        <is>
          <t>Mettre à jour régulièrement un fichier de suivi afin que les informations restent exactes et actuelles.</t>
        </is>
      </c>
      <c r="H66" s="9" t="inlineStr">
        <is>
          <t>VALIDÉ_A1</t>
        </is>
      </c>
      <c r="I66" s="9" t="inlineStr">
        <is>
          <t>Centrage explicite sur l’intérêt pour une activité professionnelle ; compatible avec la consigne « aimeriez-vous réaliser cette activité », sans présumer métier ni compétence.</t>
        </is>
      </c>
    </row>
    <row r="67" ht="60" customHeight="1" s="34">
      <c r="A67" s="9" t="n">
        <v>66</v>
      </c>
      <c r="B67" s="9" t="inlineStr">
        <is>
          <t>PIP-SIT-C-C2-007</t>
        </is>
      </c>
      <c r="C67" s="9" t="inlineStr">
        <is>
          <t>C</t>
        </is>
      </c>
      <c r="D67" s="9" t="inlineStr">
        <is>
          <t>C2</t>
        </is>
      </c>
      <c r="E67" s="9" t="inlineStr">
        <is>
          <t>Reprendre un ensemble d’informations incomplètes et les mettre à jour de manière méthodique.</t>
        </is>
      </c>
      <c r="F67" s="9" t="inlineStr">
        <is>
          <t>Reprendre un dossier contenant des informations manquantes, les compléter et vérifier qu’il est à jour.</t>
        </is>
      </c>
      <c r="G67" s="9" t="inlineStr">
        <is>
          <t>Compléter un dossier contenant des informations manquantes puis vérifier qu’il est à jour.</t>
        </is>
      </c>
      <c r="H67" s="9" t="inlineStr">
        <is>
          <t>VALIDÉ_A1</t>
        </is>
      </c>
      <c r="I67" s="9" t="inlineStr">
        <is>
          <t>Centrage explicite sur l’intérêt pour une activité professionnelle ; compatible avec la consigne « aimeriez-vous réaliser cette activité », sans présumer métier ni compétence.</t>
        </is>
      </c>
    </row>
    <row r="68" ht="60" customHeight="1" s="34">
      <c r="A68" s="9" t="n">
        <v>67</v>
      </c>
      <c r="B68" s="9" t="inlineStr">
        <is>
          <t>PIP-ACT-C-C3-009</t>
        </is>
      </c>
      <c r="C68" s="9" t="inlineStr">
        <is>
          <t>C</t>
        </is>
      </c>
      <c r="D68" s="9" t="inlineStr">
        <is>
          <t>C3</t>
        </is>
      </c>
      <c r="E68" s="9" t="inlineStr">
        <is>
          <t>Vérifier l’exactitude d’informations avant qu’elles soient utilisées.</t>
        </is>
      </c>
      <c r="F68" s="9" t="inlineStr">
        <is>
          <t>Contrôler des informations avant leur utilisation afin de vérifier qu’elles sont exactes et complètes.</t>
        </is>
      </c>
      <c r="G68" s="9" t="inlineStr">
        <is>
          <t>Contrôler des informations avant leur utilisation afin de vérifier qu’elles sont exactes et complètes.</t>
        </is>
      </c>
      <c r="H68" s="9" t="inlineStr">
        <is>
          <t>VALIDÉ_A1</t>
        </is>
      </c>
      <c r="I68" s="9" t="inlineStr">
        <is>
          <t>Centrage explicite sur l’intérêt pour une activité professionnelle ; compatible avec la consigne « aimeriez-vous réaliser cette activité », sans présumer métier ni compétence.</t>
        </is>
      </c>
    </row>
    <row r="69" ht="60" customHeight="1" s="34">
      <c r="A69" s="9" t="n">
        <v>68</v>
      </c>
      <c r="B69" s="9" t="inlineStr">
        <is>
          <t>PIP-ACT-C-C3-010</t>
        </is>
      </c>
      <c r="C69" s="9" t="inlineStr">
        <is>
          <t>C</t>
        </is>
      </c>
      <c r="D69" s="9" t="inlineStr">
        <is>
          <t>C3</t>
        </is>
      </c>
      <c r="E69" s="9" t="inlineStr">
        <is>
          <t>Comparer plusieurs données pour repérer une erreur ou une incohérence.</t>
        </is>
      </c>
      <c r="F69" s="9" t="inlineStr">
        <is>
          <t>Comparer des données entre plusieurs documents pour repérer une erreur, un écart ou une incohérence.</t>
        </is>
      </c>
      <c r="G69" s="9" t="inlineStr">
        <is>
          <t>Comparer des données entre plusieurs documents pour repérer une erreur, un écart ou une incohérence.</t>
        </is>
      </c>
      <c r="H69" s="9" t="inlineStr">
        <is>
          <t>VALIDÉ_A1</t>
        </is>
      </c>
      <c r="I69" s="9" t="inlineStr">
        <is>
          <t>Centrage explicite sur l’intérêt pour une activité professionnelle ; compatible avec la consigne « aimeriez-vous réaliser cette activité », sans présumer métier ni compétence.</t>
        </is>
      </c>
    </row>
    <row r="70" ht="60" customHeight="1" s="34">
      <c r="A70" s="9" t="n">
        <v>69</v>
      </c>
      <c r="B70" s="9" t="inlineStr">
        <is>
          <t>PIP-ACT-C-C4-013</t>
        </is>
      </c>
      <c r="C70" s="9" t="inlineStr">
        <is>
          <t>C</t>
        </is>
      </c>
      <c r="D70" s="9" t="inlineStr">
        <is>
          <t>C4</t>
        </is>
      </c>
      <c r="E70" s="9" t="inlineStr">
        <is>
          <t>Suivre une procédure définie pour réaliser une opération de façon conforme.</t>
        </is>
      </c>
      <c r="F70" s="9" t="inlineStr">
        <is>
          <t>Réaliser une opération en suivant une procédure précise afin de respecter les règles prévues.</t>
        </is>
      </c>
      <c r="G70" s="9" t="inlineStr">
        <is>
          <t>Réaliser une opération en suivant une procédure précise afin de respecter les règles prévues.</t>
        </is>
      </c>
      <c r="H70" s="9" t="inlineStr">
        <is>
          <t>VALIDÉ_A1</t>
        </is>
      </c>
      <c r="I70" s="9" t="inlineStr">
        <is>
          <t>Centrage explicite sur l’intérêt pour une activité professionnelle ; compatible avec la consigne « aimeriez-vous réaliser cette activité », sans présumer métier ni compétence.</t>
        </is>
      </c>
    </row>
    <row r="71" ht="60" customHeight="1" s="34">
      <c r="A71" s="9" t="n">
        <v>70</v>
      </c>
      <c r="B71" s="9" t="inlineStr">
        <is>
          <t>PIP-ACT-C-C4-014</t>
        </is>
      </c>
      <c r="C71" s="9" t="inlineStr">
        <is>
          <t>C</t>
        </is>
      </c>
      <c r="D71" s="9" t="inlineStr">
        <is>
          <t>C4</t>
        </is>
      </c>
      <c r="E71" s="9" t="inlineStr">
        <is>
          <t>Vérifier qu’une activité respecte des règles ou des critères précis.</t>
        </is>
      </c>
      <c r="F71" s="9" t="inlineStr">
        <is>
          <t>Contrôler qu’une opération, un dossier ou une activité respecte les critères et règles applicables.</t>
        </is>
      </c>
      <c r="G71" s="9" t="inlineStr">
        <is>
          <t>Contrôler qu’une opération, un dossier ou une activité respecte les critères et règles applicables.</t>
        </is>
      </c>
      <c r="H71" s="9" t="inlineStr">
        <is>
          <t>VALIDÉ_A1</t>
        </is>
      </c>
      <c r="I71" s="9" t="inlineStr">
        <is>
          <t>Centrage explicite sur l’intérêt pour une activité professionnelle ; compatible avec la consigne « aimeriez-vous réaliser cette activité », sans présumer métier ni compétence.</t>
        </is>
      </c>
    </row>
    <row r="72" ht="60" customHeight="1" s="34">
      <c r="A72" s="9" t="n">
        <v>71</v>
      </c>
      <c r="B72" s="9" t="inlineStr">
        <is>
          <t>PIP-ACT-C-C5-017</t>
        </is>
      </c>
      <c r="C72" s="9" t="inlineStr">
        <is>
          <t>C</t>
        </is>
      </c>
      <c r="D72" s="9" t="inlineStr">
        <is>
          <t>C5</t>
        </is>
      </c>
      <c r="E72" s="9" t="inlineStr">
        <is>
          <t>Suivre l’avancement d’un dossier jusqu’à sa clôture.</t>
        </is>
      </c>
      <c r="F72" s="9" t="inlineStr">
        <is>
          <t>Suivre un dossier depuis son ouverture jusqu’à sa clôture en vérifiant que chaque étape est réalisée.</t>
        </is>
      </c>
      <c r="G72" s="9" t="inlineStr">
        <is>
          <t>Suivre un dossier depuis son ouverture jusqu’à sa clôture en vérifiant que chaque étape est réalisée.</t>
        </is>
      </c>
      <c r="H72" s="9" t="inlineStr">
        <is>
          <t>VALIDÉ_A1</t>
        </is>
      </c>
      <c r="I72" s="9" t="inlineStr">
        <is>
          <t>Centrage explicite sur l’intérêt pour une activité professionnelle ; compatible avec la consigne « aimeriez-vous réaliser cette activité », sans présumer métier ni compétence.</t>
        </is>
      </c>
    </row>
    <row r="73" ht="60" customHeight="1" s="34">
      <c r="A73" s="9" t="n">
        <v>72</v>
      </c>
      <c r="B73" s="9" t="inlineStr">
        <is>
          <t>PIP-ACT-C-C5-018</t>
        </is>
      </c>
      <c r="C73" s="9" t="inlineStr">
        <is>
          <t>C</t>
        </is>
      </c>
      <c r="D73" s="9" t="inlineStr">
        <is>
          <t>C5</t>
        </is>
      </c>
      <c r="E73" s="9" t="inlineStr">
        <is>
          <t>Planifier et suivre des échéances pour que plusieurs opérations soient réalisées au bon moment.</t>
        </is>
      </c>
      <c r="F73" s="9" t="inlineStr">
        <is>
          <t>Planifier plusieurs échéances et vérifier régulièrement que les opérations prévues sont réalisées au bon moment.</t>
        </is>
      </c>
      <c r="G73" s="9" t="inlineStr">
        <is>
          <t>Planifier plusieurs échéances et vérifier régulièrement que les opérations prévues sont réalisées au bon moment.</t>
        </is>
      </c>
      <c r="H73" s="9" t="inlineStr">
        <is>
          <t>VALIDÉ_A1</t>
        </is>
      </c>
      <c r="I73" s="9" t="inlineStr">
        <is>
          <t>Centrage explicite sur l’intérêt pour une activité professionnelle ; compatible avec la consigne « aimeriez-vous réaliser cette activité », sans présumer métier ni compétence.</t>
        </is>
      </c>
    </row>
  </sheetData>
  <autoFilter ref="A1:I73"/>
  <pageMargins left="0.75" right="0.75" top="1" bottom="1" header="0.5" footer="0.5"/>
</worksheet>
</file>

<file path=xl/worksheets/sheet4.xml><?xml version="1.0" encoding="utf-8"?>
<worksheet xmlns="http://schemas.openxmlformats.org/spreadsheetml/2006/main">
  <sheetPr>
    <tabColor rgb="FF17365D"/>
    <outlinePr summaryBelow="1" summaryRight="1"/>
    <pageSetUpPr fitToPage="1"/>
  </sheetPr>
  <dimension ref="A1:H27"/>
  <sheetViews>
    <sheetView showGridLines="0" tabSelected="1" zoomScale="85" workbookViewId="0">
      <pane ySplit="3" topLeftCell="A4" activePane="bottomLeft" state="frozen"/>
      <selection pane="bottomLeft" activeCell="A1" sqref="A1:H1"/>
    </sheetView>
  </sheetViews>
  <sheetFormatPr baseColWidth="10" defaultColWidth="8.88671875" defaultRowHeight="14.4"/>
  <cols>
    <col width="34" customWidth="1" style="34" min="1" max="1"/>
    <col width="85" customWidth="1" style="34" min="2" max="2"/>
    <col width="85" customWidth="1" style="34" min="4" max="4"/>
  </cols>
  <sheetData>
    <row r="1" ht="25.95" customHeight="1" s="34">
      <c r="A1" s="35" t="inlineStr">
        <is>
          <t>CLARTÉ360 — TABLEUR MAÎTRE PIP RIASEC</t>
        </is>
      </c>
    </row>
    <row r="2" ht="30" customHeight="1" s="34">
      <c r="A2" s="33" t="inlineStr">
        <is>
          <t>V0.4 — Revue de contextualisation des 120 items + journal de recette L1 | formulations source conservées | exemples distincts du scoring</t>
        </is>
      </c>
    </row>
    <row r="3"/>
    <row r="4" ht="30" customHeight="1" s="34">
      <c r="A4" s="1" t="inlineStr">
        <is>
          <t>Champ</t>
        </is>
      </c>
      <c r="B4" s="1" t="inlineStr">
        <is>
          <t>Valeur</t>
        </is>
      </c>
      <c r="C4" s="40" t="n"/>
      <c r="D4" s="40" t="inlineStr">
        <is>
          <t>Mode d’emploi</t>
        </is>
      </c>
      <c r="E4" s="40" t="n"/>
      <c r="F4" s="40" t="n"/>
      <c r="G4" s="40" t="n"/>
      <c r="H4" s="40" t="n"/>
    </row>
    <row r="5">
      <c r="A5" s="3" t="inlineStr">
        <is>
          <t>Nom</t>
        </is>
      </c>
      <c r="B5" s="4" t="inlineStr">
        <is>
          <t>0.5.1</t>
        </is>
      </c>
      <c r="D5" s="5" t="inlineStr">
        <is>
          <t>1. Rédiger les items dans QUESTIONS sans modifier les IDs.</t>
        </is>
      </c>
    </row>
    <row r="6">
      <c r="A6" s="3" t="inlineStr">
        <is>
          <t>Version tableur</t>
        </is>
      </c>
      <c r="B6" s="6" t="inlineStr">
        <is>
          <t>0.6</t>
        </is>
      </c>
      <c r="D6" s="5" t="inlineStr">
        <is>
          <t>2. Passer les risques/biais de A_EVALUER à FAIBLE/MOYEN/ELEVE après revue.</t>
        </is>
      </c>
    </row>
    <row r="7" ht="28.8" customHeight="1" s="34">
      <c r="A7" s="3" t="inlineStr">
        <is>
          <t>Statut</t>
        </is>
      </c>
      <c r="B7" s="6" t="inlineStr">
        <is>
          <t>BANQUE ACTIVE A1 — 72 items ; source métier = 01_QUESTIONS_72 ; protocole = 02_REPONSES_CONSIGNE</t>
        </is>
      </c>
      <c r="D7" s="5" t="inlineStr">
        <is>
          <t>3. Changer le statut BROUILLON → REVU → PILOTE → ACTIF selon validation.</t>
        </is>
      </c>
    </row>
    <row r="8">
      <c r="A8" s="3" t="inlineStr">
        <is>
          <t>Date</t>
        </is>
      </c>
      <c r="B8" s="4" t="inlineStr">
        <is>
          <t>10/09/2026</t>
        </is>
      </c>
      <c r="D8" s="5" t="inlineStr">
        <is>
          <t>4. Contrôler PARAMETRES : tous les contrôles critiques doivent être OK avant export.</t>
        </is>
      </c>
    </row>
    <row r="9">
      <c r="A9" s="3" t="inlineStr">
        <is>
          <t>Référentiel méthodologique</t>
        </is>
      </c>
      <c r="B9" s="4" t="inlineStr">
        <is>
          <t>REFERENTIEL_METHODOLOGIQUE_PIP_RIASEC_CLARTE360_V1_0.docx</t>
        </is>
      </c>
      <c r="D9" s="5" t="inlineStr">
        <is>
          <t>5. L’application utilisera un export JSON/versionné ; le classeur reste la source métier.</t>
        </is>
      </c>
    </row>
    <row r="10">
      <c r="A10" s="3" t="inlineStr">
        <is>
          <t>CDC</t>
        </is>
      </c>
      <c r="B10" s="4" t="inlineStr">
        <is>
          <t>CDC_PIP_RIASEC_CLARTE360_ONET_V1_4.docx</t>
        </is>
      </c>
      <c r="D10" s="5" t="inlineStr">
        <is>
          <t>6. O*NET est appelé via API officielle ; seule la configuration non secrète figure dans ONET_CONFIG.</t>
        </is>
      </c>
    </row>
    <row r="11">
      <c r="A11" s="3" t="inlineStr">
        <is>
          <t>Banque cible expérimentale</t>
        </is>
      </c>
      <c r="B11" s="4" t="inlineStr">
        <is>
          <t>72 items actifs : 12 par dimension ; 30 facettes couvertes</t>
        </is>
      </c>
      <c r="D11" t="inlineStr">
        <is>
          <t>7. La formulation source reste inchangée tant qu’une décision méthodologique explicite n’est pas prise.</t>
        </is>
      </c>
    </row>
    <row r="12">
      <c r="A12" s="3" t="inlineStr">
        <is>
          <t>Version finale visée</t>
        </is>
      </c>
      <c r="B12" s="4" t="inlineStr">
        <is>
          <t>72 items — Jalon A1</t>
        </is>
      </c>
      <c r="D12" t="inlineStr">
        <is>
          <t>8. Les exemples de contextualisation sont gérés dans CONTEXTUALISATION et ne participent jamais au scoring.</t>
        </is>
      </c>
    </row>
    <row r="13">
      <c r="A13" s="3" t="inlineStr">
        <is>
          <t>Scoring PIP</t>
        </is>
      </c>
      <c r="B13" s="4" t="inlineStr">
        <is>
          <t>Réponse 1–5, moyenne par dimension, indice = 25 × (moyenne − 1)</t>
        </is>
      </c>
      <c r="D13" t="inlineStr">
        <is>
          <t>9. Toute modification d’exemple doit être revue pour hybridité, désirabilité et familiarité sectorielle.</t>
        </is>
      </c>
    </row>
    <row r="14" ht="28.8" customHeight="1" s="34">
      <c r="A14" s="3" t="inlineStr">
        <is>
          <t>O*NET</t>
        </is>
      </c>
      <c r="B14" s="4" t="inlineStr">
        <is>
          <t>Instrument externe distinct ; cible d’intégration via O*NET Web Services API. Aucun item O*NET ni clé API dans ce classeur.</t>
        </is>
      </c>
      <c r="D14" t="inlineStr">
        <is>
          <t>10. Les anomalies issues de la recette réelle sont suivies dans RECETTE_L1.</t>
        </is>
      </c>
    </row>
    <row r="15" ht="28.8" customHeight="1" s="34">
      <c r="A15" s="3" t="inlineStr">
        <is>
          <t>Sécurité</t>
        </is>
      </c>
      <c r="B15" s="4" t="inlineStr">
        <is>
          <t>Classeur et exports côté serveur / dépôt privé. Jamais exposer mapping, scoring ou banque complète au navigateur.</t>
        </is>
      </c>
    </row>
    <row r="16" ht="28.8" customHeight="1" s="34">
      <c r="A16" s="3" t="inlineStr">
        <is>
          <t>Règle de source de vérité</t>
        </is>
      </c>
      <c r="B16" s="4" t="inlineStr">
        <is>
          <t>Le tableur maître est éditable ; l’application consomme un export contrôlé/versionné et ne devient pas une seconde source de vérité.</t>
        </is>
      </c>
    </row>
    <row r="17"/>
    <row r="18"/>
    <row r="19">
      <c r="A19" s="40" t="inlineStr">
        <is>
          <t>Sources externes de référence</t>
        </is>
      </c>
    </row>
    <row r="20">
      <c r="A20" s="7" t="inlineStr">
        <is>
          <t>https://www.onetcenter.org/IP.html</t>
        </is>
      </c>
    </row>
    <row r="21">
      <c r="A21" s="7" t="inlineStr">
        <is>
          <t>https://services.onetcenter.org/</t>
        </is>
      </c>
    </row>
    <row r="22">
      <c r="A22" s="7" t="inlineStr">
        <is>
          <t>https://www.onetcenter.org/license_tools.html</t>
        </is>
      </c>
    </row>
    <row r="23">
      <c r="A23" s="7" t="inlineStr">
        <is>
          <t>https://www.onetcenter.org/reports/IP_Manual.html</t>
        </is>
      </c>
    </row>
    <row r="24">
      <c r="A24" s="7" t="inlineStr">
        <is>
          <t>https://www.onetcenter.org/reports/Voc_Interests.html</t>
        </is>
      </c>
    </row>
    <row r="25"/>
    <row r="26">
      <c r="A26" t="inlineStr">
        <is>
          <t>Évolution V0.5.1</t>
        </is>
      </c>
      <c r="B26" t="inlineStr">
        <is>
          <t>Les 72 items sont reformulés pour répondre à la question implicite « Dans votre travail, dans quelle mesure aimeriez-vous réaliser cette activité ? ». L’échelle « Cela m’attire » est remplacée par une échelle « J’aimerais… ». Le tableur reste la source métier ; l’application consomme un export JSON versionné.</t>
        </is>
      </c>
    </row>
    <row r="27">
      <c r="A27" t="inlineStr">
        <is>
          <t>Architecture de publication</t>
        </is>
      </c>
      <c r="B27" t="inlineStr">
        <is>
          <t>Une modification du tableur ne modifie pas automatiquement l’application : elle doit générer un nouvel export JSON contrôlé, puis passer les tests avant livraison.</t>
        </is>
      </c>
    </row>
  </sheetData>
  <mergeCells count="2">
    <mergeCell ref="A2:H2"/>
    <mergeCell ref="A1:H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73"/>
  <sheetViews>
    <sheetView workbookViewId="0">
      <pane ySplit="1" topLeftCell="A2" activePane="bottomLeft" state="frozen"/>
      <selection pane="bottomLeft" activeCell="A1" sqref="A1"/>
    </sheetView>
  </sheetViews>
  <sheetFormatPr baseColWidth="8" defaultRowHeight="15"/>
  <cols>
    <col width="10" customWidth="1" style="34" min="1" max="1"/>
    <col width="28" customWidth="1" style="34" min="2" max="2"/>
    <col width="12" customWidth="1" style="34" min="3" max="3"/>
    <col width="18" customWidth="1" style="34" min="4" max="4"/>
    <col width="12" customWidth="1" style="34" min="5" max="5"/>
    <col width="12" customWidth="1" style="34" min="6" max="6"/>
    <col width="10" customWidth="1" style="34" min="7" max="7"/>
    <col width="55" customWidth="1" style="34" min="8" max="8"/>
    <col width="70" customWidth="1" style="34" min="9" max="9"/>
    <col width="22" customWidth="1" style="34" min="10" max="10"/>
    <col width="55" customWidth="1" style="34" min="11" max="11"/>
    <col width="18" customWidth="1" style="34" min="12" max="12"/>
    <col width="20" customWidth="1" style="34" min="13" max="13"/>
    <col width="24" customWidth="1" style="34" min="14" max="14"/>
  </cols>
  <sheetData>
    <row r="1">
      <c r="A1" s="42" t="inlineStr">
        <is>
          <t>ordre</t>
        </is>
      </c>
      <c r="B1" s="42" t="inlineStr">
        <is>
          <t>item_id_source</t>
        </is>
      </c>
      <c r="C1" s="42" t="inlineStr">
        <is>
          <t>item_version</t>
        </is>
      </c>
      <c r="D1" s="42" t="inlineStr">
        <is>
          <t>bank_version</t>
        </is>
      </c>
      <c r="E1" s="42" t="inlineStr">
        <is>
          <t>dimension</t>
        </is>
      </c>
      <c r="F1" s="42" t="inlineStr">
        <is>
          <t>facette</t>
        </is>
      </c>
      <c r="G1" s="42" t="inlineStr">
        <is>
          <t>bloc</t>
        </is>
      </c>
      <c r="H1" s="42" t="inlineStr">
        <is>
          <t>formulation_v0_4</t>
        </is>
      </c>
      <c r="I1" s="42" t="inlineStr">
        <is>
          <t>formulation_v0_5_concrete</t>
        </is>
      </c>
      <c r="J1" s="42" t="inlineStr">
        <is>
          <t>decision</t>
        </is>
      </c>
      <c r="K1" s="42" t="inlineStr">
        <is>
          <t>justification_selection</t>
        </is>
      </c>
      <c r="L1" s="42" t="inlineStr">
        <is>
          <t>risque_hybridite</t>
        </is>
      </c>
      <c r="M1" s="42" t="inlineStr">
        <is>
          <t>risque_desirabilite</t>
        </is>
      </c>
      <c r="N1" s="42" t="inlineStr">
        <is>
          <t>risque_familiarite_sectorielle</t>
        </is>
      </c>
    </row>
    <row r="2">
      <c r="A2" s="9" t="n">
        <v>1</v>
      </c>
      <c r="B2" s="9" t="inlineStr">
        <is>
          <t>PIP-ACT-R-R1-001</t>
        </is>
      </c>
      <c r="C2" s="9" t="inlineStr">
        <is>
          <t>0.5</t>
        </is>
      </c>
      <c r="D2" s="9" t="inlineStr">
        <is>
          <t>PIP-BANK-0.4</t>
        </is>
      </c>
      <c r="E2" s="9" t="inlineStr">
        <is>
          <t>R</t>
        </is>
      </c>
      <c r="F2" s="9" t="inlineStr">
        <is>
          <t>R1</t>
        </is>
      </c>
      <c r="G2" s="9" t="inlineStr">
        <is>
          <t>ACT</t>
        </is>
      </c>
      <c r="H2" s="9" t="inlineStr">
        <is>
          <t>Assembler des éléments pour fabriquer un objet fonctionnel.</t>
        </is>
      </c>
      <c r="I2" s="9" t="inlineStr">
        <is>
          <t>Assembler les pièces d’un petit meuble ou d’un support pour qu’il soit solide et utilisable.</t>
        </is>
      </c>
      <c r="J2" s="9" t="inlineStr">
        <is>
          <t>RETENU</t>
        </is>
      </c>
      <c r="K2" s="9" t="inlineStr">
        <is>
          <t>Couverture de facette + activité observable ; priorité ACT, complétée par SIT à faible risque.</t>
        </is>
      </c>
      <c r="L2" s="9" t="inlineStr">
        <is>
          <t>FAIBLE</t>
        </is>
      </c>
      <c r="M2" s="9" t="inlineStr">
        <is>
          <t>FAIBLE</t>
        </is>
      </c>
      <c r="N2" s="9" t="inlineStr">
        <is>
          <t>MOYEN</t>
        </is>
      </c>
    </row>
    <row r="3">
      <c r="A3" s="9" t="n">
        <v>2</v>
      </c>
      <c r="B3" s="9" t="inlineStr">
        <is>
          <t>PIP-ACT-R-R1-002</t>
        </is>
      </c>
      <c r="C3" s="9" t="inlineStr">
        <is>
          <t>0.5</t>
        </is>
      </c>
      <c r="D3" s="9" t="inlineStr">
        <is>
          <t>PIP-BANK-0.4</t>
        </is>
      </c>
      <c r="E3" s="9" t="inlineStr">
        <is>
          <t>R</t>
        </is>
      </c>
      <c r="F3" s="9" t="inlineStr">
        <is>
          <t>R1</t>
        </is>
      </c>
      <c r="G3" s="9" t="inlineStr">
        <is>
          <t>ACT</t>
        </is>
      </c>
      <c r="H3" s="9" t="inlineStr">
        <is>
          <t>Transformer une matière ou un matériau pour lui donner une forme utile.</t>
        </is>
      </c>
      <c r="I3" s="9" t="inlineStr">
        <is>
          <t>Travailler du bois, du métal ou un autre matériau pour obtenir une pièce ayant une fonction précise.</t>
        </is>
      </c>
      <c r="J3" s="9" t="inlineStr">
        <is>
          <t>RETENU</t>
        </is>
      </c>
      <c r="K3" s="9" t="inlineStr">
        <is>
          <t>Couverture de facette + activité observable ; priorité ACT, complétée par SIT à faible risque.</t>
        </is>
      </c>
      <c r="L3" s="9" t="inlineStr">
        <is>
          <t>FAIBLE</t>
        </is>
      </c>
      <c r="M3" s="9" t="inlineStr">
        <is>
          <t>FAIBLE</t>
        </is>
      </c>
      <c r="N3" s="9" t="inlineStr">
        <is>
          <t>MOYEN</t>
        </is>
      </c>
    </row>
    <row r="4">
      <c r="A4" s="9" t="n">
        <v>3</v>
      </c>
      <c r="B4" s="9" t="inlineStr">
        <is>
          <t>PIP-SIT-R-R1-003</t>
        </is>
      </c>
      <c r="C4" s="9" t="inlineStr">
        <is>
          <t>0.5</t>
        </is>
      </c>
      <c r="D4" s="9" t="inlineStr">
        <is>
          <t>PIP-BANK-0.4</t>
        </is>
      </c>
      <c r="E4" s="9" t="inlineStr">
        <is>
          <t>R</t>
        </is>
      </c>
      <c r="F4" s="9" t="inlineStr">
        <is>
          <t>R1</t>
        </is>
      </c>
      <c r="G4" s="9" t="inlineStr">
        <is>
          <t>SIT</t>
        </is>
      </c>
      <c r="H4" s="9" t="inlineStr">
        <is>
          <t>Prendre en charge la réalisation concrète d’un objet ou d’une structure à partir d’éléments séparés.</t>
        </is>
      </c>
      <c r="I4" s="9" t="inlineStr">
        <is>
          <t>À partir de pièces séparées, réaliser concrètement une étagère, un présentoir ou une petite structure.</t>
        </is>
      </c>
      <c r="J4" s="9" t="inlineStr">
        <is>
          <t>RETENU</t>
        </is>
      </c>
      <c r="K4" s="9" t="inlineStr">
        <is>
          <t>Couverture de facette + activité observable ; priorité ACT, complétée par SIT à faible risque.</t>
        </is>
      </c>
      <c r="L4" s="9" t="inlineStr">
        <is>
          <t>FAIBLE</t>
        </is>
      </c>
      <c r="M4" s="9" t="inlineStr">
        <is>
          <t>FAIBLE</t>
        </is>
      </c>
      <c r="N4" s="9" t="inlineStr">
        <is>
          <t>MOYEN</t>
        </is>
      </c>
    </row>
    <row r="5">
      <c r="A5" s="9" t="n">
        <v>4</v>
      </c>
      <c r="B5" s="9" t="inlineStr">
        <is>
          <t>PIP-ACT-R-R2-005</t>
        </is>
      </c>
      <c r="C5" s="9" t="inlineStr">
        <is>
          <t>0.5</t>
        </is>
      </c>
      <c r="D5" s="9" t="inlineStr">
        <is>
          <t>PIP-BANK-0.4</t>
        </is>
      </c>
      <c r="E5" s="9" t="inlineStr">
        <is>
          <t>R</t>
        </is>
      </c>
      <c r="F5" s="9" t="inlineStr">
        <is>
          <t>R2</t>
        </is>
      </c>
      <c r="G5" s="9" t="inlineStr">
        <is>
          <t>ACT</t>
        </is>
      </c>
      <c r="H5" s="9" t="inlineStr">
        <is>
          <t>Installer un équipement pour qu’il soit prêt à fonctionner.</t>
        </is>
      </c>
      <c r="I5" s="9" t="inlineStr">
        <is>
          <t>Installer un poste de travail, un appareil ou un équipement puis vérifier qu’il fonctionne.</t>
        </is>
      </c>
      <c r="J5" s="9" t="inlineStr">
        <is>
          <t>RETENU</t>
        </is>
      </c>
      <c r="K5" s="9" t="inlineStr">
        <is>
          <t>Couverture de facette + activité observable ; priorité ACT, complétée par SIT à faible risque.</t>
        </is>
      </c>
      <c r="L5" s="9" t="inlineStr">
        <is>
          <t>FAIBLE</t>
        </is>
      </c>
      <c r="M5" s="9" t="inlineStr">
        <is>
          <t>FAIBLE</t>
        </is>
      </c>
      <c r="N5" s="9" t="inlineStr">
        <is>
          <t>MOYEN</t>
        </is>
      </c>
    </row>
    <row r="6">
      <c r="A6" s="9" t="n">
        <v>5</v>
      </c>
      <c r="B6" s="9" t="inlineStr">
        <is>
          <t>PIP-ACT-R-R2-006</t>
        </is>
      </c>
      <c r="C6" s="9" t="inlineStr">
        <is>
          <t>0.5</t>
        </is>
      </c>
      <c r="D6" s="9" t="inlineStr">
        <is>
          <t>PIP-BANK-0.4</t>
        </is>
      </c>
      <c r="E6" s="9" t="inlineStr">
        <is>
          <t>R</t>
        </is>
      </c>
      <c r="F6" s="9" t="inlineStr">
        <is>
          <t>R2</t>
        </is>
      </c>
      <c r="G6" s="9" t="inlineStr">
        <is>
          <t>ACT</t>
        </is>
      </c>
      <c r="H6" s="9" t="inlineStr">
        <is>
          <t>Réparer un matériel qui ne fonctionne plus correctement.</t>
        </is>
      </c>
      <c r="I6" s="9" t="inlineStr">
        <is>
          <t>Rechercher la panne d’un appareil simple puis intervenir concrètement pour le remettre en service.</t>
        </is>
      </c>
      <c r="J6" s="9" t="inlineStr">
        <is>
          <t>RETENU</t>
        </is>
      </c>
      <c r="K6" s="9" t="inlineStr">
        <is>
          <t>Couverture de facette + activité observable ; priorité ACT, complétée par SIT à faible risque.</t>
        </is>
      </c>
      <c r="L6" s="9" t="inlineStr">
        <is>
          <t>MOYEN</t>
        </is>
      </c>
      <c r="M6" s="9" t="inlineStr">
        <is>
          <t>FAIBLE</t>
        </is>
      </c>
      <c r="N6" s="9" t="inlineStr">
        <is>
          <t>MOYEN</t>
        </is>
      </c>
    </row>
    <row r="7">
      <c r="A7" s="9" t="n">
        <v>6</v>
      </c>
      <c r="B7" s="9" t="inlineStr">
        <is>
          <t>PIP-ACT-R-R3-009</t>
        </is>
      </c>
      <c r="C7" s="9" t="inlineStr">
        <is>
          <t>0.5</t>
        </is>
      </c>
      <c r="D7" s="9" t="inlineStr">
        <is>
          <t>PIP-BANK-0.4</t>
        </is>
      </c>
      <c r="E7" s="9" t="inlineStr">
        <is>
          <t>R</t>
        </is>
      </c>
      <c r="F7" s="9" t="inlineStr">
        <is>
          <t>R3</t>
        </is>
      </c>
      <c r="G7" s="9" t="inlineStr">
        <is>
          <t>ACT</t>
        </is>
      </c>
      <c r="H7" s="9" t="inlineStr">
        <is>
          <t>Utiliser des outils pour réaliser une tâche concrète avec précision.</t>
        </is>
      </c>
      <c r="I7" s="9" t="inlineStr">
        <is>
          <t>Utiliser des outils de mesure et des outils manuels pour réaliser un montage avec précision.</t>
        </is>
      </c>
      <c r="J7" s="9" t="inlineStr">
        <is>
          <t>RETENU</t>
        </is>
      </c>
      <c r="K7" s="9" t="inlineStr">
        <is>
          <t>Couverture de facette + activité observable ; priorité ACT, complétée par SIT à faible risque.</t>
        </is>
      </c>
      <c r="L7" s="9" t="inlineStr">
        <is>
          <t>FAIBLE</t>
        </is>
      </c>
      <c r="M7" s="9" t="inlineStr">
        <is>
          <t>FAIBLE</t>
        </is>
      </c>
      <c r="N7" s="9" t="inlineStr">
        <is>
          <t>MOYEN</t>
        </is>
      </c>
    </row>
    <row r="8">
      <c r="A8" s="9" t="n">
        <v>7</v>
      </c>
      <c r="B8" s="9" t="inlineStr">
        <is>
          <t>PIP-ACT-R-R3-010</t>
        </is>
      </c>
      <c r="C8" s="9" t="inlineStr">
        <is>
          <t>0.5</t>
        </is>
      </c>
      <c r="D8" s="9" t="inlineStr">
        <is>
          <t>PIP-BANK-0.4</t>
        </is>
      </c>
      <c r="E8" s="9" t="inlineStr">
        <is>
          <t>R</t>
        </is>
      </c>
      <c r="F8" s="9" t="inlineStr">
        <is>
          <t>R3</t>
        </is>
      </c>
      <c r="G8" s="9" t="inlineStr">
        <is>
          <t>ACT</t>
        </is>
      </c>
      <c r="H8" s="9" t="inlineStr">
        <is>
          <t>Piloter ou régler une machine pour obtenir le résultat attendu.</t>
        </is>
      </c>
      <c r="I8" s="9" t="inlineStr">
        <is>
          <t>Régler une machine ou un équipement pour obtenir une dimension, une forme ou un résultat précis.</t>
        </is>
      </c>
      <c r="J8" s="9" t="inlineStr">
        <is>
          <t>RETENU</t>
        </is>
      </c>
      <c r="K8" s="9" t="inlineStr">
        <is>
          <t>Couverture de facette + activité observable ; priorité ACT, complétée par SIT à faible risque.</t>
        </is>
      </c>
      <c r="L8" s="9" t="inlineStr">
        <is>
          <t>FAIBLE</t>
        </is>
      </c>
      <c r="M8" s="9" t="inlineStr">
        <is>
          <t>FAIBLE</t>
        </is>
      </c>
      <c r="N8" s="9" t="inlineStr">
        <is>
          <t>MOYEN</t>
        </is>
      </c>
    </row>
    <row r="9">
      <c r="A9" s="9" t="n">
        <v>8</v>
      </c>
      <c r="B9" s="9" t="inlineStr">
        <is>
          <t>PIP-SIT-R-R3-011</t>
        </is>
      </c>
      <c r="C9" s="9" t="inlineStr">
        <is>
          <t>0.5</t>
        </is>
      </c>
      <c r="D9" s="9" t="inlineStr">
        <is>
          <t>PIP-BANK-0.4</t>
        </is>
      </c>
      <c r="E9" s="9" t="inlineStr">
        <is>
          <t>R</t>
        </is>
      </c>
      <c r="F9" s="9" t="inlineStr">
        <is>
          <t>R3</t>
        </is>
      </c>
      <c r="G9" s="9" t="inlineStr">
        <is>
          <t>SIT</t>
        </is>
      </c>
      <c r="H9" s="9" t="inlineStr">
        <is>
          <t>Prendre en charge une tâche qui nécessite de manipuler directement un appareil ou un équipement.</t>
        </is>
      </c>
      <c r="I9" s="9" t="inlineStr">
        <is>
          <t>Réaliser une opération qui demande de manipuler directement un appareil, une machine ou un instrument.</t>
        </is>
      </c>
      <c r="J9" s="9" t="inlineStr">
        <is>
          <t>RETENU</t>
        </is>
      </c>
      <c r="K9" s="9" t="inlineStr">
        <is>
          <t>Couverture de facette + activité observable ; priorité ACT, complétée par SIT à faible risque.</t>
        </is>
      </c>
      <c r="L9" s="9" t="inlineStr">
        <is>
          <t>FAIBLE</t>
        </is>
      </c>
      <c r="M9" s="9" t="inlineStr">
        <is>
          <t>FAIBLE</t>
        </is>
      </c>
      <c r="N9" s="9" t="inlineStr">
        <is>
          <t>MOYEN</t>
        </is>
      </c>
    </row>
    <row r="10">
      <c r="A10" s="9" t="n">
        <v>9</v>
      </c>
      <c r="B10" s="9" t="inlineStr">
        <is>
          <t>PIP-ACT-R-R4-013</t>
        </is>
      </c>
      <c r="C10" s="9" t="inlineStr">
        <is>
          <t>0.5</t>
        </is>
      </c>
      <c r="D10" s="9" t="inlineStr">
        <is>
          <t>PIP-BANK-0.4</t>
        </is>
      </c>
      <c r="E10" s="9" t="inlineStr">
        <is>
          <t>R</t>
        </is>
      </c>
      <c r="F10" s="9" t="inlineStr">
        <is>
          <t>R4</t>
        </is>
      </c>
      <c r="G10" s="9" t="inlineStr">
        <is>
          <t>ACT</t>
        </is>
      </c>
      <c r="H10" s="9" t="inlineStr">
        <is>
          <t>Se rendre sur différents sites pour intervenir directement sur le terrain.</t>
        </is>
      </c>
      <c r="I10" s="9" t="inlineStr">
        <is>
          <t>Se déplacer sur plusieurs sites pour constater une situation et intervenir directement sur place.</t>
        </is>
      </c>
      <c r="J10" s="9" t="inlineStr">
        <is>
          <t>RETENU</t>
        </is>
      </c>
      <c r="K10" s="9" t="inlineStr">
        <is>
          <t>Couverture de facette + activité observable ; priorité ACT, complétée par SIT à faible risque.</t>
        </is>
      </c>
      <c r="L10" s="9" t="inlineStr">
        <is>
          <t>FAIBLE</t>
        </is>
      </c>
      <c r="M10" s="9" t="inlineStr">
        <is>
          <t>FAIBLE</t>
        </is>
      </c>
      <c r="N10" s="9" t="inlineStr">
        <is>
          <t>MOYEN</t>
        </is>
      </c>
    </row>
    <row r="11">
      <c r="A11" s="9" t="n">
        <v>10</v>
      </c>
      <c r="B11" s="9" t="inlineStr">
        <is>
          <t>PIP-ACT-R-R4-014</t>
        </is>
      </c>
      <c r="C11" s="9" t="inlineStr">
        <is>
          <t>0.5</t>
        </is>
      </c>
      <c r="D11" s="9" t="inlineStr">
        <is>
          <t>PIP-BANK-0.4</t>
        </is>
      </c>
      <c r="E11" s="9" t="inlineStr">
        <is>
          <t>R</t>
        </is>
      </c>
      <c r="F11" s="9" t="inlineStr">
        <is>
          <t>R4</t>
        </is>
      </c>
      <c r="G11" s="9" t="inlineStr">
        <is>
          <t>ACT</t>
        </is>
      </c>
      <c r="H11" s="9" t="inlineStr">
        <is>
          <t>Réaliser une activité professionnelle principalement en extérieur.</t>
        </is>
      </c>
      <c r="I11" s="9" t="inlineStr">
        <is>
          <t>Passer l’essentiel de sa journée de travail dehors, sur un chantier, un site naturel ou un espace extérieur.</t>
        </is>
      </c>
      <c r="J11" s="9" t="inlineStr">
        <is>
          <t>RETENU</t>
        </is>
      </c>
      <c r="K11" s="9" t="inlineStr">
        <is>
          <t>Couverture de facette + activité observable ; priorité ACT, complétée par SIT à faible risque.</t>
        </is>
      </c>
      <c r="L11" s="9" t="inlineStr">
        <is>
          <t>FAIBLE</t>
        </is>
      </c>
      <c r="M11" s="9" t="inlineStr">
        <is>
          <t>FAIBLE</t>
        </is>
      </c>
      <c r="N11" s="9" t="inlineStr">
        <is>
          <t>MOYEN</t>
        </is>
      </c>
    </row>
    <row r="12">
      <c r="A12" s="9" t="n">
        <v>11</v>
      </c>
      <c r="B12" s="9" t="inlineStr">
        <is>
          <t>PIP-ACT-R-R5-017</t>
        </is>
      </c>
      <c r="C12" s="9" t="inlineStr">
        <is>
          <t>0.5</t>
        </is>
      </c>
      <c r="D12" s="9" t="inlineStr">
        <is>
          <t>PIP-BANK-0.4</t>
        </is>
      </c>
      <c r="E12" s="9" t="inlineStr">
        <is>
          <t>R</t>
        </is>
      </c>
      <c r="F12" s="9" t="inlineStr">
        <is>
          <t>R5</t>
        </is>
      </c>
      <c r="G12" s="9" t="inlineStr">
        <is>
          <t>ACT</t>
        </is>
      </c>
      <c r="H12" s="9" t="inlineStr">
        <is>
          <t>S’occuper concrètement de plantes ou d’animaux dans le cadre du travail.</t>
        </is>
      </c>
      <c r="I12" s="9" t="inlineStr">
        <is>
          <t>S’occuper concrètement de cultures, de plantes ou d’animaux : nourrir, entretenir, surveiller leur état.</t>
        </is>
      </c>
      <c r="J12" s="9" t="inlineStr">
        <is>
          <t>RETENU</t>
        </is>
      </c>
      <c r="K12" s="9" t="inlineStr">
        <is>
          <t>Couverture de facette + activité observable ; priorité ACT, complétée par SIT à faible risque.</t>
        </is>
      </c>
      <c r="L12" s="9" t="inlineStr">
        <is>
          <t>MOYEN</t>
        </is>
      </c>
      <c r="M12" s="9" t="inlineStr">
        <is>
          <t>FAIBLE</t>
        </is>
      </c>
      <c r="N12" s="9" t="inlineStr">
        <is>
          <t>MOYEN</t>
        </is>
      </c>
    </row>
    <row r="13">
      <c r="A13" s="9" t="n">
        <v>12</v>
      </c>
      <c r="B13" s="9" t="inlineStr">
        <is>
          <t>PIP-ACT-R-R5-018</t>
        </is>
      </c>
      <c r="C13" s="9" t="inlineStr">
        <is>
          <t>0.5</t>
        </is>
      </c>
      <c r="D13" s="9" t="inlineStr">
        <is>
          <t>PIP-BANK-0.4</t>
        </is>
      </c>
      <c r="E13" s="9" t="inlineStr">
        <is>
          <t>R</t>
        </is>
      </c>
      <c r="F13" s="9" t="inlineStr">
        <is>
          <t>R5</t>
        </is>
      </c>
      <c r="G13" s="9" t="inlineStr">
        <is>
          <t>ACT</t>
        </is>
      </c>
      <c r="H13" s="9" t="inlineStr">
        <is>
          <t>Manipuler des matériaux ou des produits pour réaliser une tâche physique utile.</t>
        </is>
      </c>
      <c r="I13" s="9" t="inlineStr">
        <is>
          <t>Manipuler des matériaux, déplacer des éléments ou préparer physiquement des produits pour réaliser une opération utile.</t>
        </is>
      </c>
      <c r="J13" s="9" t="inlineStr">
        <is>
          <t>RETENU</t>
        </is>
      </c>
      <c r="K13" s="9" t="inlineStr">
        <is>
          <t>Couverture de facette + activité observable ; priorité ACT, complétée par SIT à faible risque.</t>
        </is>
      </c>
      <c r="L13" s="9" t="inlineStr">
        <is>
          <t>FAIBLE</t>
        </is>
      </c>
      <c r="M13" s="9" t="inlineStr">
        <is>
          <t>FAIBLE</t>
        </is>
      </c>
      <c r="N13" s="9" t="inlineStr">
        <is>
          <t>MOYEN</t>
        </is>
      </c>
    </row>
    <row r="14">
      <c r="A14" s="9" t="n">
        <v>13</v>
      </c>
      <c r="B14" s="9" t="inlineStr">
        <is>
          <t>PIP-ACT-I-I1-001</t>
        </is>
      </c>
      <c r="C14" s="9" t="inlineStr">
        <is>
          <t>0.5</t>
        </is>
      </c>
      <c r="D14" s="9" t="inlineStr">
        <is>
          <t>PIP-BANK-0.4</t>
        </is>
      </c>
      <c r="E14" s="9" t="inlineStr">
        <is>
          <t>I</t>
        </is>
      </c>
      <c r="F14" s="9" t="inlineStr">
        <is>
          <t>I1</t>
        </is>
      </c>
      <c r="G14" s="9" t="inlineStr">
        <is>
          <t>ACT</t>
        </is>
      </c>
      <c r="H14" s="9" t="inlineStr">
        <is>
          <t>Observer attentivement une situation pour en repérer les caractéristiques importantes.</t>
        </is>
      </c>
      <c r="I14" s="9" t="inlineStr">
        <is>
          <t>Observer un fonctionnement, un phénomène ou une situation et relever les détails importants avant de conclure.</t>
        </is>
      </c>
      <c r="J14" s="9" t="inlineStr">
        <is>
          <t>RETENU</t>
        </is>
      </c>
      <c r="K14" s="9" t="inlineStr">
        <is>
          <t>Couverture de facette + activité observable ; priorité ACT, complétée par SIT à faible risque.</t>
        </is>
      </c>
      <c r="L14" s="9" t="inlineStr">
        <is>
          <t>FAIBLE</t>
        </is>
      </c>
      <c r="M14" s="9" t="inlineStr">
        <is>
          <t>FAIBLE</t>
        </is>
      </c>
      <c r="N14" s="9" t="inlineStr">
        <is>
          <t>FAIBLE</t>
        </is>
      </c>
    </row>
    <row r="15">
      <c r="A15" s="9" t="n">
        <v>14</v>
      </c>
      <c r="B15" s="9" t="inlineStr">
        <is>
          <t>PIP-ACT-I-I1-002</t>
        </is>
      </c>
      <c r="C15" s="9" t="inlineStr">
        <is>
          <t>0.5</t>
        </is>
      </c>
      <c r="D15" s="9" t="inlineStr">
        <is>
          <t>PIP-BANK-0.4</t>
        </is>
      </c>
      <c r="E15" s="9" t="inlineStr">
        <is>
          <t>I</t>
        </is>
      </c>
      <c r="F15" s="9" t="inlineStr">
        <is>
          <t>I1</t>
        </is>
      </c>
      <c r="G15" s="9" t="inlineStr">
        <is>
          <t>ACT</t>
        </is>
      </c>
      <c r="H15" s="9" t="inlineStr">
        <is>
          <t>Comparer plusieurs informations ou observations pour identifier ce qui les distingue.</t>
        </is>
      </c>
      <c r="I15" s="9" t="inlineStr">
        <is>
          <t>Comparer deux séries d’informations ou d’observations pour identifier précisément ce qui diffère.</t>
        </is>
      </c>
      <c r="J15" s="9" t="inlineStr">
        <is>
          <t>RETENU</t>
        </is>
      </c>
      <c r="K15" s="9" t="inlineStr">
        <is>
          <t>Couverture de facette + activité observable ; priorité ACT, complétée par SIT à faible risque.</t>
        </is>
      </c>
      <c r="L15" s="9" t="inlineStr">
        <is>
          <t>FAIBLE</t>
        </is>
      </c>
      <c r="M15" s="9" t="inlineStr">
        <is>
          <t>FAIBLE</t>
        </is>
      </c>
      <c r="N15" s="9" t="inlineStr">
        <is>
          <t>FAIBLE</t>
        </is>
      </c>
    </row>
    <row r="16">
      <c r="A16" s="9" t="n">
        <v>15</v>
      </c>
      <c r="B16" s="9" t="inlineStr">
        <is>
          <t>PIP-SIT-I-I1-003</t>
        </is>
      </c>
      <c r="C16" s="9" t="inlineStr">
        <is>
          <t>0.5</t>
        </is>
      </c>
      <c r="D16" s="9" t="inlineStr">
        <is>
          <t>PIP-BANK-0.4</t>
        </is>
      </c>
      <c r="E16" s="9" t="inlineStr">
        <is>
          <t>I</t>
        </is>
      </c>
      <c r="F16" s="9" t="inlineStr">
        <is>
          <t>I1</t>
        </is>
      </c>
      <c r="G16" s="9" t="inlineStr">
        <is>
          <t>SIT</t>
        </is>
      </c>
      <c r="H16" s="9" t="inlineStr">
        <is>
          <t>Examiner une situation nouvelle afin de comprendre précisément ce qui s’y passe.</t>
        </is>
      </c>
      <c r="I16" s="9" t="inlineStr">
        <is>
          <t>Face à une situation inhabituelle, prendre le temps d’examiner les faits avant d’avancer une explication.</t>
        </is>
      </c>
      <c r="J16" s="9" t="inlineStr">
        <is>
          <t>RETENU</t>
        </is>
      </c>
      <c r="K16" s="9" t="inlineStr">
        <is>
          <t>Couverture de facette + activité observable ; priorité ACT, complétée par SIT à faible risque.</t>
        </is>
      </c>
      <c r="L16" s="9" t="inlineStr">
        <is>
          <t>FAIBLE</t>
        </is>
      </c>
      <c r="M16" s="9" t="inlineStr">
        <is>
          <t>FAIBLE</t>
        </is>
      </c>
      <c r="N16" s="9" t="inlineStr">
        <is>
          <t>FAIBLE</t>
        </is>
      </c>
    </row>
    <row r="17">
      <c r="A17" s="9" t="n">
        <v>16</v>
      </c>
      <c r="B17" s="9" t="inlineStr">
        <is>
          <t>PIP-ACT-I-I2-005</t>
        </is>
      </c>
      <c r="C17" s="9" t="inlineStr">
        <is>
          <t>0.5</t>
        </is>
      </c>
      <c r="D17" s="9" t="inlineStr">
        <is>
          <t>PIP-BANK-0.4</t>
        </is>
      </c>
      <c r="E17" s="9" t="inlineStr">
        <is>
          <t>I</t>
        </is>
      </c>
      <c r="F17" s="9" t="inlineStr">
        <is>
          <t>I2</t>
        </is>
      </c>
      <c r="G17" s="9" t="inlineStr">
        <is>
          <t>ACT</t>
        </is>
      </c>
      <c r="H17" s="9" t="inlineStr">
        <is>
          <t>Analyser plusieurs informations pour comprendre les liens entre elles.</t>
        </is>
      </c>
      <c r="I17" s="9" t="inlineStr">
        <is>
          <t>Analyser plusieurs données pour comprendre comment elles sont liées et ce qu’elles expliquent.</t>
        </is>
      </c>
      <c r="J17" s="9" t="inlineStr">
        <is>
          <t>RETENU</t>
        </is>
      </c>
      <c r="K17" s="9" t="inlineStr">
        <is>
          <t>Couverture de facette + activité observable ; priorité ACT, complétée par SIT à faible risque.</t>
        </is>
      </c>
      <c r="L17" s="9" t="inlineStr">
        <is>
          <t>FAIBLE</t>
        </is>
      </c>
      <c r="M17" s="9" t="inlineStr">
        <is>
          <t>FAIBLE</t>
        </is>
      </c>
      <c r="N17" s="9" t="inlineStr">
        <is>
          <t>FAIBLE</t>
        </is>
      </c>
    </row>
    <row r="18">
      <c r="A18" s="9" t="n">
        <v>17</v>
      </c>
      <c r="B18" s="9" t="inlineStr">
        <is>
          <t>PIP-ACT-I-I2-006</t>
        </is>
      </c>
      <c r="C18" s="9" t="inlineStr">
        <is>
          <t>0.5</t>
        </is>
      </c>
      <c r="D18" s="9" t="inlineStr">
        <is>
          <t>PIP-BANK-0.4</t>
        </is>
      </c>
      <c r="E18" s="9" t="inlineStr">
        <is>
          <t>I</t>
        </is>
      </c>
      <c r="F18" s="9" t="inlineStr">
        <is>
          <t>I2</t>
        </is>
      </c>
      <c r="G18" s="9" t="inlineStr">
        <is>
          <t>ACT</t>
        </is>
      </c>
      <c r="H18" s="9" t="inlineStr">
        <is>
          <t>Décomposer un problème complexe en plusieurs éléments pour mieux le comprendre.</t>
        </is>
      </c>
      <c r="I18" s="9" t="inlineStr">
        <is>
          <t>Découper un problème complexe en plusieurs questions plus simples afin d’en comprendre la logique.</t>
        </is>
      </c>
      <c r="J18" s="9" t="inlineStr">
        <is>
          <t>RETENU</t>
        </is>
      </c>
      <c r="K18" s="9" t="inlineStr">
        <is>
          <t>Couverture de facette + activité observable ; priorité ACT, complétée par SIT à faible risque.</t>
        </is>
      </c>
      <c r="L18" s="9" t="inlineStr">
        <is>
          <t>FAIBLE</t>
        </is>
      </c>
      <c r="M18" s="9" t="inlineStr">
        <is>
          <t>FAIBLE</t>
        </is>
      </c>
      <c r="N18" s="9" t="inlineStr">
        <is>
          <t>FAIBLE</t>
        </is>
      </c>
    </row>
    <row r="19">
      <c r="A19" s="9" t="n">
        <v>18</v>
      </c>
      <c r="B19" s="9" t="inlineStr">
        <is>
          <t>PIP-SIT-I-I2-007</t>
        </is>
      </c>
      <c r="C19" s="9" t="inlineStr">
        <is>
          <t>0.5</t>
        </is>
      </c>
      <c r="D19" s="9" t="inlineStr">
        <is>
          <t>PIP-BANK-0.4</t>
        </is>
      </c>
      <c r="E19" s="9" t="inlineStr">
        <is>
          <t>I</t>
        </is>
      </c>
      <c r="F19" s="9" t="inlineStr">
        <is>
          <t>I2</t>
        </is>
      </c>
      <c r="G19" s="9" t="inlineStr">
        <is>
          <t>SIT</t>
        </is>
      </c>
      <c r="H19" s="9" t="inlineStr">
        <is>
          <t>Faire face à un problème où il faut raisonner étape par étape avant de trouver une explication.</t>
        </is>
      </c>
      <c r="I19" s="9" t="inlineStr">
        <is>
          <t>Un problème n’a pas de réponse évidente : raisonner étape par étape pour comprendre ce qui se passe.</t>
        </is>
      </c>
      <c r="J19" s="9" t="inlineStr">
        <is>
          <t>RETENU</t>
        </is>
      </c>
      <c r="K19" s="9" t="inlineStr">
        <is>
          <t>Couverture de facette + activité observable ; priorité ACT, complétée par SIT à faible risque.</t>
        </is>
      </c>
      <c r="L19" s="9" t="inlineStr">
        <is>
          <t>FAIBLE</t>
        </is>
      </c>
      <c r="M19" s="9" t="inlineStr">
        <is>
          <t>FAIBLE</t>
        </is>
      </c>
      <c r="N19" s="9" t="inlineStr">
        <is>
          <t>FAIBLE</t>
        </is>
      </c>
    </row>
    <row r="20">
      <c r="A20" s="9" t="n">
        <v>19</v>
      </c>
      <c r="B20" s="9" t="inlineStr">
        <is>
          <t>PIP-ACT-I-I3-009</t>
        </is>
      </c>
      <c r="C20" s="9" t="inlineStr">
        <is>
          <t>0.5</t>
        </is>
      </c>
      <c r="D20" s="9" t="inlineStr">
        <is>
          <t>PIP-BANK-0.4</t>
        </is>
      </c>
      <c r="E20" s="9" t="inlineStr">
        <is>
          <t>I</t>
        </is>
      </c>
      <c r="F20" s="9" t="inlineStr">
        <is>
          <t>I3</t>
        </is>
      </c>
      <c r="G20" s="9" t="inlineStr">
        <is>
          <t>ACT</t>
        </is>
      </c>
      <c r="H20" s="9" t="inlineStr">
        <is>
          <t>Rechercher des informations provenant de plusieurs sources pour répondre à une question.</t>
        </is>
      </c>
      <c r="I20" s="9" t="inlineStr">
        <is>
          <t>Chercher des informations dans plusieurs sources fiables pour répondre à une question précise.</t>
        </is>
      </c>
      <c r="J20" s="9" t="inlineStr">
        <is>
          <t>RETENU</t>
        </is>
      </c>
      <c r="K20" s="9" t="inlineStr">
        <is>
          <t>Couverture de facette + activité observable ; priorité ACT, complétée par SIT à faible risque.</t>
        </is>
      </c>
      <c r="L20" s="9" t="inlineStr">
        <is>
          <t>FAIBLE</t>
        </is>
      </c>
      <c r="M20" s="9" t="inlineStr">
        <is>
          <t>FAIBLE</t>
        </is>
      </c>
      <c r="N20" s="9" t="inlineStr">
        <is>
          <t>FAIBLE</t>
        </is>
      </c>
    </row>
    <row r="21">
      <c r="A21" s="9" t="n">
        <v>20</v>
      </c>
      <c r="B21" s="9" t="inlineStr">
        <is>
          <t>PIP-ACT-I-I3-010</t>
        </is>
      </c>
      <c r="C21" s="9" t="inlineStr">
        <is>
          <t>0.5</t>
        </is>
      </c>
      <c r="D21" s="9" t="inlineStr">
        <is>
          <t>PIP-BANK-0.4</t>
        </is>
      </c>
      <c r="E21" s="9" t="inlineStr">
        <is>
          <t>I</t>
        </is>
      </c>
      <c r="F21" s="9" t="inlineStr">
        <is>
          <t>I3</t>
        </is>
      </c>
      <c r="G21" s="9" t="inlineStr">
        <is>
          <t>ACT</t>
        </is>
      </c>
      <c r="H21" s="9" t="inlineStr">
        <is>
          <t>Enquêter pour vérifier ce qui est exact lorsqu’une situation reste incertaine.</t>
        </is>
      </c>
      <c r="I21" s="9" t="inlineStr">
        <is>
          <t>Vérifier une information incertaine en recoupant des sources et en recherchant des éléments de preuve.</t>
        </is>
      </c>
      <c r="J21" s="9" t="inlineStr">
        <is>
          <t>RETENU</t>
        </is>
      </c>
      <c r="K21" s="9" t="inlineStr">
        <is>
          <t>Couverture de facette + activité observable ; priorité ACT, complétée par SIT à faible risque.</t>
        </is>
      </c>
      <c r="L21" s="9" t="inlineStr">
        <is>
          <t>FAIBLE</t>
        </is>
      </c>
      <c r="M21" s="9" t="inlineStr">
        <is>
          <t>FAIBLE</t>
        </is>
      </c>
      <c r="N21" s="9" t="inlineStr">
        <is>
          <t>FAIBLE</t>
        </is>
      </c>
    </row>
    <row r="22">
      <c r="A22" s="9" t="n">
        <v>21</v>
      </c>
      <c r="B22" s="9" t="inlineStr">
        <is>
          <t>PIP-ACT-I-I4-013</t>
        </is>
      </c>
      <c r="C22" s="9" t="inlineStr">
        <is>
          <t>0.5</t>
        </is>
      </c>
      <c r="D22" s="9" t="inlineStr">
        <is>
          <t>PIP-BANK-0.4</t>
        </is>
      </c>
      <c r="E22" s="9" t="inlineStr">
        <is>
          <t>I</t>
        </is>
      </c>
      <c r="F22" s="9" t="inlineStr">
        <is>
          <t>I4</t>
        </is>
      </c>
      <c r="G22" s="9" t="inlineStr">
        <is>
          <t>ACT</t>
        </is>
      </c>
      <c r="H22" s="9" t="inlineStr">
        <is>
          <t>Tester une hypothèse pour voir si elle se vérifie.</t>
        </is>
      </c>
      <c r="I22" s="9" t="inlineStr">
        <is>
          <t>Tester une hypothèse en définissant une manière simple de vérifier si elle se confirme.</t>
        </is>
      </c>
      <c r="J22" s="9" t="inlineStr">
        <is>
          <t>RETENU</t>
        </is>
      </c>
      <c r="K22" s="9" t="inlineStr">
        <is>
          <t>Couverture de facette + activité observable ; priorité ACT, complétée par SIT à faible risque.</t>
        </is>
      </c>
      <c r="L22" s="9" t="inlineStr">
        <is>
          <t>FAIBLE</t>
        </is>
      </c>
      <c r="M22" s="9" t="inlineStr">
        <is>
          <t>FAIBLE</t>
        </is>
      </c>
      <c r="N22" s="9" t="inlineStr">
        <is>
          <t>FAIBLE</t>
        </is>
      </c>
    </row>
    <row r="23">
      <c r="A23" s="9" t="n">
        <v>22</v>
      </c>
      <c r="B23" s="9" t="inlineStr">
        <is>
          <t>PIP-ACT-I-I4-014</t>
        </is>
      </c>
      <c r="C23" s="9" t="inlineStr">
        <is>
          <t>0.5</t>
        </is>
      </c>
      <c r="D23" s="9" t="inlineStr">
        <is>
          <t>PIP-BANK-0.4</t>
        </is>
      </c>
      <c r="E23" s="9" t="inlineStr">
        <is>
          <t>I</t>
        </is>
      </c>
      <c r="F23" s="9" t="inlineStr">
        <is>
          <t>I4</t>
        </is>
      </c>
      <c r="G23" s="9" t="inlineStr">
        <is>
          <t>ACT</t>
        </is>
      </c>
      <c r="H23" s="9" t="inlineStr">
        <is>
          <t>Comparer plusieurs essais pour comprendre ce qui produit un résultat différent.</t>
        </is>
      </c>
      <c r="I23" s="9" t="inlineStr">
        <is>
          <t>Réaliser plusieurs essais en modifiant un paramètre pour comprendre ce qui change le résultat.</t>
        </is>
      </c>
      <c r="J23" s="9" t="inlineStr">
        <is>
          <t>RETENU</t>
        </is>
      </c>
      <c r="K23" s="9" t="inlineStr">
        <is>
          <t>Couverture de facette + activité observable ; priorité ACT, complétée par SIT à faible risque.</t>
        </is>
      </c>
      <c r="L23" s="9" t="inlineStr">
        <is>
          <t>FAIBLE</t>
        </is>
      </c>
      <c r="M23" s="9" t="inlineStr">
        <is>
          <t>FAIBLE</t>
        </is>
      </c>
      <c r="N23" s="9" t="inlineStr">
        <is>
          <t>FAIBLE</t>
        </is>
      </c>
    </row>
    <row r="24">
      <c r="A24" s="9" t="n">
        <v>23</v>
      </c>
      <c r="B24" s="9" t="inlineStr">
        <is>
          <t>PIP-ACT-I-I5-017</t>
        </is>
      </c>
      <c r="C24" s="9" t="inlineStr">
        <is>
          <t>0.5</t>
        </is>
      </c>
      <c r="D24" s="9" t="inlineStr">
        <is>
          <t>PIP-BANK-0.4</t>
        </is>
      </c>
      <c r="E24" s="9" t="inlineStr">
        <is>
          <t>I</t>
        </is>
      </c>
      <c r="F24" s="9" t="inlineStr">
        <is>
          <t>I5</t>
        </is>
      </c>
      <c r="G24" s="9" t="inlineStr">
        <is>
          <t>ACT</t>
        </is>
      </c>
      <c r="H24" s="9" t="inlineStr">
        <is>
          <t>Chercher la cause d’un problème pour pouvoir l’expliquer.</t>
        </is>
      </c>
      <c r="I24" s="9" t="inlineStr">
        <is>
          <t>Rechercher la cause d’un dysfonctionnement ou d’un phénomène avant de proposer une explication.</t>
        </is>
      </c>
      <c r="J24" s="9" t="inlineStr">
        <is>
          <t>RETENU</t>
        </is>
      </c>
      <c r="K24" s="9" t="inlineStr">
        <is>
          <t>Couverture de facette + activité observable ; priorité ACT, complétée par SIT à faible risque.</t>
        </is>
      </c>
      <c r="L24" s="9" t="inlineStr">
        <is>
          <t>FAIBLE</t>
        </is>
      </c>
      <c r="M24" s="9" t="inlineStr">
        <is>
          <t>FAIBLE</t>
        </is>
      </c>
      <c r="N24" s="9" t="inlineStr">
        <is>
          <t>FAIBLE</t>
        </is>
      </c>
    </row>
    <row r="25">
      <c r="A25" s="9" t="n">
        <v>24</v>
      </c>
      <c r="B25" s="9" t="inlineStr">
        <is>
          <t>PIP-ACT-I-I5-018</t>
        </is>
      </c>
      <c r="C25" s="9" t="inlineStr">
        <is>
          <t>0.5</t>
        </is>
      </c>
      <c r="D25" s="9" t="inlineStr">
        <is>
          <t>PIP-BANK-0.4</t>
        </is>
      </c>
      <c r="E25" s="9" t="inlineStr">
        <is>
          <t>I</t>
        </is>
      </c>
      <c r="F25" s="9" t="inlineStr">
        <is>
          <t>I5</t>
        </is>
      </c>
      <c r="G25" s="9" t="inlineStr">
        <is>
          <t>ACT</t>
        </is>
      </c>
      <c r="H25" s="9" t="inlineStr">
        <is>
          <t>Résoudre un problème nouveau en construisant une solution fondée sur les informations disponibles.</t>
        </is>
      </c>
      <c r="I25" s="9" t="inlineStr">
        <is>
          <t>Résoudre un problème nouveau en utilisant les informations disponibles pour construire une solution raisonnée.</t>
        </is>
      </c>
      <c r="J25" s="9" t="inlineStr">
        <is>
          <t>RETENU</t>
        </is>
      </c>
      <c r="K25" s="9" t="inlineStr">
        <is>
          <t>Couverture de facette + activité observable ; priorité ACT, complétée par SIT à faible risque.</t>
        </is>
      </c>
      <c r="L25" s="9" t="inlineStr">
        <is>
          <t>FAIBLE</t>
        </is>
      </c>
      <c r="M25" s="9" t="inlineStr">
        <is>
          <t>FAIBLE</t>
        </is>
      </c>
      <c r="N25" s="9" t="inlineStr">
        <is>
          <t>FAIBLE</t>
        </is>
      </c>
    </row>
    <row r="26">
      <c r="A26" s="9" t="n">
        <v>25</v>
      </c>
      <c r="B26" s="9" t="inlineStr">
        <is>
          <t>PIP-ACT-A-A1-001</t>
        </is>
      </c>
      <c r="C26" s="9" t="inlineStr">
        <is>
          <t>0.5</t>
        </is>
      </c>
      <c r="D26" s="9" t="inlineStr">
        <is>
          <t>PIP-BANK-0.4</t>
        </is>
      </c>
      <c r="E26" s="9" t="inlineStr">
        <is>
          <t>A</t>
        </is>
      </c>
      <c r="F26" s="9" t="inlineStr">
        <is>
          <t>A1</t>
        </is>
      </c>
      <c r="G26" s="9" t="inlineStr">
        <is>
          <t>ACT</t>
        </is>
      </c>
      <c r="H26" s="9" t="inlineStr">
        <is>
          <t>Imaginer plusieurs idées nouvelles à partir d’un même sujet.</t>
        </is>
      </c>
      <c r="I26" s="9" t="inlineStr">
        <is>
          <t>Imaginer plusieurs concepts différents pour répondre à un même thème ou à une même demande.</t>
        </is>
      </c>
      <c r="J26" s="9" t="inlineStr">
        <is>
          <t>RETENU</t>
        </is>
      </c>
      <c r="K26" s="9" t="inlineStr">
        <is>
          <t>Couverture de facette + activité observable ; priorité ACT, complétée par SIT à faible risque.</t>
        </is>
      </c>
      <c r="L26" s="9" t="inlineStr">
        <is>
          <t>FAIBLE</t>
        </is>
      </c>
      <c r="M26" s="9" t="inlineStr">
        <is>
          <t>FAIBLE</t>
        </is>
      </c>
      <c r="N26" s="9" t="inlineStr">
        <is>
          <t>FAIBLE</t>
        </is>
      </c>
    </row>
    <row r="27">
      <c r="A27" s="9" t="n">
        <v>26</v>
      </c>
      <c r="B27" s="9" t="inlineStr">
        <is>
          <t>PIP-ACT-A-A1-002</t>
        </is>
      </c>
      <c r="C27" s="9" t="inlineStr">
        <is>
          <t>0.5</t>
        </is>
      </c>
      <c r="D27" s="9" t="inlineStr">
        <is>
          <t>PIP-BANK-0.4</t>
        </is>
      </c>
      <c r="E27" s="9" t="inlineStr">
        <is>
          <t>A</t>
        </is>
      </c>
      <c r="F27" s="9" t="inlineStr">
        <is>
          <t>A1</t>
        </is>
      </c>
      <c r="G27" s="9" t="inlineStr">
        <is>
          <t>ACT</t>
        </is>
      </c>
      <c r="H27" s="9" t="inlineStr">
        <is>
          <t>Inventer une manière originale de présenter ou de réaliser quelque chose.</t>
        </is>
      </c>
      <c r="I27" s="9" t="inlineStr">
        <is>
          <t>Inventer une manière originale de présenter un message, un objet ou une expérience.</t>
        </is>
      </c>
      <c r="J27" s="9" t="inlineStr">
        <is>
          <t>RETENU</t>
        </is>
      </c>
      <c r="K27" s="9" t="inlineStr">
        <is>
          <t>Couverture de facette + activité observable ; priorité ACT, complétée par SIT à faible risque.</t>
        </is>
      </c>
      <c r="L27" s="9" t="inlineStr">
        <is>
          <t>FAIBLE</t>
        </is>
      </c>
      <c r="M27" s="9" t="inlineStr">
        <is>
          <t>FAIBLE</t>
        </is>
      </c>
      <c r="N27" s="9" t="inlineStr">
        <is>
          <t>FAIBLE</t>
        </is>
      </c>
    </row>
    <row r="28">
      <c r="A28" s="9" t="n">
        <v>27</v>
      </c>
      <c r="B28" s="9" t="inlineStr">
        <is>
          <t>PIP-SIT-A-A1-003</t>
        </is>
      </c>
      <c r="C28" s="9" t="inlineStr">
        <is>
          <t>0.5</t>
        </is>
      </c>
      <c r="D28" s="9" t="inlineStr">
        <is>
          <t>PIP-BANK-0.4</t>
        </is>
      </c>
      <c r="E28" s="9" t="inlineStr">
        <is>
          <t>A</t>
        </is>
      </c>
      <c r="F28" s="9" t="inlineStr">
        <is>
          <t>A1</t>
        </is>
      </c>
      <c r="G28" s="9" t="inlineStr">
        <is>
          <t>SIT</t>
        </is>
      </c>
      <c r="H28" s="9" t="inlineStr">
        <is>
          <t>Faire face à une demande pour laquelle aucune solution n’est imposée et imaginer une proposition nouvelle.</t>
        </is>
      </c>
      <c r="I28" s="9" t="inlineStr">
        <is>
          <t>Une demande est ouverte et aucune solution n’est imposée : imaginer une proposition nouvelle et personnelle.</t>
        </is>
      </c>
      <c r="J28" s="9" t="inlineStr">
        <is>
          <t>RETENU</t>
        </is>
      </c>
      <c r="K28" s="9" t="inlineStr">
        <is>
          <t>Couverture de facette + activité observable ; priorité ACT, complétée par SIT à faible risque.</t>
        </is>
      </c>
      <c r="L28" s="9" t="inlineStr">
        <is>
          <t>FAIBLE</t>
        </is>
      </c>
      <c r="M28" s="9" t="inlineStr">
        <is>
          <t>FAIBLE</t>
        </is>
      </c>
      <c r="N28" s="9" t="inlineStr">
        <is>
          <t>FAIBLE</t>
        </is>
      </c>
    </row>
    <row r="29">
      <c r="A29" s="9" t="n">
        <v>28</v>
      </c>
      <c r="B29" s="9" t="inlineStr">
        <is>
          <t>PIP-ACT-A-A2-005</t>
        </is>
      </c>
      <c r="C29" s="9" t="inlineStr">
        <is>
          <t>0.5</t>
        </is>
      </c>
      <c r="D29" s="9" t="inlineStr">
        <is>
          <t>PIP-BANK-0.4</t>
        </is>
      </c>
      <c r="E29" s="9" t="inlineStr">
        <is>
          <t>A</t>
        </is>
      </c>
      <c r="F29" s="9" t="inlineStr">
        <is>
          <t>A2</t>
        </is>
      </c>
      <c r="G29" s="9" t="inlineStr">
        <is>
          <t>ACT</t>
        </is>
      </c>
      <c r="H29" s="9" t="inlineStr">
        <is>
          <t>Concevoir l’organisation visuelle ou la forme d’un support pour qu’il exprime une intention.</t>
        </is>
      </c>
      <c r="I29" s="9" t="inlineStr">
        <is>
          <t>Concevoir librement la mise en page d’une affiche, d’une brochure ou d’un support visuel pour transmettre une intention.</t>
        </is>
      </c>
      <c r="J29" s="9" t="inlineStr">
        <is>
          <t>RETENU</t>
        </is>
      </c>
      <c r="K29" s="9" t="inlineStr">
        <is>
          <t>Couverture de facette + activité observable ; priorité ACT, complétée par SIT à faible risque.</t>
        </is>
      </c>
      <c r="L29" s="9" t="inlineStr">
        <is>
          <t>MOYEN</t>
        </is>
      </c>
      <c r="M29" s="9" t="inlineStr">
        <is>
          <t>FAIBLE</t>
        </is>
      </c>
      <c r="N29" s="9" t="inlineStr">
        <is>
          <t>FAIBLE</t>
        </is>
      </c>
    </row>
    <row r="30">
      <c r="A30" s="9" t="n">
        <v>29</v>
      </c>
      <c r="B30" s="9" t="inlineStr">
        <is>
          <t>PIP-ACT-A-A2-006</t>
        </is>
      </c>
      <c r="C30" s="9" t="inlineStr">
        <is>
          <t>0.5</t>
        </is>
      </c>
      <c r="D30" s="9" t="inlineStr">
        <is>
          <t>PIP-BANK-0.4</t>
        </is>
      </c>
      <c r="E30" s="9" t="inlineStr">
        <is>
          <t>A</t>
        </is>
      </c>
      <c r="F30" s="9" t="inlineStr">
        <is>
          <t>A2</t>
        </is>
      </c>
      <c r="G30" s="9" t="inlineStr">
        <is>
          <t>ACT</t>
        </is>
      </c>
      <c r="H30" s="9" t="inlineStr">
        <is>
          <t>Composer différents éléments pour créer un ensemble cohérent et personnel.</t>
        </is>
      </c>
      <c r="I30" s="9" t="inlineStr">
        <is>
          <t>Composer un ensemble en choisissant personnellement la disposition des formes, textes, images, sons ou autres éléments.</t>
        </is>
      </c>
      <c r="J30" s="9" t="inlineStr">
        <is>
          <t>RETENU</t>
        </is>
      </c>
      <c r="K30" s="9" t="inlineStr">
        <is>
          <t>Couverture de facette + activité observable ; priorité ACT, complétée par SIT à faible risque.</t>
        </is>
      </c>
      <c r="L30" s="9" t="inlineStr">
        <is>
          <t>FAIBLE</t>
        </is>
      </c>
      <c r="M30" s="9" t="inlineStr">
        <is>
          <t>FAIBLE</t>
        </is>
      </c>
      <c r="N30" s="9" t="inlineStr">
        <is>
          <t>FAIBLE</t>
        </is>
      </c>
    </row>
    <row r="31">
      <c r="A31" s="9" t="n">
        <v>30</v>
      </c>
      <c r="B31" s="9" t="inlineStr">
        <is>
          <t>PIP-SIT-A-A2-007</t>
        </is>
      </c>
      <c r="C31" s="9" t="inlineStr">
        <is>
          <t>0.5</t>
        </is>
      </c>
      <c r="D31" s="9" t="inlineStr">
        <is>
          <t>PIP-BANK-0.4</t>
        </is>
      </c>
      <c r="E31" s="9" t="inlineStr">
        <is>
          <t>A</t>
        </is>
      </c>
      <c r="F31" s="9" t="inlineStr">
        <is>
          <t>A2</t>
        </is>
      </c>
      <c r="G31" s="9" t="inlineStr">
        <is>
          <t>SIT</t>
        </is>
      </c>
      <c r="H31" s="9" t="inlineStr">
        <is>
          <t>Créer une proposition en choisissant librement la manière d’agencer plusieurs éléments.</t>
        </is>
      </c>
      <c r="I31" s="9" t="inlineStr">
        <is>
          <t>Créer une proposition en décidant librement comment agencer les éléments d’un support visuel, d’un espace ou d’une présentation créative.</t>
        </is>
      </c>
      <c r="J31" s="9" t="inlineStr">
        <is>
          <t>RETENU</t>
        </is>
      </c>
      <c r="K31" s="9" t="inlineStr">
        <is>
          <t>Couverture de facette + activité observable ; priorité ACT, complétée par SIT à faible risque.</t>
        </is>
      </c>
      <c r="L31" s="9" t="inlineStr">
        <is>
          <t>FAIBLE</t>
        </is>
      </c>
      <c r="M31" s="9" t="inlineStr">
        <is>
          <t>FAIBLE</t>
        </is>
      </c>
      <c r="N31" s="9" t="inlineStr">
        <is>
          <t>FAIBLE</t>
        </is>
      </c>
    </row>
    <row r="32">
      <c r="A32" s="9" t="n">
        <v>31</v>
      </c>
      <c r="B32" s="9" t="inlineStr">
        <is>
          <t>PIP-ACT-A-A3-009</t>
        </is>
      </c>
      <c r="C32" s="9" t="inlineStr">
        <is>
          <t>0.5</t>
        </is>
      </c>
      <c r="D32" s="9" t="inlineStr">
        <is>
          <t>PIP-BANK-0.4</t>
        </is>
      </c>
      <c r="E32" s="9" t="inlineStr">
        <is>
          <t>A</t>
        </is>
      </c>
      <c r="F32" s="9" t="inlineStr">
        <is>
          <t>A3</t>
        </is>
      </c>
      <c r="G32" s="9" t="inlineStr">
        <is>
          <t>ACT</t>
        </is>
      </c>
      <c r="H32" s="9" t="inlineStr">
        <is>
          <t>Écrire un texte pour transmettre une idée, une émotion ou un point de vue.</t>
        </is>
      </c>
      <c r="I32" s="9" t="inlineStr">
        <is>
          <t>Écrire un texte, un récit ou un message destiné à faire ressentir une idée, une émotion ou un point de vue.</t>
        </is>
      </c>
      <c r="J32" s="9" t="inlineStr">
        <is>
          <t>RETENU</t>
        </is>
      </c>
      <c r="K32" s="9" t="inlineStr">
        <is>
          <t>Couverture de facette + activité observable ; priorité ACT, complétée par SIT à faible risque.</t>
        </is>
      </c>
      <c r="L32" s="9" t="inlineStr">
        <is>
          <t>FAIBLE</t>
        </is>
      </c>
      <c r="M32" s="9" t="inlineStr">
        <is>
          <t>FAIBLE</t>
        </is>
      </c>
      <c r="N32" s="9" t="inlineStr">
        <is>
          <t>FAIBLE</t>
        </is>
      </c>
    </row>
    <row r="33">
      <c r="A33" s="9" t="n">
        <v>32</v>
      </c>
      <c r="B33" s="9" t="inlineStr">
        <is>
          <t>PIP-ACT-A-A3-010</t>
        </is>
      </c>
      <c r="C33" s="9" t="inlineStr">
        <is>
          <t>0.5</t>
        </is>
      </c>
      <c r="D33" s="9" t="inlineStr">
        <is>
          <t>PIP-BANK-0.4</t>
        </is>
      </c>
      <c r="E33" s="9" t="inlineStr">
        <is>
          <t>A</t>
        </is>
      </c>
      <c r="F33" s="9" t="inlineStr">
        <is>
          <t>A3</t>
        </is>
      </c>
      <c r="G33" s="9" t="inlineStr">
        <is>
          <t>ACT</t>
        </is>
      </c>
      <c r="H33" s="9" t="inlineStr">
        <is>
          <t>Mettre en récit un sujet pour le rendre vivant et expressif.</t>
        </is>
      </c>
      <c r="I33" s="9" t="inlineStr">
        <is>
          <t>Transformer un sujet factuel en récit vivant pour capter l’attention d’un public.</t>
        </is>
      </c>
      <c r="J33" s="9" t="inlineStr">
        <is>
          <t>RETENU</t>
        </is>
      </c>
      <c r="K33" s="9" t="inlineStr">
        <is>
          <t>Couverture de facette + activité observable ; priorité ACT, complétée par SIT à faible risque.</t>
        </is>
      </c>
      <c r="L33" s="9" t="inlineStr">
        <is>
          <t>FAIBLE</t>
        </is>
      </c>
      <c r="M33" s="9" t="inlineStr">
        <is>
          <t>FAIBLE</t>
        </is>
      </c>
      <c r="N33" s="9" t="inlineStr">
        <is>
          <t>FAIBLE</t>
        </is>
      </c>
    </row>
    <row r="34">
      <c r="A34" s="9" t="n">
        <v>33</v>
      </c>
      <c r="B34" s="9" t="inlineStr">
        <is>
          <t>PIP-ACT-A-A4-013</t>
        </is>
      </c>
      <c r="C34" s="9" t="inlineStr">
        <is>
          <t>0.5</t>
        </is>
      </c>
      <c r="D34" s="9" t="inlineStr">
        <is>
          <t>PIP-BANK-0.4</t>
        </is>
      </c>
      <c r="E34" s="9" t="inlineStr">
        <is>
          <t>A</t>
        </is>
      </c>
      <c r="F34" s="9" t="inlineStr">
        <is>
          <t>A4</t>
        </is>
      </c>
      <c r="G34" s="9" t="inlineStr">
        <is>
          <t>ACT</t>
        </is>
      </c>
      <c r="H34" s="9" t="inlineStr">
        <is>
          <t>Créer une composition visuelle en jouant sur les formes, les images ou les couleurs.</t>
        </is>
      </c>
      <c r="I34" s="9" t="inlineStr">
        <is>
          <t>Créer une affiche, une illustration ou une composition visuelle en jouant librement sur les formes et les couleurs.</t>
        </is>
      </c>
      <c r="J34" s="9" t="inlineStr">
        <is>
          <t>RETENU</t>
        </is>
      </c>
      <c r="K34" s="9" t="inlineStr">
        <is>
          <t>Couverture de facette + activité observable ; priorité ACT, complétée par SIT à faible risque.</t>
        </is>
      </c>
      <c r="L34" s="9" t="inlineStr">
        <is>
          <t>FAIBLE</t>
        </is>
      </c>
      <c r="M34" s="9" t="inlineStr">
        <is>
          <t>FAIBLE</t>
        </is>
      </c>
      <c r="N34" s="9" t="inlineStr">
        <is>
          <t>FAIBLE</t>
        </is>
      </c>
    </row>
    <row r="35">
      <c r="A35" s="9" t="n">
        <v>34</v>
      </c>
      <c r="B35" s="9" t="inlineStr">
        <is>
          <t>PIP-ACT-A-A4-014</t>
        </is>
      </c>
      <c r="C35" s="9" t="inlineStr">
        <is>
          <t>0.5</t>
        </is>
      </c>
      <c r="D35" s="9" t="inlineStr">
        <is>
          <t>PIP-BANK-0.4</t>
        </is>
      </c>
      <c r="E35" s="9" t="inlineStr">
        <is>
          <t>A</t>
        </is>
      </c>
      <c r="F35" s="9" t="inlineStr">
        <is>
          <t>A4</t>
        </is>
      </c>
      <c r="G35" s="9" t="inlineStr">
        <is>
          <t>ACT</t>
        </is>
      </c>
      <c r="H35" s="9" t="inlineStr">
        <is>
          <t>Imaginer une ambiance à partir de sons, d’images, de matières ou d’un espace.</t>
        </is>
      </c>
      <c r="I35" s="9" t="inlineStr">
        <is>
          <t>Imaginer l’ambiance d’un espace, d’un événement ou d’un contenu à partir de sons, d’images, de matières ou de lumière.</t>
        </is>
      </c>
      <c r="J35" s="9" t="inlineStr">
        <is>
          <t>RETENU</t>
        </is>
      </c>
      <c r="K35" s="9" t="inlineStr">
        <is>
          <t>Couverture de facette + activité observable ; priorité ACT, complétée par SIT à faible risque.</t>
        </is>
      </c>
      <c r="L35" s="9" t="inlineStr">
        <is>
          <t>FAIBLE</t>
        </is>
      </c>
      <c r="M35" s="9" t="inlineStr">
        <is>
          <t>FAIBLE</t>
        </is>
      </c>
      <c r="N35" s="9" t="inlineStr">
        <is>
          <t>FAIBLE</t>
        </is>
      </c>
    </row>
    <row r="36">
      <c r="A36" s="9" t="n">
        <v>35</v>
      </c>
      <c r="B36" s="9" t="inlineStr">
        <is>
          <t>PIP-ACT-A-A5-017</t>
        </is>
      </c>
      <c r="C36" s="9" t="inlineStr">
        <is>
          <t>0.5</t>
        </is>
      </c>
      <c r="D36" s="9" t="inlineStr">
        <is>
          <t>PIP-BANK-0.4</t>
        </is>
      </c>
      <c r="E36" s="9" t="inlineStr">
        <is>
          <t>A</t>
        </is>
      </c>
      <c r="F36" s="9" t="inlineStr">
        <is>
          <t>A5</t>
        </is>
      </c>
      <c r="G36" s="9" t="inlineStr">
        <is>
          <t>ACT</t>
        </is>
      </c>
      <c r="H36" s="9" t="inlineStr">
        <is>
          <t>Explorer plusieurs pistes créatives avant de choisir celle qui convient le mieux.</t>
        </is>
      </c>
      <c r="I36" s="9" t="inlineStr">
        <is>
          <t>Explorer plusieurs pistes créatives pour un même projet avant de retenir celle qui exprime le mieux l’intention recherchée.</t>
        </is>
      </c>
      <c r="J36" s="9" t="inlineStr">
        <is>
          <t>RETENU</t>
        </is>
      </c>
      <c r="K36" s="9" t="inlineStr">
        <is>
          <t>Couverture de facette + activité observable ; priorité ACT, complétée par SIT à faible risque.</t>
        </is>
      </c>
      <c r="L36" s="9" t="inlineStr">
        <is>
          <t>FAIBLE</t>
        </is>
      </c>
      <c r="M36" s="9" t="inlineStr">
        <is>
          <t>FAIBLE</t>
        </is>
      </c>
      <c r="N36" s="9" t="inlineStr">
        <is>
          <t>FAIBLE</t>
        </is>
      </c>
    </row>
    <row r="37">
      <c r="A37" s="9" t="n">
        <v>36</v>
      </c>
      <c r="B37" s="9" t="inlineStr">
        <is>
          <t>PIP-ACT-A-A5-018</t>
        </is>
      </c>
      <c r="C37" s="9" t="inlineStr">
        <is>
          <t>0.5</t>
        </is>
      </c>
      <c r="D37" s="9" t="inlineStr">
        <is>
          <t>PIP-BANK-0.4</t>
        </is>
      </c>
      <c r="E37" s="9" t="inlineStr">
        <is>
          <t>A</t>
        </is>
      </c>
      <c r="F37" s="9" t="inlineStr">
        <is>
          <t>A5</t>
        </is>
      </c>
      <c r="G37" s="9" t="inlineStr">
        <is>
          <t>ACT</t>
        </is>
      </c>
      <c r="H37" s="9" t="inlineStr">
        <is>
          <t>Réinventer une manière habituelle de faire pour proposer une approche originale.</t>
        </is>
      </c>
      <c r="I37" s="9" t="inlineStr">
        <is>
          <t>Repenser une manière habituelle de présenter ou de réaliser quelque chose afin de proposer une approche originale.</t>
        </is>
      </c>
      <c r="J37" s="9" t="inlineStr">
        <is>
          <t>RETENU</t>
        </is>
      </c>
      <c r="K37" s="9" t="inlineStr">
        <is>
          <t>Couverture de facette + activité observable ; priorité ACT, complétée par SIT à faible risque.</t>
        </is>
      </c>
      <c r="L37" s="9" t="inlineStr">
        <is>
          <t>FAIBLE</t>
        </is>
      </c>
      <c r="M37" s="9" t="inlineStr">
        <is>
          <t>FAIBLE</t>
        </is>
      </c>
      <c r="N37" s="9" t="inlineStr">
        <is>
          <t>FAIBLE</t>
        </is>
      </c>
    </row>
    <row r="38">
      <c r="A38" s="9" t="n">
        <v>37</v>
      </c>
      <c r="B38" s="9" t="inlineStr">
        <is>
          <t>PIP-ACT-S-S1-001</t>
        </is>
      </c>
      <c r="C38" s="9" t="inlineStr">
        <is>
          <t>0.5</t>
        </is>
      </c>
      <c r="D38" s="9" t="inlineStr">
        <is>
          <t>PIP-BANK-0.4</t>
        </is>
      </c>
      <c r="E38" s="9" t="inlineStr">
        <is>
          <t>S</t>
        </is>
      </c>
      <c r="F38" s="9" t="inlineStr">
        <is>
          <t>S1</t>
        </is>
      </c>
      <c r="G38" s="9" t="inlineStr">
        <is>
          <t>ACT</t>
        </is>
      </c>
      <c r="H38" s="9" t="inlineStr">
        <is>
          <t>Expliquer un sujet à une personne pour l’aider à le comprendre.</t>
        </is>
      </c>
      <c r="I38" s="9" t="inlineStr">
        <is>
          <t>Expliquer une notion à une personne jusqu’à ce qu’elle puisse la comprendre par elle-même.</t>
        </is>
      </c>
      <c r="J38" s="9" t="inlineStr">
        <is>
          <t>RETENU</t>
        </is>
      </c>
      <c r="K38" s="9" t="inlineStr">
        <is>
          <t>Couverture de facette + activité observable ; priorité ACT, complétée par SIT à faible risque.</t>
        </is>
      </c>
      <c r="L38" s="9" t="inlineStr">
        <is>
          <t>FAIBLE</t>
        </is>
      </c>
      <c r="M38" s="9" t="inlineStr">
        <is>
          <t>MOYEN</t>
        </is>
      </c>
      <c r="N38" s="9" t="inlineStr">
        <is>
          <t>FAIBLE</t>
        </is>
      </c>
    </row>
    <row r="39">
      <c r="A39" s="9" t="n">
        <v>38</v>
      </c>
      <c r="B39" s="9" t="inlineStr">
        <is>
          <t>PIP-ACT-S-S1-002</t>
        </is>
      </c>
      <c r="C39" s="9" t="inlineStr">
        <is>
          <t>0.5</t>
        </is>
      </c>
      <c r="D39" s="9" t="inlineStr">
        <is>
          <t>PIP-BANK-0.4</t>
        </is>
      </c>
      <c r="E39" s="9" t="inlineStr">
        <is>
          <t>S</t>
        </is>
      </c>
      <c r="F39" s="9" t="inlineStr">
        <is>
          <t>S1</t>
        </is>
      </c>
      <c r="G39" s="9" t="inlineStr">
        <is>
          <t>ACT</t>
        </is>
      </c>
      <c r="H39" s="9" t="inlineStr">
        <is>
          <t>Montrer à quelqu’un comment réaliser une tâche afin qu’il puisse ensuite la faire seul.</t>
        </is>
      </c>
      <c r="I39" s="9" t="inlineStr">
        <is>
          <t>Montrer étape par étape à quelqu’un comment réaliser une tâche pour qu’il puisse ensuite la refaire seul.</t>
        </is>
      </c>
      <c r="J39" s="9" t="inlineStr">
        <is>
          <t>RETENU</t>
        </is>
      </c>
      <c r="K39" s="9" t="inlineStr">
        <is>
          <t>Couverture de facette + activité observable ; priorité ACT, complétée par SIT à faible risque.</t>
        </is>
      </c>
      <c r="L39" s="9" t="inlineStr">
        <is>
          <t>FAIBLE</t>
        </is>
      </c>
      <c r="M39" s="9" t="inlineStr">
        <is>
          <t>MOYEN</t>
        </is>
      </c>
      <c r="N39" s="9" t="inlineStr">
        <is>
          <t>FAIBLE</t>
        </is>
      </c>
    </row>
    <row r="40">
      <c r="A40" s="9" t="n">
        <v>39</v>
      </c>
      <c r="B40" s="9" t="inlineStr">
        <is>
          <t>PIP-SIT-S-S1-003</t>
        </is>
      </c>
      <c r="C40" s="9" t="inlineStr">
        <is>
          <t>0.5</t>
        </is>
      </c>
      <c r="D40" s="9" t="inlineStr">
        <is>
          <t>PIP-BANK-0.4</t>
        </is>
      </c>
      <c r="E40" s="9" t="inlineStr">
        <is>
          <t>S</t>
        </is>
      </c>
      <c r="F40" s="9" t="inlineStr">
        <is>
          <t>S1</t>
        </is>
      </c>
      <c r="G40" s="9" t="inlineStr">
        <is>
          <t>SIT</t>
        </is>
      </c>
      <c r="H40" s="9" t="inlineStr">
        <is>
          <t>Adapter sa manière d’expliquer lorsqu’une personne ne comprend pas du premier coup.</t>
        </is>
      </c>
      <c r="I40" s="9" t="inlineStr">
        <is>
          <t>Une personne ne comprend pas une première explication : chercher une autre manière de lui présenter les choses.</t>
        </is>
      </c>
      <c r="J40" s="9" t="inlineStr">
        <is>
          <t>RETENU</t>
        </is>
      </c>
      <c r="K40" s="9" t="inlineStr">
        <is>
          <t>Couverture de facette + activité observable ; priorité ACT, complétée par SIT à faible risque.</t>
        </is>
      </c>
      <c r="L40" s="9" t="inlineStr">
        <is>
          <t>FAIBLE</t>
        </is>
      </c>
      <c r="M40" s="9" t="inlineStr">
        <is>
          <t>MOYEN</t>
        </is>
      </c>
      <c r="N40" s="9" t="inlineStr">
        <is>
          <t>FAIBLE</t>
        </is>
      </c>
    </row>
    <row r="41">
      <c r="A41" s="9" t="n">
        <v>40</v>
      </c>
      <c r="B41" s="9" t="inlineStr">
        <is>
          <t>PIP-ACT-S-S2-005</t>
        </is>
      </c>
      <c r="C41" s="9" t="inlineStr">
        <is>
          <t>0.5</t>
        </is>
      </c>
      <c r="D41" s="9" t="inlineStr">
        <is>
          <t>PIP-BANK-0.4</t>
        </is>
      </c>
      <c r="E41" s="9" t="inlineStr">
        <is>
          <t>S</t>
        </is>
      </c>
      <c r="F41" s="9" t="inlineStr">
        <is>
          <t>S2</t>
        </is>
      </c>
      <c r="G41" s="9" t="inlineStr">
        <is>
          <t>ACT</t>
        </is>
      </c>
      <c r="H41" s="9" t="inlineStr">
        <is>
          <t>Accompagner une personne dans la réalisation d’un objectif qui compte pour elle.</t>
        </is>
      </c>
      <c r="I41" s="9" t="inlineStr">
        <is>
          <t>Accompagner une personne dans les étapes nécessaires pour atteindre un objectif qui compte pour elle.</t>
        </is>
      </c>
      <c r="J41" s="9" t="inlineStr">
        <is>
          <t>RETENU</t>
        </is>
      </c>
      <c r="K41" s="9" t="inlineStr">
        <is>
          <t>Couverture de facette + activité observable ; priorité ACT, complétée par SIT à faible risque.</t>
        </is>
      </c>
      <c r="L41" s="9" t="inlineStr">
        <is>
          <t>FAIBLE</t>
        </is>
      </c>
      <c r="M41" s="9" t="inlineStr">
        <is>
          <t>MOYEN</t>
        </is>
      </c>
      <c r="N41" s="9" t="inlineStr">
        <is>
          <t>FAIBLE</t>
        </is>
      </c>
    </row>
    <row r="42">
      <c r="A42" s="9" t="n">
        <v>41</v>
      </c>
      <c r="B42" s="9" t="inlineStr">
        <is>
          <t>PIP-ACT-S-S2-006</t>
        </is>
      </c>
      <c r="C42" s="9" t="inlineStr">
        <is>
          <t>0.5</t>
        </is>
      </c>
      <c r="D42" s="9" t="inlineStr">
        <is>
          <t>PIP-BANK-0.4</t>
        </is>
      </c>
      <c r="E42" s="9" t="inlineStr">
        <is>
          <t>S</t>
        </is>
      </c>
      <c r="F42" s="9" t="inlineStr">
        <is>
          <t>S2</t>
        </is>
      </c>
      <c r="G42" s="9" t="inlineStr">
        <is>
          <t>ACT</t>
        </is>
      </c>
      <c r="H42" s="9" t="inlineStr">
        <is>
          <t>Soutenir quelqu’un qui rencontre une difficulté dans son parcours.</t>
        </is>
      </c>
      <c r="I42" s="9" t="inlineStr">
        <is>
          <t>Soutenir quelqu’un qui traverse une difficulté professionnelle ou personnelle liée à son parcours.</t>
        </is>
      </c>
      <c r="J42" s="9" t="inlineStr">
        <is>
          <t>RETENU</t>
        </is>
      </c>
      <c r="K42" s="9" t="inlineStr">
        <is>
          <t>Couverture de facette + activité observable ; priorité ACT, complétée par SIT à faible risque.</t>
        </is>
      </c>
      <c r="L42" s="9" t="inlineStr">
        <is>
          <t>FAIBLE</t>
        </is>
      </c>
      <c r="M42" s="9" t="inlineStr">
        <is>
          <t>MOYEN</t>
        </is>
      </c>
      <c r="N42" s="9" t="inlineStr">
        <is>
          <t>FAIBLE</t>
        </is>
      </c>
    </row>
    <row r="43">
      <c r="A43" s="9" t="n">
        <v>42</v>
      </c>
      <c r="B43" s="9" t="inlineStr">
        <is>
          <t>PIP-SIT-S-S2-007</t>
        </is>
      </c>
      <c r="C43" s="9" t="inlineStr">
        <is>
          <t>0.5</t>
        </is>
      </c>
      <c r="D43" s="9" t="inlineStr">
        <is>
          <t>PIP-BANK-0.4</t>
        </is>
      </c>
      <c r="E43" s="9" t="inlineStr">
        <is>
          <t>S</t>
        </is>
      </c>
      <c r="F43" s="9" t="inlineStr">
        <is>
          <t>S2</t>
        </is>
      </c>
      <c r="G43" s="9" t="inlineStr">
        <is>
          <t>SIT</t>
        </is>
      </c>
      <c r="H43" s="9" t="inlineStr">
        <is>
          <t>Être aux côtés d’une personne pendant une période de changement et l’aider à avancer.</t>
        </is>
      </c>
      <c r="I43" s="9" t="inlineStr">
        <is>
          <t>Être présent auprès d’une personne pendant un changement important et l’aider à avancer progressivement.</t>
        </is>
      </c>
      <c r="J43" s="9" t="inlineStr">
        <is>
          <t>RETENU</t>
        </is>
      </c>
      <c r="K43" s="9" t="inlineStr">
        <is>
          <t>Couverture de facette + activité observable ; priorité ACT, complétée par SIT à faible risque.</t>
        </is>
      </c>
      <c r="L43" s="9" t="inlineStr">
        <is>
          <t>FAIBLE</t>
        </is>
      </c>
      <c r="M43" s="9" t="inlineStr">
        <is>
          <t>MOYEN</t>
        </is>
      </c>
      <c r="N43" s="9" t="inlineStr">
        <is>
          <t>FAIBLE</t>
        </is>
      </c>
    </row>
    <row r="44">
      <c r="A44" s="9" t="n">
        <v>43</v>
      </c>
      <c r="B44" s="9" t="inlineStr">
        <is>
          <t>PIP-ACT-S-S3-009</t>
        </is>
      </c>
      <c r="C44" s="9" t="inlineStr">
        <is>
          <t>0.5</t>
        </is>
      </c>
      <c r="D44" s="9" t="inlineStr">
        <is>
          <t>PIP-BANK-0.4</t>
        </is>
      </c>
      <c r="E44" s="9" t="inlineStr">
        <is>
          <t>S</t>
        </is>
      </c>
      <c r="F44" s="9" t="inlineStr">
        <is>
          <t>S3</t>
        </is>
      </c>
      <c r="G44" s="9" t="inlineStr">
        <is>
          <t>ACT</t>
        </is>
      </c>
      <c r="H44" s="9" t="inlineStr">
        <is>
          <t>Écouter la situation d’une personne puis l’aider à identifier les options qui s’offrent à elle.</t>
        </is>
      </c>
      <c r="I44" s="9" t="inlineStr">
        <is>
          <t>Écouter la situation d’une personne puis l’aider à repérer les différentes options possibles.</t>
        </is>
      </c>
      <c r="J44" s="9" t="inlineStr">
        <is>
          <t>RETENU</t>
        </is>
      </c>
      <c r="K44" s="9" t="inlineStr">
        <is>
          <t>Couverture de facette + activité observable ; priorité ACT, complétée par SIT à faible risque.</t>
        </is>
      </c>
      <c r="L44" s="9" t="inlineStr">
        <is>
          <t>MOYEN</t>
        </is>
      </c>
      <c r="M44" s="9" t="inlineStr">
        <is>
          <t>MOYEN</t>
        </is>
      </c>
      <c r="N44" s="9" t="inlineStr">
        <is>
          <t>FAIBLE</t>
        </is>
      </c>
    </row>
    <row r="45">
      <c r="A45" s="9" t="n">
        <v>44</v>
      </c>
      <c r="B45" s="9" t="inlineStr">
        <is>
          <t>PIP-ACT-S-S3-010</t>
        </is>
      </c>
      <c r="C45" s="9" t="inlineStr">
        <is>
          <t>0.5</t>
        </is>
      </c>
      <c r="D45" s="9" t="inlineStr">
        <is>
          <t>PIP-BANK-0.4</t>
        </is>
      </c>
      <c r="E45" s="9" t="inlineStr">
        <is>
          <t>S</t>
        </is>
      </c>
      <c r="F45" s="9" t="inlineStr">
        <is>
          <t>S3</t>
        </is>
      </c>
      <c r="G45" s="9" t="inlineStr">
        <is>
          <t>ACT</t>
        </is>
      </c>
      <c r="H45" s="9" t="inlineStr">
        <is>
          <t>Donner des informations utiles pour aider quelqu’un à faire un choix.</t>
        </is>
      </c>
      <c r="I45" s="9" t="inlineStr">
        <is>
          <t>Donner à quelqu’un les informations utiles pour qu’il puisse prendre lui-même une décision éclairée.</t>
        </is>
      </c>
      <c r="J45" s="9" t="inlineStr">
        <is>
          <t>RETENU</t>
        </is>
      </c>
      <c r="K45" s="9" t="inlineStr">
        <is>
          <t>Couverture de facette + activité observable ; priorité ACT, complétée par SIT à faible risque.</t>
        </is>
      </c>
      <c r="L45" s="9" t="inlineStr">
        <is>
          <t>FAIBLE</t>
        </is>
      </c>
      <c r="M45" s="9" t="inlineStr">
        <is>
          <t>MOYEN</t>
        </is>
      </c>
      <c r="N45" s="9" t="inlineStr">
        <is>
          <t>FAIBLE</t>
        </is>
      </c>
    </row>
    <row r="46">
      <c r="A46" s="9" t="n">
        <v>45</v>
      </c>
      <c r="B46" s="9" t="inlineStr">
        <is>
          <t>PIP-ACT-S-S4-013</t>
        </is>
      </c>
      <c r="C46" s="9" t="inlineStr">
        <is>
          <t>0.5</t>
        </is>
      </c>
      <c r="D46" s="9" t="inlineStr">
        <is>
          <t>PIP-BANK-0.4</t>
        </is>
      </c>
      <c r="E46" s="9" t="inlineStr">
        <is>
          <t>S</t>
        </is>
      </c>
      <c r="F46" s="9" t="inlineStr">
        <is>
          <t>S4</t>
        </is>
      </c>
      <c r="G46" s="9" t="inlineStr">
        <is>
          <t>ACT</t>
        </is>
      </c>
      <c r="H46" s="9" t="inlineStr">
        <is>
          <t>Prendre soin d’une personne qui a besoin d’aide pour préserver ou retrouver son bien-être.</t>
        </is>
      </c>
      <c r="I46" s="9" t="inlineStr">
        <is>
          <t>Aider concrètement une personne fragilisée à préserver ou retrouver son confort, sa santé ou son autonomie.</t>
        </is>
      </c>
      <c r="J46" s="9" t="inlineStr">
        <is>
          <t>RETENU</t>
        </is>
      </c>
      <c r="K46" s="9" t="inlineStr">
        <is>
          <t>Couverture de facette + activité observable ; priorité ACT, complétée par SIT à faible risque.</t>
        </is>
      </c>
      <c r="L46" s="9" t="inlineStr">
        <is>
          <t>FAIBLE</t>
        </is>
      </c>
      <c r="M46" s="9" t="inlineStr">
        <is>
          <t>MOYEN</t>
        </is>
      </c>
      <c r="N46" s="9" t="inlineStr">
        <is>
          <t>FAIBLE</t>
        </is>
      </c>
    </row>
    <row r="47">
      <c r="A47" s="9" t="n">
        <v>46</v>
      </c>
      <c r="B47" s="9" t="inlineStr">
        <is>
          <t>PIP-ACT-S-S4-014</t>
        </is>
      </c>
      <c r="C47" s="9" t="inlineStr">
        <is>
          <t>0.5</t>
        </is>
      </c>
      <c r="D47" s="9" t="inlineStr">
        <is>
          <t>PIP-BANK-0.4</t>
        </is>
      </c>
      <c r="E47" s="9" t="inlineStr">
        <is>
          <t>S</t>
        </is>
      </c>
      <c r="F47" s="9" t="inlineStr">
        <is>
          <t>S4</t>
        </is>
      </c>
      <c r="G47" s="9" t="inlineStr">
        <is>
          <t>ACT</t>
        </is>
      </c>
      <c r="H47" s="9" t="inlineStr">
        <is>
          <t>Réaliser des gestes d’assistance destinés à protéger la santé ou la sécurité d’une personne.</t>
        </is>
      </c>
      <c r="I47" s="9" t="inlineStr">
        <is>
          <t>Réaliser des gestes d’assistance ou de prévention destinés à protéger la santé ou la sécurité d’une personne.</t>
        </is>
      </c>
      <c r="J47" s="9" t="inlineStr">
        <is>
          <t>RETENU</t>
        </is>
      </c>
      <c r="K47" s="9" t="inlineStr">
        <is>
          <t>Couverture de facette + activité observable ; priorité ACT, complétée par SIT à faible risque.</t>
        </is>
      </c>
      <c r="L47" s="9" t="inlineStr">
        <is>
          <t>FAIBLE</t>
        </is>
      </c>
      <c r="M47" s="9" t="inlineStr">
        <is>
          <t>MOYEN</t>
        </is>
      </c>
      <c r="N47" s="9" t="inlineStr">
        <is>
          <t>MOYEN</t>
        </is>
      </c>
    </row>
    <row r="48">
      <c r="A48" s="9" t="n">
        <v>47</v>
      </c>
      <c r="B48" s="9" t="inlineStr">
        <is>
          <t>PIP-ACT-S-S5-017</t>
        </is>
      </c>
      <c r="C48" s="9" t="inlineStr">
        <is>
          <t>0.5</t>
        </is>
      </c>
      <c r="D48" s="9" t="inlineStr">
        <is>
          <t>PIP-BANK-0.4</t>
        </is>
      </c>
      <c r="E48" s="9" t="inlineStr">
        <is>
          <t>S</t>
        </is>
      </c>
      <c r="F48" s="9" t="inlineStr">
        <is>
          <t>S5</t>
        </is>
      </c>
      <c r="G48" s="9" t="inlineStr">
        <is>
          <t>ACT</t>
        </is>
      </c>
      <c r="H48" s="9" t="inlineStr">
        <is>
          <t>Accueillir une personne et l’aider à obtenir le service dont elle a besoin.</t>
        </is>
      </c>
      <c r="I48" s="9" t="inlineStr">
        <is>
          <t>Accueillir une personne, comprendre ce dont elle a besoin et l’aider à obtenir le service recherché.</t>
        </is>
      </c>
      <c r="J48" s="9" t="inlineStr">
        <is>
          <t>RETENU</t>
        </is>
      </c>
      <c r="K48" s="9" t="inlineStr">
        <is>
          <t>Couverture de facette + activité observable ; priorité ACT, complétée par SIT à faible risque.</t>
        </is>
      </c>
      <c r="L48" s="9" t="inlineStr">
        <is>
          <t>FAIBLE</t>
        </is>
      </c>
      <c r="M48" s="9" t="inlineStr">
        <is>
          <t>MOYEN</t>
        </is>
      </c>
      <c r="N48" s="9" t="inlineStr">
        <is>
          <t>FAIBLE</t>
        </is>
      </c>
    </row>
    <row r="49">
      <c r="A49" s="9" t="n">
        <v>48</v>
      </c>
      <c r="B49" s="9" t="inlineStr">
        <is>
          <t>PIP-ACT-S-S5-018</t>
        </is>
      </c>
      <c r="C49" s="9" t="inlineStr">
        <is>
          <t>0.5</t>
        </is>
      </c>
      <c r="D49" s="9" t="inlineStr">
        <is>
          <t>PIP-BANK-0.4</t>
        </is>
      </c>
      <c r="E49" s="9" t="inlineStr">
        <is>
          <t>S</t>
        </is>
      </c>
      <c r="F49" s="9" t="inlineStr">
        <is>
          <t>S5</t>
        </is>
      </c>
      <c r="G49" s="9" t="inlineStr">
        <is>
          <t>ACT</t>
        </is>
      </c>
      <c r="H49" s="9" t="inlineStr">
        <is>
          <t>Répondre concrètement à une demande afin de faciliter la démarche d’une personne.</t>
        </is>
      </c>
      <c r="I49" s="9" t="inlineStr">
        <is>
          <t>Répondre concrètement à la demande d’un usager ou d’un client afin de lui faciliter une démarche.</t>
        </is>
      </c>
      <c r="J49" s="9" t="inlineStr">
        <is>
          <t>RETENU</t>
        </is>
      </c>
      <c r="K49" s="9" t="inlineStr">
        <is>
          <t>Couverture de facette + activité observable ; priorité ACT, complétée par SIT à faible risque.</t>
        </is>
      </c>
      <c r="L49" s="9" t="inlineStr">
        <is>
          <t>FAIBLE</t>
        </is>
      </c>
      <c r="M49" s="9" t="inlineStr">
        <is>
          <t>MOYEN</t>
        </is>
      </c>
      <c r="N49" s="9" t="inlineStr">
        <is>
          <t>FAIBLE</t>
        </is>
      </c>
    </row>
    <row r="50">
      <c r="A50" s="9" t="n">
        <v>49</v>
      </c>
      <c r="B50" s="9" t="inlineStr">
        <is>
          <t>PIP-ACT-E-E1-001</t>
        </is>
      </c>
      <c r="C50" s="9" t="inlineStr">
        <is>
          <t>0.5</t>
        </is>
      </c>
      <c r="D50" s="9" t="inlineStr">
        <is>
          <t>PIP-BANK-0.4</t>
        </is>
      </c>
      <c r="E50" s="9" t="inlineStr">
        <is>
          <t>E</t>
        </is>
      </c>
      <c r="F50" s="9" t="inlineStr">
        <is>
          <t>E1</t>
        </is>
      </c>
      <c r="G50" s="9" t="inlineStr">
        <is>
          <t>ACT</t>
        </is>
      </c>
      <c r="H50" s="9" t="inlineStr">
        <is>
          <t>Lancer un nouveau projet à partir d’une idée ou d’une opportunité.</t>
        </is>
      </c>
      <c r="I50" s="9" t="inlineStr">
        <is>
          <t>Lancer un nouveau service, une activité ou un projet à partir d’une idée ou d’une opportunité identifiée.</t>
        </is>
      </c>
      <c r="J50" s="9" t="inlineStr">
        <is>
          <t>RETENU</t>
        </is>
      </c>
      <c r="K50" s="9" t="inlineStr">
        <is>
          <t>Couverture de facette + activité observable ; priorité ACT, complétée par SIT à faible risque.</t>
        </is>
      </c>
      <c r="L50" s="9" t="inlineStr">
        <is>
          <t>FAIBLE</t>
        </is>
      </c>
      <c r="M50" s="9" t="inlineStr">
        <is>
          <t>MOYEN</t>
        </is>
      </c>
      <c r="N50" s="9" t="inlineStr">
        <is>
          <t>FAIBLE</t>
        </is>
      </c>
    </row>
    <row r="51">
      <c r="A51" s="9" t="n">
        <v>50</v>
      </c>
      <c r="B51" s="9" t="inlineStr">
        <is>
          <t>PIP-ACT-E-E1-002</t>
        </is>
      </c>
      <c r="C51" s="9" t="inlineStr">
        <is>
          <t>0.5</t>
        </is>
      </c>
      <c r="D51" s="9" t="inlineStr">
        <is>
          <t>PIP-BANK-0.4</t>
        </is>
      </c>
      <c r="E51" s="9" t="inlineStr">
        <is>
          <t>E</t>
        </is>
      </c>
      <c r="F51" s="9" t="inlineStr">
        <is>
          <t>E1</t>
        </is>
      </c>
      <c r="G51" s="9" t="inlineStr">
        <is>
          <t>ACT</t>
        </is>
      </c>
      <c r="H51" s="9" t="inlineStr">
        <is>
          <t>Faire progresser un projet en identifiant de nouvelles possibilités de développement.</t>
        </is>
      </c>
      <c r="I51" s="9" t="inlineStr">
        <is>
          <t>Chercher de nouvelles possibilités pour développer un projet, une activité ou une offre existante.</t>
        </is>
      </c>
      <c r="J51" s="9" t="inlineStr">
        <is>
          <t>RETENU</t>
        </is>
      </c>
      <c r="K51" s="9" t="inlineStr">
        <is>
          <t>Couverture de facette + activité observable ; priorité ACT, complétée par SIT à faible risque.</t>
        </is>
      </c>
      <c r="L51" s="9" t="inlineStr">
        <is>
          <t>FAIBLE</t>
        </is>
      </c>
      <c r="M51" s="9" t="inlineStr">
        <is>
          <t>MOYEN</t>
        </is>
      </c>
      <c r="N51" s="9" t="inlineStr">
        <is>
          <t>FAIBLE</t>
        </is>
      </c>
    </row>
    <row r="52">
      <c r="A52" s="9" t="n">
        <v>51</v>
      </c>
      <c r="B52" s="9" t="inlineStr">
        <is>
          <t>PIP-SIT-E-E1-003</t>
        </is>
      </c>
      <c r="C52" s="9" t="inlineStr">
        <is>
          <t>0.5</t>
        </is>
      </c>
      <c r="D52" s="9" t="inlineStr">
        <is>
          <t>PIP-BANK-0.4</t>
        </is>
      </c>
      <c r="E52" s="9" t="inlineStr">
        <is>
          <t>E</t>
        </is>
      </c>
      <c r="F52" s="9" t="inlineStr">
        <is>
          <t>E1</t>
        </is>
      </c>
      <c r="G52" s="9" t="inlineStr">
        <is>
          <t>SIT</t>
        </is>
      </c>
      <c r="H52" s="9" t="inlineStr">
        <is>
          <t>Voir une opportunité et prendre l’initiative de la transformer en projet concret.</t>
        </is>
      </c>
      <c r="I52" s="9" t="inlineStr">
        <is>
          <t>Repérer une opportunité et prendre l’initiative de réunir les moyens nécessaires pour en faire un projet concret.</t>
        </is>
      </c>
      <c r="J52" s="9" t="inlineStr">
        <is>
          <t>RETENU</t>
        </is>
      </c>
      <c r="K52" s="9" t="inlineStr">
        <is>
          <t>Couverture de facette + activité observable ; priorité ACT, complétée par SIT à faible risque.</t>
        </is>
      </c>
      <c r="L52" s="9" t="inlineStr">
        <is>
          <t>FAIBLE</t>
        </is>
      </c>
      <c r="M52" s="9" t="inlineStr">
        <is>
          <t>MOYEN</t>
        </is>
      </c>
      <c r="N52" s="9" t="inlineStr">
        <is>
          <t>FAIBLE</t>
        </is>
      </c>
    </row>
    <row r="53">
      <c r="A53" s="9" t="n">
        <v>52</v>
      </c>
      <c r="B53" s="9" t="inlineStr">
        <is>
          <t>PIP-ACT-E-E2-005</t>
        </is>
      </c>
      <c r="C53" s="9" t="inlineStr">
        <is>
          <t>0.5</t>
        </is>
      </c>
      <c r="D53" s="9" t="inlineStr">
        <is>
          <t>PIP-BANK-0.4</t>
        </is>
      </c>
      <c r="E53" s="9" t="inlineStr">
        <is>
          <t>E</t>
        </is>
      </c>
      <c r="F53" s="9" t="inlineStr">
        <is>
          <t>E2</t>
        </is>
      </c>
      <c r="G53" s="9" t="inlineStr">
        <is>
          <t>ACT</t>
        </is>
      </c>
      <c r="H53" s="9" t="inlineStr">
        <is>
          <t>Présenter une proposition de façon à donner envie d’y adhérer.</t>
        </is>
      </c>
      <c r="I53" s="9" t="inlineStr">
        <is>
          <t>Présenter une proposition à un client, une équipe ou un partenaire de façon à susciter son adhésion.</t>
        </is>
      </c>
      <c r="J53" s="9" t="inlineStr">
        <is>
          <t>RETENU</t>
        </is>
      </c>
      <c r="K53" s="9" t="inlineStr">
        <is>
          <t>Couverture de facette + activité observable ; priorité ACT, complétée par SIT à faible risque.</t>
        </is>
      </c>
      <c r="L53" s="9" t="inlineStr">
        <is>
          <t>FAIBLE</t>
        </is>
      </c>
      <c r="M53" s="9" t="inlineStr">
        <is>
          <t>MOYEN</t>
        </is>
      </c>
      <c r="N53" s="9" t="inlineStr">
        <is>
          <t>FAIBLE</t>
        </is>
      </c>
    </row>
    <row r="54">
      <c r="A54" s="9" t="n">
        <v>53</v>
      </c>
      <c r="B54" s="9" t="inlineStr">
        <is>
          <t>PIP-ACT-E-E2-006</t>
        </is>
      </c>
      <c r="C54" s="9" t="inlineStr">
        <is>
          <t>0.5</t>
        </is>
      </c>
      <c r="D54" s="9" t="inlineStr">
        <is>
          <t>PIP-BANK-0.4</t>
        </is>
      </c>
      <c r="E54" s="9" t="inlineStr">
        <is>
          <t>E</t>
        </is>
      </c>
      <c r="F54" s="9" t="inlineStr">
        <is>
          <t>E2</t>
        </is>
      </c>
      <c r="G54" s="9" t="inlineStr">
        <is>
          <t>ACT</t>
        </is>
      </c>
      <c r="H54" s="9" t="inlineStr">
        <is>
          <t>Promouvoir un produit, un service ou une idée auprès d’un public.</t>
        </is>
      </c>
      <c r="I54" s="9" t="inlineStr">
        <is>
          <t>Promouvoir un produit, un service, un projet ou une idée auprès d’un public susceptible d’être intéressé.</t>
        </is>
      </c>
      <c r="J54" s="9" t="inlineStr">
        <is>
          <t>RETENU</t>
        </is>
      </c>
      <c r="K54" s="9" t="inlineStr">
        <is>
          <t>Couverture de facette + activité observable ; priorité ACT, complétée par SIT à faible risque.</t>
        </is>
      </c>
      <c r="L54" s="9" t="inlineStr">
        <is>
          <t>FAIBLE</t>
        </is>
      </c>
      <c r="M54" s="9" t="inlineStr">
        <is>
          <t>MOYEN</t>
        </is>
      </c>
      <c r="N54" s="9" t="inlineStr">
        <is>
          <t>FAIBLE</t>
        </is>
      </c>
    </row>
    <row r="55">
      <c r="A55" s="9" t="n">
        <v>54</v>
      </c>
      <c r="B55" s="9" t="inlineStr">
        <is>
          <t>PIP-SIT-E-E2-007</t>
        </is>
      </c>
      <c r="C55" s="9" t="inlineStr">
        <is>
          <t>0.5</t>
        </is>
      </c>
      <c r="D55" s="9" t="inlineStr">
        <is>
          <t>PIP-BANK-0.4</t>
        </is>
      </c>
      <c r="E55" s="9" t="inlineStr">
        <is>
          <t>E</t>
        </is>
      </c>
      <c r="F55" s="9" t="inlineStr">
        <is>
          <t>E2</t>
        </is>
      </c>
      <c r="G55" s="9" t="inlineStr">
        <is>
          <t>SIT</t>
        </is>
      </c>
      <c r="H55" s="9" t="inlineStr">
        <is>
          <t>Défendre une proposition devant des personnes qui hésitent afin d’obtenir leur adhésion.</t>
        </is>
      </c>
      <c r="I55" s="9" t="inlineStr">
        <is>
          <t>Défendre une proposition devant des personnes hésitantes afin de les convaincre de la retenir.</t>
        </is>
      </c>
      <c r="J55" s="9" t="inlineStr">
        <is>
          <t>RETENU</t>
        </is>
      </c>
      <c r="K55" s="9" t="inlineStr">
        <is>
          <t>Couverture de facette + activité observable ; priorité ACT, complétée par SIT à faible risque.</t>
        </is>
      </c>
      <c r="L55" s="9" t="inlineStr">
        <is>
          <t>FAIBLE</t>
        </is>
      </c>
      <c r="M55" s="9" t="inlineStr">
        <is>
          <t>MOYEN</t>
        </is>
      </c>
      <c r="N55" s="9" t="inlineStr">
        <is>
          <t>FAIBLE</t>
        </is>
      </c>
    </row>
    <row r="56">
      <c r="A56" s="9" t="n">
        <v>55</v>
      </c>
      <c r="B56" s="9" t="inlineStr">
        <is>
          <t>PIP-ACT-E-E3-009</t>
        </is>
      </c>
      <c r="C56" s="9" t="inlineStr">
        <is>
          <t>0.5</t>
        </is>
      </c>
      <c r="D56" s="9" t="inlineStr">
        <is>
          <t>PIP-BANK-0.4</t>
        </is>
      </c>
      <c r="E56" s="9" t="inlineStr">
        <is>
          <t>E</t>
        </is>
      </c>
      <c r="F56" s="9" t="inlineStr">
        <is>
          <t>E3</t>
        </is>
      </c>
      <c r="G56" s="9" t="inlineStr">
        <is>
          <t>ACT</t>
        </is>
      </c>
      <c r="H56" s="9" t="inlineStr">
        <is>
          <t>Négocier les conditions d’un accord entre plusieurs parties.</t>
        </is>
      </c>
      <c r="I56" s="9" t="inlineStr">
        <is>
          <t>Négocier avec plusieurs parties les conditions d’un accord afin de parvenir à une solution acceptable.</t>
        </is>
      </c>
      <c r="J56" s="9" t="inlineStr">
        <is>
          <t>RETENU</t>
        </is>
      </c>
      <c r="K56" s="9" t="inlineStr">
        <is>
          <t>Couverture de facette + activité observable ; priorité ACT, complétée par SIT à faible risque.</t>
        </is>
      </c>
      <c r="L56" s="9" t="inlineStr">
        <is>
          <t>FAIBLE</t>
        </is>
      </c>
      <c r="M56" s="9" t="inlineStr">
        <is>
          <t>MOYEN</t>
        </is>
      </c>
      <c r="N56" s="9" t="inlineStr">
        <is>
          <t>MOYEN</t>
        </is>
      </c>
    </row>
    <row r="57">
      <c r="A57" s="9" t="n">
        <v>56</v>
      </c>
      <c r="B57" s="9" t="inlineStr">
        <is>
          <t>PIP-ACT-E-E3-010</t>
        </is>
      </c>
      <c r="C57" s="9" t="inlineStr">
        <is>
          <t>0.5</t>
        </is>
      </c>
      <c r="D57" s="9" t="inlineStr">
        <is>
          <t>PIP-BANK-0.4</t>
        </is>
      </c>
      <c r="E57" s="9" t="inlineStr">
        <is>
          <t>E</t>
        </is>
      </c>
      <c r="F57" s="9" t="inlineStr">
        <is>
          <t>E3</t>
        </is>
      </c>
      <c r="G57" s="9" t="inlineStr">
        <is>
          <t>ACT</t>
        </is>
      </c>
      <c r="H57" s="9" t="inlineStr">
        <is>
          <t>Chercher un compromis lorsque des personnes défendent des intérêts différents.</t>
        </is>
      </c>
      <c r="I57" s="9" t="inlineStr">
        <is>
          <t>Rechercher un compromis lorsque deux personnes ou organisations défendent des intérêts différents.</t>
        </is>
      </c>
      <c r="J57" s="9" t="inlineStr">
        <is>
          <t>RETENU</t>
        </is>
      </c>
      <c r="K57" s="9" t="inlineStr">
        <is>
          <t>Couverture de facette + activité observable ; priorité ACT, complétée par SIT à faible risque.</t>
        </is>
      </c>
      <c r="L57" s="9" t="inlineStr">
        <is>
          <t>MOYEN</t>
        </is>
      </c>
      <c r="M57" s="9" t="inlineStr">
        <is>
          <t>MOYEN</t>
        </is>
      </c>
      <c r="N57" s="9" t="inlineStr">
        <is>
          <t>FAIBLE</t>
        </is>
      </c>
    </row>
    <row r="58">
      <c r="A58" s="9" t="n">
        <v>57</v>
      </c>
      <c r="B58" s="9" t="inlineStr">
        <is>
          <t>PIP-ACT-E-E4-013</t>
        </is>
      </c>
      <c r="C58" s="9" t="inlineStr">
        <is>
          <t>0.5</t>
        </is>
      </c>
      <c r="D58" s="9" t="inlineStr">
        <is>
          <t>PIP-BANK-0.4</t>
        </is>
      </c>
      <c r="E58" s="9" t="inlineStr">
        <is>
          <t>E</t>
        </is>
      </c>
      <c r="F58" s="9" t="inlineStr">
        <is>
          <t>E4</t>
        </is>
      </c>
      <c r="G58" s="9" t="inlineStr">
        <is>
          <t>ACT</t>
        </is>
      </c>
      <c r="H58" s="9" t="inlineStr">
        <is>
          <t>Coordonner le travail de plusieurs personnes pour faire avancer un projet.</t>
        </is>
      </c>
      <c r="I58" s="9" t="inlineStr">
        <is>
          <t>Coordonner plusieurs personnes, répartir les responsabilités et suivre l’avancement d’un projet.</t>
        </is>
      </c>
      <c r="J58" s="9" t="inlineStr">
        <is>
          <t>RETENU</t>
        </is>
      </c>
      <c r="K58" s="9" t="inlineStr">
        <is>
          <t>Couverture de facette + activité observable ; priorité ACT, complétée par SIT à faible risque.</t>
        </is>
      </c>
      <c r="L58" s="9" t="inlineStr">
        <is>
          <t>MOYEN</t>
        </is>
      </c>
      <c r="M58" s="9" t="inlineStr">
        <is>
          <t>MOYEN</t>
        </is>
      </c>
      <c r="N58" s="9" t="inlineStr">
        <is>
          <t>FAIBLE</t>
        </is>
      </c>
    </row>
    <row r="59">
      <c r="A59" s="9" t="n">
        <v>58</v>
      </c>
      <c r="B59" s="9" t="inlineStr">
        <is>
          <t>PIP-ACT-E-E4-014</t>
        </is>
      </c>
      <c r="C59" s="9" t="inlineStr">
        <is>
          <t>0.5</t>
        </is>
      </c>
      <c r="D59" s="9" t="inlineStr">
        <is>
          <t>PIP-BANK-0.4</t>
        </is>
      </c>
      <c r="E59" s="9" t="inlineStr">
        <is>
          <t>E</t>
        </is>
      </c>
      <c r="F59" s="9" t="inlineStr">
        <is>
          <t>E4</t>
        </is>
      </c>
      <c r="G59" s="9" t="inlineStr">
        <is>
          <t>ACT</t>
        </is>
      </c>
      <c r="H59" s="9" t="inlineStr">
        <is>
          <t>Prendre des décisions qui orientent l’action d’une équipe ou d’un projet.</t>
        </is>
      </c>
      <c r="I59" s="9" t="inlineStr">
        <is>
          <t>Prendre une décision qui donne une direction claire à une équipe ou à un projet.</t>
        </is>
      </c>
      <c r="J59" s="9" t="inlineStr">
        <is>
          <t>RETENU</t>
        </is>
      </c>
      <c r="K59" s="9" t="inlineStr">
        <is>
          <t>Couverture de facette + activité observable ; priorité ACT, complétée par SIT à faible risque.</t>
        </is>
      </c>
      <c r="L59" s="9" t="inlineStr">
        <is>
          <t>FAIBLE</t>
        </is>
      </c>
      <c r="M59" s="9" t="inlineStr">
        <is>
          <t>MOYEN</t>
        </is>
      </c>
      <c r="N59" s="9" t="inlineStr">
        <is>
          <t>FAIBLE</t>
        </is>
      </c>
    </row>
    <row r="60">
      <c r="A60" s="9" t="n">
        <v>59</v>
      </c>
      <c r="B60" s="9" t="inlineStr">
        <is>
          <t>PIP-ACT-E-E5-017</t>
        </is>
      </c>
      <c r="C60" s="9" t="inlineStr">
        <is>
          <t>0.5</t>
        </is>
      </c>
      <c r="D60" s="9" t="inlineStr">
        <is>
          <t>PIP-BANK-0.4</t>
        </is>
      </c>
      <c r="E60" s="9" t="inlineStr">
        <is>
          <t>E</t>
        </is>
      </c>
      <c r="F60" s="9" t="inlineStr">
        <is>
          <t>E5</t>
        </is>
      </c>
      <c r="G60" s="9" t="inlineStr">
        <is>
          <t>ACT</t>
        </is>
      </c>
      <c r="H60" s="9" t="inlineStr">
        <is>
          <t>Prendre la parole pour représenter une organisation, un projet ou une cause.</t>
        </is>
      </c>
      <c r="I60" s="9" t="inlineStr">
        <is>
          <t>Prendre la parole au nom d’une organisation, d’un projet ou d’une cause devant des interlocuteurs externes.</t>
        </is>
      </c>
      <c r="J60" s="9" t="inlineStr">
        <is>
          <t>RETENU</t>
        </is>
      </c>
      <c r="K60" s="9" t="inlineStr">
        <is>
          <t>Couverture de facette + activité observable ; priorité ACT, complétée par SIT à faible risque.</t>
        </is>
      </c>
      <c r="L60" s="9" t="inlineStr">
        <is>
          <t>FAIBLE</t>
        </is>
      </c>
      <c r="M60" s="9" t="inlineStr">
        <is>
          <t>MOYEN</t>
        </is>
      </c>
      <c r="N60" s="9" t="inlineStr">
        <is>
          <t>FAIBLE</t>
        </is>
      </c>
    </row>
    <row r="61">
      <c r="A61" s="9" t="n">
        <v>60</v>
      </c>
      <c r="B61" s="9" t="inlineStr">
        <is>
          <t>PIP-ACT-E-E5-018</t>
        </is>
      </c>
      <c r="C61" s="9" t="inlineStr">
        <is>
          <t>0.5</t>
        </is>
      </c>
      <c r="D61" s="9" t="inlineStr">
        <is>
          <t>PIP-BANK-0.4</t>
        </is>
      </c>
      <c r="E61" s="9" t="inlineStr">
        <is>
          <t>E</t>
        </is>
      </c>
      <c r="F61" s="9" t="inlineStr">
        <is>
          <t>E5</t>
        </is>
      </c>
      <c r="G61" s="9" t="inlineStr">
        <is>
          <t>ACT</t>
        </is>
      </c>
      <c r="H61" s="9" t="inlineStr">
        <is>
          <t>Mobiliser plusieurs personnes autour d’un objectif commun.</t>
        </is>
      </c>
      <c r="I61" s="9" t="inlineStr">
        <is>
          <t>Mobiliser plusieurs personnes autour d’un objectif et leur donner envie de contribuer.</t>
        </is>
      </c>
      <c r="J61" s="9" t="inlineStr">
        <is>
          <t>RETENU</t>
        </is>
      </c>
      <c r="K61" s="9" t="inlineStr">
        <is>
          <t>Couverture de facette + activité observable ; priorité ACT, complétée par SIT à faible risque.</t>
        </is>
      </c>
      <c r="L61" s="9" t="inlineStr">
        <is>
          <t>FAIBLE</t>
        </is>
      </c>
      <c r="M61" s="9" t="inlineStr">
        <is>
          <t>MOYEN</t>
        </is>
      </c>
      <c r="N61" s="9" t="inlineStr">
        <is>
          <t>FAIBLE</t>
        </is>
      </c>
    </row>
    <row r="62">
      <c r="A62" s="9" t="n">
        <v>61</v>
      </c>
      <c r="B62" s="9" t="inlineStr">
        <is>
          <t>PIP-ACT-C-C1-001</t>
        </is>
      </c>
      <c r="C62" s="9" t="inlineStr">
        <is>
          <t>0.5</t>
        </is>
      </c>
      <c r="D62" s="9" t="inlineStr">
        <is>
          <t>PIP-BANK-0.4</t>
        </is>
      </c>
      <c r="E62" s="9" t="inlineStr">
        <is>
          <t>C</t>
        </is>
      </c>
      <c r="F62" s="9" t="inlineStr">
        <is>
          <t>C1</t>
        </is>
      </c>
      <c r="G62" s="9" t="inlineStr">
        <is>
          <t>ACT</t>
        </is>
      </c>
      <c r="H62" s="9" t="inlineStr">
        <is>
          <t>Organiser des informations pour qu’elles soient faciles à retrouver et à utiliser.</t>
        </is>
      </c>
      <c r="I62" s="9" t="inlineStr">
        <is>
          <t>Organiser des dossiers ou informations dans une arborescence claire afin qu’ils soient rapidement retrouvés.</t>
        </is>
      </c>
      <c r="J62" s="9" t="inlineStr">
        <is>
          <t>RETENU</t>
        </is>
      </c>
      <c r="K62" s="9" t="inlineStr">
        <is>
          <t>Couverture de facette + activité observable ; priorité ACT, complétée par SIT à faible risque.</t>
        </is>
      </c>
      <c r="L62" s="9" t="inlineStr">
        <is>
          <t>FAIBLE</t>
        </is>
      </c>
      <c r="M62" s="9" t="inlineStr">
        <is>
          <t>MOYEN</t>
        </is>
      </c>
      <c r="N62" s="9" t="inlineStr">
        <is>
          <t>FAIBLE</t>
        </is>
      </c>
    </row>
    <row r="63">
      <c r="A63" s="9" t="n">
        <v>62</v>
      </c>
      <c r="B63" s="9" t="inlineStr">
        <is>
          <t>PIP-ACT-C-C1-002</t>
        </is>
      </c>
      <c r="C63" s="9" t="inlineStr">
        <is>
          <t>0.5</t>
        </is>
      </c>
      <c r="D63" s="9" t="inlineStr">
        <is>
          <t>PIP-BANK-0.4</t>
        </is>
      </c>
      <c r="E63" s="9" t="inlineStr">
        <is>
          <t>C</t>
        </is>
      </c>
      <c r="F63" s="9" t="inlineStr">
        <is>
          <t>C1</t>
        </is>
      </c>
      <c r="G63" s="9" t="inlineStr">
        <is>
          <t>ACT</t>
        </is>
      </c>
      <c r="H63" s="9" t="inlineStr">
        <is>
          <t>Classer des documents ou des données selon une structure claire.</t>
        </is>
      </c>
      <c r="I63" s="9" t="inlineStr">
        <is>
          <t>Classer des documents ou des données selon des catégories et des règles définies.</t>
        </is>
      </c>
      <c r="J63" s="9" t="inlineStr">
        <is>
          <t>RETENU</t>
        </is>
      </c>
      <c r="K63" s="9" t="inlineStr">
        <is>
          <t>Couverture de facette + activité observable ; priorité ACT, complétée par SIT à faible risque.</t>
        </is>
      </c>
      <c r="L63" s="9" t="inlineStr">
        <is>
          <t>FAIBLE</t>
        </is>
      </c>
      <c r="M63" s="9" t="inlineStr">
        <is>
          <t>MOYEN</t>
        </is>
      </c>
      <c r="N63" s="9" t="inlineStr">
        <is>
          <t>FAIBLE</t>
        </is>
      </c>
    </row>
    <row r="64">
      <c r="A64" s="9" t="n">
        <v>63</v>
      </c>
      <c r="B64" s="9" t="inlineStr">
        <is>
          <t>PIP-SIT-C-C1-003</t>
        </is>
      </c>
      <c r="C64" s="9" t="inlineStr">
        <is>
          <t>0.5</t>
        </is>
      </c>
      <c r="D64" s="9" t="inlineStr">
        <is>
          <t>PIP-BANK-0.4</t>
        </is>
      </c>
      <c r="E64" s="9" t="inlineStr">
        <is>
          <t>C</t>
        </is>
      </c>
      <c r="F64" s="9" t="inlineStr">
        <is>
          <t>C1</t>
        </is>
      </c>
      <c r="G64" s="9" t="inlineStr">
        <is>
          <t>SIT</t>
        </is>
      </c>
      <c r="H64" s="9" t="inlineStr">
        <is>
          <t>Remettre de l’ordre dans un ensemble d’informations dispersées afin qu’il devienne exploitable.</t>
        </is>
      </c>
      <c r="I64" s="9" t="inlineStr">
        <is>
          <t>Reprendre un ensemble de fichiers ou d’informations dispersés et les réorganiser pour qu’ils deviennent faciles à utiliser.</t>
        </is>
      </c>
      <c r="J64" s="9" t="inlineStr">
        <is>
          <t>RETENU</t>
        </is>
      </c>
      <c r="K64" s="9" t="inlineStr">
        <is>
          <t>Couverture de facette + activité observable ; priorité ACT, complétée par SIT à faible risque.</t>
        </is>
      </c>
      <c r="L64" s="9" t="inlineStr">
        <is>
          <t>FAIBLE</t>
        </is>
      </c>
      <c r="M64" s="9" t="inlineStr">
        <is>
          <t>MOYEN</t>
        </is>
      </c>
      <c r="N64" s="9" t="inlineStr">
        <is>
          <t>FAIBLE</t>
        </is>
      </c>
    </row>
    <row r="65">
      <c r="A65" s="9" t="n">
        <v>64</v>
      </c>
      <c r="B65" s="9" t="inlineStr">
        <is>
          <t>PIP-ACT-C-C2-005</t>
        </is>
      </c>
      <c r="C65" s="9" t="inlineStr">
        <is>
          <t>0.5</t>
        </is>
      </c>
      <c r="D65" s="9" t="inlineStr">
        <is>
          <t>PIP-BANK-0.4</t>
        </is>
      </c>
      <c r="E65" s="9" t="inlineStr">
        <is>
          <t>C</t>
        </is>
      </c>
      <c r="F65" s="9" t="inlineStr">
        <is>
          <t>C2</t>
        </is>
      </c>
      <c r="G65" s="9" t="inlineStr">
        <is>
          <t>ACT</t>
        </is>
      </c>
      <c r="H65" s="9" t="inlineStr">
        <is>
          <t>Enregistrer avec précision des informations dans un dossier ou un système.</t>
        </is>
      </c>
      <c r="I65" s="9" t="inlineStr">
        <is>
          <t>Saisir avec précision des informations dans un dossier, une base ou un système de suivi.</t>
        </is>
      </c>
      <c r="J65" s="9" t="inlineStr">
        <is>
          <t>RETENU</t>
        </is>
      </c>
      <c r="K65" s="9" t="inlineStr">
        <is>
          <t>Couverture de facette + activité observable ; priorité ACT, complétée par SIT à faible risque.</t>
        </is>
      </c>
      <c r="L65" s="9" t="inlineStr">
        <is>
          <t>FAIBLE</t>
        </is>
      </c>
      <c r="M65" s="9" t="inlineStr">
        <is>
          <t>MOYEN</t>
        </is>
      </c>
      <c r="N65" s="9" t="inlineStr">
        <is>
          <t>MOYEN</t>
        </is>
      </c>
    </row>
    <row r="66">
      <c r="A66" s="9" t="n">
        <v>65</v>
      </c>
      <c r="B66" s="9" t="inlineStr">
        <is>
          <t>PIP-ACT-C-C2-006</t>
        </is>
      </c>
      <c r="C66" s="9" t="inlineStr">
        <is>
          <t>0.5</t>
        </is>
      </c>
      <c r="D66" s="9" t="inlineStr">
        <is>
          <t>PIP-BANK-0.4</t>
        </is>
      </c>
      <c r="E66" s="9" t="inlineStr">
        <is>
          <t>C</t>
        </is>
      </c>
      <c r="F66" s="9" t="inlineStr">
        <is>
          <t>C2</t>
        </is>
      </c>
      <c r="G66" s="9" t="inlineStr">
        <is>
          <t>ACT</t>
        </is>
      </c>
      <c r="H66" s="9" t="inlineStr">
        <is>
          <t>Mettre régulièrement à jour des données pour qu’elles restent fiables.</t>
        </is>
      </c>
      <c r="I66" s="9" t="inlineStr">
        <is>
          <t>Mettre à jour régulièrement un fichier de suivi afin que les informations restent exactes et actuelles.</t>
        </is>
      </c>
      <c r="J66" s="9" t="inlineStr">
        <is>
          <t>RETENU</t>
        </is>
      </c>
      <c r="K66" s="9" t="inlineStr">
        <is>
          <t>Couverture de facette + activité observable ; priorité ACT, complétée par SIT à faible risque.</t>
        </is>
      </c>
      <c r="L66" s="9" t="inlineStr">
        <is>
          <t>FAIBLE</t>
        </is>
      </c>
      <c r="M66" s="9" t="inlineStr">
        <is>
          <t>MOYEN</t>
        </is>
      </c>
      <c r="N66" s="9" t="inlineStr">
        <is>
          <t>FAIBLE</t>
        </is>
      </c>
    </row>
    <row r="67">
      <c r="A67" s="9" t="n">
        <v>66</v>
      </c>
      <c r="B67" s="9" t="inlineStr">
        <is>
          <t>PIP-SIT-C-C2-007</t>
        </is>
      </c>
      <c r="C67" s="9" t="inlineStr">
        <is>
          <t>0.5</t>
        </is>
      </c>
      <c r="D67" s="9" t="inlineStr">
        <is>
          <t>PIP-BANK-0.4</t>
        </is>
      </c>
      <c r="E67" s="9" t="inlineStr">
        <is>
          <t>C</t>
        </is>
      </c>
      <c r="F67" s="9" t="inlineStr">
        <is>
          <t>C2</t>
        </is>
      </c>
      <c r="G67" s="9" t="inlineStr">
        <is>
          <t>SIT</t>
        </is>
      </c>
      <c r="H67" s="9" t="inlineStr">
        <is>
          <t>Reprendre un ensemble d’informations incomplètes et les mettre à jour de manière méthodique.</t>
        </is>
      </c>
      <c r="I67" s="9" t="inlineStr">
        <is>
          <t>Reprendre un dossier contenant des informations manquantes, les compléter et vérifier qu’il est à jour.</t>
        </is>
      </c>
      <c r="J67" s="9" t="inlineStr">
        <is>
          <t>RETENU</t>
        </is>
      </c>
      <c r="K67" s="9" t="inlineStr">
        <is>
          <t>Couverture de facette + activité observable ; priorité ACT, complétée par SIT à faible risque.</t>
        </is>
      </c>
      <c r="L67" s="9" t="inlineStr">
        <is>
          <t>FAIBLE</t>
        </is>
      </c>
      <c r="M67" s="9" t="inlineStr">
        <is>
          <t>MOYEN</t>
        </is>
      </c>
      <c r="N67" s="9" t="inlineStr">
        <is>
          <t>FAIBLE</t>
        </is>
      </c>
    </row>
    <row r="68">
      <c r="A68" s="9" t="n">
        <v>67</v>
      </c>
      <c r="B68" s="9" t="inlineStr">
        <is>
          <t>PIP-ACT-C-C3-009</t>
        </is>
      </c>
      <c r="C68" s="9" t="inlineStr">
        <is>
          <t>0.5</t>
        </is>
      </c>
      <c r="D68" s="9" t="inlineStr">
        <is>
          <t>PIP-BANK-0.4</t>
        </is>
      </c>
      <c r="E68" s="9" t="inlineStr">
        <is>
          <t>C</t>
        </is>
      </c>
      <c r="F68" s="9" t="inlineStr">
        <is>
          <t>C3</t>
        </is>
      </c>
      <c r="G68" s="9" t="inlineStr">
        <is>
          <t>ACT</t>
        </is>
      </c>
      <c r="H68" s="9" t="inlineStr">
        <is>
          <t>Vérifier l’exactitude d’informations avant qu’elles soient utilisées.</t>
        </is>
      </c>
      <c r="I68" s="9" t="inlineStr">
        <is>
          <t>Contrôler des informations avant leur utilisation afin de vérifier qu’elles sont exactes et complètes.</t>
        </is>
      </c>
      <c r="J68" s="9" t="inlineStr">
        <is>
          <t>RETENU</t>
        </is>
      </c>
      <c r="K68" s="9" t="inlineStr">
        <is>
          <t>Couverture de facette + activité observable ; priorité ACT, complétée par SIT à faible risque.</t>
        </is>
      </c>
      <c r="L68" s="9" t="inlineStr">
        <is>
          <t>FAIBLE</t>
        </is>
      </c>
      <c r="M68" s="9" t="inlineStr">
        <is>
          <t>MOYEN</t>
        </is>
      </c>
      <c r="N68" s="9" t="inlineStr">
        <is>
          <t>FAIBLE</t>
        </is>
      </c>
    </row>
    <row r="69">
      <c r="A69" s="9" t="n">
        <v>68</v>
      </c>
      <c r="B69" s="9" t="inlineStr">
        <is>
          <t>PIP-ACT-C-C3-010</t>
        </is>
      </c>
      <c r="C69" s="9" t="inlineStr">
        <is>
          <t>0.5</t>
        </is>
      </c>
      <c r="D69" s="9" t="inlineStr">
        <is>
          <t>PIP-BANK-0.4</t>
        </is>
      </c>
      <c r="E69" s="9" t="inlineStr">
        <is>
          <t>C</t>
        </is>
      </c>
      <c r="F69" s="9" t="inlineStr">
        <is>
          <t>C3</t>
        </is>
      </c>
      <c r="G69" s="9" t="inlineStr">
        <is>
          <t>ACT</t>
        </is>
      </c>
      <c r="H69" s="9" t="inlineStr">
        <is>
          <t>Comparer plusieurs données pour repérer une erreur ou une incohérence.</t>
        </is>
      </c>
      <c r="I69" s="9" t="inlineStr">
        <is>
          <t>Comparer des données entre plusieurs documents pour repérer une erreur, un écart ou une incohérence.</t>
        </is>
      </c>
      <c r="J69" s="9" t="inlineStr">
        <is>
          <t>RETENU</t>
        </is>
      </c>
      <c r="K69" s="9" t="inlineStr">
        <is>
          <t>Couverture de facette + activité observable ; priorité ACT, complétée par SIT à faible risque.</t>
        </is>
      </c>
      <c r="L69" s="9" t="inlineStr">
        <is>
          <t>MOYEN</t>
        </is>
      </c>
      <c r="M69" s="9" t="inlineStr">
        <is>
          <t>MOYEN</t>
        </is>
      </c>
      <c r="N69" s="9" t="inlineStr">
        <is>
          <t>FAIBLE</t>
        </is>
      </c>
    </row>
    <row r="70">
      <c r="A70" s="9" t="n">
        <v>69</v>
      </c>
      <c r="B70" s="9" t="inlineStr">
        <is>
          <t>PIP-ACT-C-C4-013</t>
        </is>
      </c>
      <c r="C70" s="9" t="inlineStr">
        <is>
          <t>0.5</t>
        </is>
      </c>
      <c r="D70" s="9" t="inlineStr">
        <is>
          <t>PIP-BANK-0.4</t>
        </is>
      </c>
      <c r="E70" s="9" t="inlineStr">
        <is>
          <t>C</t>
        </is>
      </c>
      <c r="F70" s="9" t="inlineStr">
        <is>
          <t>C4</t>
        </is>
      </c>
      <c r="G70" s="9" t="inlineStr">
        <is>
          <t>ACT</t>
        </is>
      </c>
      <c r="H70" s="9" t="inlineStr">
        <is>
          <t>Suivre une procédure définie pour réaliser une opération de façon conforme.</t>
        </is>
      </c>
      <c r="I70" s="9" t="inlineStr">
        <is>
          <t>Réaliser une opération en suivant une procédure précise afin de respecter les règles prévues.</t>
        </is>
      </c>
      <c r="J70" s="9" t="inlineStr">
        <is>
          <t>RETENU</t>
        </is>
      </c>
      <c r="K70" s="9" t="inlineStr">
        <is>
          <t>Couverture de facette + activité observable ; priorité ACT, complétée par SIT à faible risque.</t>
        </is>
      </c>
      <c r="L70" s="9" t="inlineStr">
        <is>
          <t>FAIBLE</t>
        </is>
      </c>
      <c r="M70" s="9" t="inlineStr">
        <is>
          <t>MOYEN</t>
        </is>
      </c>
      <c r="N70" s="9" t="inlineStr">
        <is>
          <t>MOYEN</t>
        </is>
      </c>
    </row>
    <row r="71">
      <c r="A71" s="9" t="n">
        <v>70</v>
      </c>
      <c r="B71" s="9" t="inlineStr">
        <is>
          <t>PIP-ACT-C-C4-014</t>
        </is>
      </c>
      <c r="C71" s="9" t="inlineStr">
        <is>
          <t>0.5</t>
        </is>
      </c>
      <c r="D71" s="9" t="inlineStr">
        <is>
          <t>PIP-BANK-0.4</t>
        </is>
      </c>
      <c r="E71" s="9" t="inlineStr">
        <is>
          <t>C</t>
        </is>
      </c>
      <c r="F71" s="9" t="inlineStr">
        <is>
          <t>C4</t>
        </is>
      </c>
      <c r="G71" s="9" t="inlineStr">
        <is>
          <t>ACT</t>
        </is>
      </c>
      <c r="H71" s="9" t="inlineStr">
        <is>
          <t>Vérifier qu’une activité respecte des règles ou des critères précis.</t>
        </is>
      </c>
      <c r="I71" s="9" t="inlineStr">
        <is>
          <t>Contrôler qu’une opération, un dossier ou une activité respecte les critères et règles applicables.</t>
        </is>
      </c>
      <c r="J71" s="9" t="inlineStr">
        <is>
          <t>RETENU</t>
        </is>
      </c>
      <c r="K71" s="9" t="inlineStr">
        <is>
          <t>Couverture de facette + activité observable ; priorité ACT, complétée par SIT à faible risque.</t>
        </is>
      </c>
      <c r="L71" s="9" t="inlineStr">
        <is>
          <t>FAIBLE</t>
        </is>
      </c>
      <c r="M71" s="9" t="inlineStr">
        <is>
          <t>MOYEN</t>
        </is>
      </c>
      <c r="N71" s="9" t="inlineStr">
        <is>
          <t>FAIBLE</t>
        </is>
      </c>
    </row>
    <row r="72">
      <c r="A72" s="9" t="n">
        <v>71</v>
      </c>
      <c r="B72" s="9" t="inlineStr">
        <is>
          <t>PIP-ACT-C-C5-017</t>
        </is>
      </c>
      <c r="C72" s="9" t="inlineStr">
        <is>
          <t>0.5</t>
        </is>
      </c>
      <c r="D72" s="9" t="inlineStr">
        <is>
          <t>PIP-BANK-0.4</t>
        </is>
      </c>
      <c r="E72" s="9" t="inlineStr">
        <is>
          <t>C</t>
        </is>
      </c>
      <c r="F72" s="9" t="inlineStr">
        <is>
          <t>C5</t>
        </is>
      </c>
      <c r="G72" s="9" t="inlineStr">
        <is>
          <t>ACT</t>
        </is>
      </c>
      <c r="H72" s="9" t="inlineStr">
        <is>
          <t>Suivre l’avancement d’un dossier jusqu’à sa clôture.</t>
        </is>
      </c>
      <c r="I72" s="9" t="inlineStr">
        <is>
          <t>Suivre un dossier depuis son ouverture jusqu’à sa clôture en vérifiant que chaque étape est réalisée.</t>
        </is>
      </c>
      <c r="J72" s="9" t="inlineStr">
        <is>
          <t>RETENU</t>
        </is>
      </c>
      <c r="K72" s="9" t="inlineStr">
        <is>
          <t>Couverture de facette + activité observable ; priorité ACT, complétée par SIT à faible risque.</t>
        </is>
      </c>
      <c r="L72" s="9" t="inlineStr">
        <is>
          <t>FAIBLE</t>
        </is>
      </c>
      <c r="M72" s="9" t="inlineStr">
        <is>
          <t>MOYEN</t>
        </is>
      </c>
      <c r="N72" s="9" t="inlineStr">
        <is>
          <t>MOYEN</t>
        </is>
      </c>
    </row>
    <row r="73">
      <c r="A73" s="9" t="n">
        <v>72</v>
      </c>
      <c r="B73" s="9" t="inlineStr">
        <is>
          <t>PIP-ACT-C-C5-018</t>
        </is>
      </c>
      <c r="C73" s="9" t="inlineStr">
        <is>
          <t>0.5</t>
        </is>
      </c>
      <c r="D73" s="9" t="inlineStr">
        <is>
          <t>PIP-BANK-0.4</t>
        </is>
      </c>
      <c r="E73" s="9" t="inlineStr">
        <is>
          <t>C</t>
        </is>
      </c>
      <c r="F73" s="9" t="inlineStr">
        <is>
          <t>C5</t>
        </is>
      </c>
      <c r="G73" s="9" t="inlineStr">
        <is>
          <t>ACT</t>
        </is>
      </c>
      <c r="H73" s="9" t="inlineStr">
        <is>
          <t>Planifier et suivre des échéances pour que plusieurs opérations soient réalisées au bon moment.</t>
        </is>
      </c>
      <c r="I73" s="9" t="inlineStr">
        <is>
          <t>Planifier plusieurs échéances et vérifier régulièrement que les opérations prévues sont réalisées au bon moment.</t>
        </is>
      </c>
      <c r="J73" s="9" t="inlineStr">
        <is>
          <t>RETENU</t>
        </is>
      </c>
      <c r="K73" s="9" t="inlineStr">
        <is>
          <t>Couverture de facette + activité observable ; priorité ACT, complétée par SIT à faible risque.</t>
        </is>
      </c>
      <c r="L73" s="9" t="inlineStr">
        <is>
          <t>MOYEN</t>
        </is>
      </c>
      <c r="M73" s="9" t="inlineStr">
        <is>
          <t>MOYEN</t>
        </is>
      </c>
      <c r="N73" s="9" t="inlineStr">
        <is>
          <t>FAIBLE</t>
        </is>
      </c>
    </row>
  </sheetData>
  <autoFilter ref="A1:N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style="34" min="1" max="1"/>
    <col width="120" customWidth="1" style="34" min="2" max="2"/>
  </cols>
  <sheetData>
    <row r="1">
      <c r="A1" s="43" t="inlineStr">
        <is>
          <t>CLARTÉ360 — PIP RIASEC — PROTOCOLE DE RÉPONSE V0.5.1</t>
        </is>
      </c>
    </row>
    <row r="2">
      <c r="A2" s="44" t="inlineStr">
        <is>
          <t>Objectif</t>
        </is>
      </c>
      <c r="B2" s="9" t="inlineStr">
        <is>
          <t>Mesurer l’intérêt professionnel : ce que la personne aimerait faire dans son travail, indépendamment de son métier actuel, de son expérience ou de son niveau de compétence.</t>
        </is>
      </c>
    </row>
    <row r="3">
      <c r="A3" s="44" t="inlineStr">
        <is>
          <t>Consigne utilisateur</t>
        </is>
      </c>
      <c r="B3" s="9" t="inlineStr">
        <is>
          <t>Pour chacune des activités suivantes, indiquez dans quelle mesure vous aimeriez la réaliser dans votre travail. Répondez selon votre envie, et non selon ce que vous savez déjà faire, votre métier actuel ou ce que vous pensez devoir aimer.</t>
        </is>
      </c>
    </row>
    <row r="4">
      <c r="A4" s="44" t="inlineStr">
        <is>
          <t>Stem UI recommandé</t>
        </is>
      </c>
      <c r="B4" s="9" t="inlineStr">
        <is>
          <t>Dans votre travail, dans quelle mesure aimeriez-vous réaliser cette activité ?</t>
        </is>
      </c>
    </row>
    <row r="5">
      <c r="A5" s="44" t="inlineStr">
        <is>
          <t>Réponse 1</t>
        </is>
      </c>
      <c r="B5" s="9" t="inlineStr">
        <is>
          <t>Je n’aimerais pas du tout faire cela.</t>
        </is>
      </c>
    </row>
    <row r="6">
      <c r="A6" s="44" t="inlineStr">
        <is>
          <t>Réponse 2</t>
        </is>
      </c>
      <c r="B6" s="9" t="inlineStr">
        <is>
          <t>J’aimerais peu faire cela.</t>
        </is>
      </c>
    </row>
    <row r="7">
      <c r="A7" s="44" t="inlineStr">
        <is>
          <t>Réponse 3</t>
        </is>
      </c>
      <c r="B7" s="9" t="inlineStr">
        <is>
          <t>Je suis partagé(e) / sans préférence marquée.</t>
        </is>
      </c>
    </row>
    <row r="8">
      <c r="A8" s="44" t="inlineStr">
        <is>
          <t>Réponse 4</t>
        </is>
      </c>
      <c r="B8" s="9" t="inlineStr">
        <is>
          <t>J’aimerais assez faire cela.</t>
        </is>
      </c>
    </row>
    <row r="9">
      <c r="A9" s="44" t="inlineStr">
        <is>
          <t>Réponse 5</t>
        </is>
      </c>
      <c r="B9" s="9" t="inlineStr">
        <is>
          <t>J’aimerais beaucoup faire cela.</t>
        </is>
      </c>
    </row>
    <row r="10">
      <c r="A10" s="44" t="inlineStr">
        <is>
          <t>Règle méthodologique</t>
        </is>
      </c>
      <c r="B10" s="9" t="inlineStr">
        <is>
          <t>Les réponses portent sur l’attrait pour l’activité et non sur la compétence, l’aptitude, l’intelligence, la personnalité ou la probabilité de réussir dans un métier.</t>
        </is>
      </c>
    </row>
    <row r="11">
      <c r="A11" s="44" t="inlineStr">
        <is>
          <t>Règle de rédaction</t>
        </is>
      </c>
      <c r="B11" s="9" t="inlineStr">
        <is>
          <t>Chaque item décrit une seule activité professionnelle observable, concrète, courte et visualisable, tout en restant suffisamment transversale pour ne pas enfermer la réponse dans un métier particulier.</t>
        </is>
      </c>
    </row>
    <row r="12">
      <c r="A12" s="44" t="inlineStr">
        <is>
          <t>Règle Holland</t>
        </is>
      </c>
      <c r="B12" s="9" t="inlineStr">
        <is>
          <t>Chaque item conserve une dimension principale R/I/A/S/E/C et une facette documentée ; les formulations doivent privilégier le noyau d’intérêt de la dimension sans transformer le questionnaire en test de compétences.</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0" customWidth="1" style="34" min="1" max="1"/>
    <col width="28" customWidth="1" style="34" min="2" max="2"/>
    <col width="12" customWidth="1" style="34" min="3" max="3"/>
    <col width="18" customWidth="1" style="34" min="4" max="4"/>
    <col width="12" customWidth="1" style="34" min="5" max="5"/>
    <col width="12" customWidth="1" style="34" min="6" max="6"/>
    <col width="10" customWidth="1" style="34" min="7" max="7"/>
    <col width="55" customWidth="1" style="34" min="8" max="8"/>
    <col width="70" customWidth="1" style="34" min="9" max="9"/>
    <col width="22" customWidth="1" style="34" min="10" max="10"/>
    <col width="55" customWidth="1" style="34" min="11" max="11"/>
    <col width="18" customWidth="1" style="34" min="12" max="12"/>
    <col width="20" customWidth="1" style="34" min="13" max="13"/>
    <col width="24" customWidth="1" style="34" min="14" max="14"/>
  </cols>
  <sheetData>
    <row r="1">
      <c r="A1" s="42" t="inlineStr">
        <is>
          <t>item_id</t>
        </is>
      </c>
      <c r="B1" s="42" t="inlineStr">
        <is>
          <t>dimension</t>
        </is>
      </c>
      <c r="C1" s="42" t="inlineStr">
        <is>
          <t>facette</t>
        </is>
      </c>
      <c r="D1" s="42" t="inlineStr">
        <is>
          <t>bloc</t>
        </is>
      </c>
      <c r="E1" s="42" t="inlineStr">
        <is>
          <t>formulation_v0_4</t>
        </is>
      </c>
      <c r="F1" s="42" t="inlineStr">
        <is>
          <t>exemple_v0_4</t>
        </is>
      </c>
      <c r="G1" s="42" t="inlineStr">
        <is>
          <t>niveau_concretude</t>
        </is>
      </c>
      <c r="H1" s="42" t="inlineStr">
        <is>
          <t>ambiguite_chevauchement</t>
        </is>
      </c>
      <c r="I1" s="42" t="inlineStr">
        <is>
          <t>pertinence_professionnelle</t>
        </is>
      </c>
      <c r="J1" s="42" t="inlineStr">
        <is>
          <t>decision_v0_5</t>
        </is>
      </c>
      <c r="K1" s="42" t="inlineStr">
        <is>
          <t>formulation_v0_5_si_retenu</t>
        </is>
      </c>
      <c r="L1" s="42" t="inlineStr">
        <is>
          <t>motif</t>
        </is>
      </c>
      <c r="M1" s="42" t="inlineStr">
        <is>
          <t>bank_version_sortie</t>
        </is>
      </c>
    </row>
    <row r="2">
      <c r="A2" s="9" t="inlineStr">
        <is>
          <t>PIP-ACT-R-R1-001</t>
        </is>
      </c>
      <c r="B2" s="9" t="inlineStr">
        <is>
          <t>R</t>
        </is>
      </c>
      <c r="C2" s="9" t="inlineStr">
        <is>
          <t>R1</t>
        </is>
      </c>
      <c r="D2" s="9" t="inlineStr">
        <is>
          <t>ACT</t>
        </is>
      </c>
      <c r="E2" s="9" t="inlineStr">
        <is>
          <t>Assembler des éléments pour fabriquer un objet fonctionnel.</t>
        </is>
      </c>
      <c r="F2" s="9" t="inlineStr">
        <is>
          <t>Assembler les pièces d’un petit meuble ou d’un support pour qu’il soit solide et utilisable.</t>
        </is>
      </c>
      <c r="G2" s="9" t="inlineStr">
        <is>
          <t>MOYENNE</t>
        </is>
      </c>
      <c r="H2" s="9" t="inlineStr">
        <is>
          <t>FAIBLE</t>
        </is>
      </c>
      <c r="I2" s="9" t="inlineStr">
        <is>
          <t>FORTE</t>
        </is>
      </c>
      <c r="J2" s="9" t="inlineStr">
        <is>
          <t>MAINTIEN_REECRIT</t>
        </is>
      </c>
      <c r="K2" s="9" t="inlineStr">
        <is>
          <t>Assembler les pièces d’un petit meuble ou d’un support pour qu’il soit solide et utilisable.</t>
        </is>
      </c>
      <c r="L2" s="9" t="inlineStr">
        <is>
          <t>Retenu pour couverture de facette et formulation rendue directement concrète.</t>
        </is>
      </c>
      <c r="M2" s="9" t="inlineStr">
        <is>
          <t>PIP-BANK-0.4</t>
        </is>
      </c>
    </row>
    <row r="3">
      <c r="A3" s="9" t="inlineStr">
        <is>
          <t>PIP-ACT-R-R1-002</t>
        </is>
      </c>
      <c r="B3" s="9" t="inlineStr">
        <is>
          <t>R</t>
        </is>
      </c>
      <c r="C3" s="9" t="inlineStr">
        <is>
          <t>R1</t>
        </is>
      </c>
      <c r="D3" s="9" t="inlineStr">
        <is>
          <t>ACT</t>
        </is>
      </c>
      <c r="E3" s="9" t="inlineStr">
        <is>
          <t>Transformer une matière ou un matériau pour lui donner une forme utile.</t>
        </is>
      </c>
      <c r="F3" s="9" t="inlineStr">
        <is>
          <t>Travailler du bois, du métal ou un autre matériau pour obtenir une pièce ayant une fonction précise.</t>
        </is>
      </c>
      <c r="G3" s="9" t="inlineStr">
        <is>
          <t>MOYENNE</t>
        </is>
      </c>
      <c r="H3" s="9" t="inlineStr">
        <is>
          <t>FAIBLE</t>
        </is>
      </c>
      <c r="I3" s="9" t="inlineStr">
        <is>
          <t>FORTE</t>
        </is>
      </c>
      <c r="J3" s="9" t="inlineStr">
        <is>
          <t>MAINTIEN_REECRIT</t>
        </is>
      </c>
      <c r="K3" s="9" t="inlineStr">
        <is>
          <t>Travailler du bois, du métal ou un autre matériau pour obtenir une pièce ayant une fonction précise.</t>
        </is>
      </c>
      <c r="L3" s="9" t="inlineStr">
        <is>
          <t>Retenu pour couverture de facette et formulation rendue directement concrète.</t>
        </is>
      </c>
      <c r="M3" s="9" t="inlineStr">
        <is>
          <t>PIP-BANK-0.4</t>
        </is>
      </c>
    </row>
    <row r="4">
      <c r="A4" s="9" t="inlineStr">
        <is>
          <t>PIP-SIT-R-R1-003</t>
        </is>
      </c>
      <c r="B4" s="9" t="inlineStr">
        <is>
          <t>R</t>
        </is>
      </c>
      <c r="C4" s="9" t="inlineStr">
        <is>
          <t>R1</t>
        </is>
      </c>
      <c r="D4" s="9" t="inlineStr">
        <is>
          <t>SIT</t>
        </is>
      </c>
      <c r="E4" s="9" t="inlineStr">
        <is>
          <t>Prendre en charge la réalisation concrète d’un objet ou d’une structure à partir d’éléments séparés.</t>
        </is>
      </c>
      <c r="F4" s="9" t="inlineStr">
        <is>
          <t>À partir de pièces séparées, réaliser concrètement une étagère, un présentoir ou une petite structure.</t>
        </is>
      </c>
      <c r="G4" s="9" t="inlineStr">
        <is>
          <t>FAIBLE_A_MOYENNE</t>
        </is>
      </c>
      <c r="H4" s="9" t="inlineStr">
        <is>
          <t>FAIBLE</t>
        </is>
      </c>
      <c r="I4" s="9" t="inlineStr">
        <is>
          <t>FORTE</t>
        </is>
      </c>
      <c r="J4" s="9" t="inlineStr">
        <is>
          <t>MAINTIEN_REECRIT</t>
        </is>
      </c>
      <c r="K4" s="9" t="inlineStr">
        <is>
          <t>À partir de pièces séparées, réaliser concrètement une étagère, un présentoir ou une petite structure.</t>
        </is>
      </c>
      <c r="L4" s="9" t="inlineStr">
        <is>
          <t>Retenu pour couverture de facette et formulation rendue directement concrète.</t>
        </is>
      </c>
      <c r="M4" s="9" t="inlineStr">
        <is>
          <t>PIP-BANK-0.4</t>
        </is>
      </c>
    </row>
    <row r="5">
      <c r="A5" s="9" t="inlineStr">
        <is>
          <t>PIP-ENV-R-R1-004</t>
        </is>
      </c>
      <c r="B5" s="9" t="inlineStr">
        <is>
          <t>R</t>
        </is>
      </c>
      <c r="C5" s="9" t="inlineStr">
        <is>
          <t>R1</t>
        </is>
      </c>
      <c r="D5" s="9" t="inlineStr">
        <is>
          <t>ENV</t>
        </is>
      </c>
      <c r="E5" s="9" t="inlineStr">
        <is>
          <t>Travailler dans un contexte où l’on voit directement le résultat matériel de ce que l’on fabrique ou transforme.</t>
        </is>
      </c>
      <c r="F5" s="9" t="inlineStr">
        <is>
          <t>Évoluer dans un atelier ou un espace de fabrication où l’on voit physiquement ce qui a été produit.</t>
        </is>
      </c>
      <c r="G5" s="9" t="inlineStr">
        <is>
          <t>FAIBLE_A_MOYENNE</t>
        </is>
      </c>
      <c r="H5" s="9" t="inlineStr">
        <is>
          <t>FAIBLE</t>
        </is>
      </c>
      <c r="I5" s="9" t="inlineStr">
        <is>
          <t>MOYENNE</t>
        </is>
      </c>
      <c r="J5" s="9" t="inlineStr">
        <is>
          <t>RETRAIT_BANQUE72</t>
        </is>
      </c>
      <c r="K5" s="9" t="inlineStr"/>
      <c r="L5" s="9" t="inlineStr">
        <is>
          <t>Historique conservé ; item non nécessaire pour atteindre 12/dimension et ≥2/facette.</t>
        </is>
      </c>
      <c r="M5" s="9" t="inlineStr">
        <is>
          <t>PIP-BANK-0.3</t>
        </is>
      </c>
    </row>
    <row r="6">
      <c r="A6" s="9" t="inlineStr">
        <is>
          <t>PIP-ACT-R-R2-005</t>
        </is>
      </c>
      <c r="B6" s="9" t="inlineStr">
        <is>
          <t>R</t>
        </is>
      </c>
      <c r="C6" s="9" t="inlineStr">
        <is>
          <t>R2</t>
        </is>
      </c>
      <c r="D6" s="9" t="inlineStr">
        <is>
          <t>ACT</t>
        </is>
      </c>
      <c r="E6" s="9" t="inlineStr">
        <is>
          <t>Installer un équipement pour qu’il soit prêt à fonctionner.</t>
        </is>
      </c>
      <c r="F6" s="9" t="inlineStr">
        <is>
          <t>Installer un poste de travail, un appareil ou un équipement puis vérifier qu’il fonctionne.</t>
        </is>
      </c>
      <c r="G6" s="9" t="inlineStr">
        <is>
          <t>MOYENNE</t>
        </is>
      </c>
      <c r="H6" s="9" t="inlineStr">
        <is>
          <t>FAIBLE</t>
        </is>
      </c>
      <c r="I6" s="9" t="inlineStr">
        <is>
          <t>FORTE</t>
        </is>
      </c>
      <c r="J6" s="9" t="inlineStr">
        <is>
          <t>MAINTIEN_REECRIT</t>
        </is>
      </c>
      <c r="K6" s="9" t="inlineStr">
        <is>
          <t>Installer un poste de travail, un appareil ou un équipement puis vérifier qu’il fonctionne.</t>
        </is>
      </c>
      <c r="L6" s="9" t="inlineStr">
        <is>
          <t>Retenu pour couverture de facette et formulation rendue directement concrète.</t>
        </is>
      </c>
      <c r="M6" s="9" t="inlineStr">
        <is>
          <t>PIP-BANK-0.4</t>
        </is>
      </c>
    </row>
    <row r="7">
      <c r="A7" s="9" t="inlineStr">
        <is>
          <t>PIP-ACT-R-R2-006</t>
        </is>
      </c>
      <c r="B7" s="9" t="inlineStr">
        <is>
          <t>R</t>
        </is>
      </c>
      <c r="C7" s="9" t="inlineStr">
        <is>
          <t>R2</t>
        </is>
      </c>
      <c r="D7" s="9" t="inlineStr">
        <is>
          <t>ACT</t>
        </is>
      </c>
      <c r="E7" s="9" t="inlineStr">
        <is>
          <t>Réparer un matériel qui ne fonctionne plus correctement.</t>
        </is>
      </c>
      <c r="F7" s="9" t="inlineStr">
        <is>
          <t>Rechercher la panne d’un appareil simple puis intervenir concrètement pour le remettre en service.</t>
        </is>
      </c>
      <c r="G7" s="9" t="inlineStr">
        <is>
          <t>MOYENNE</t>
        </is>
      </c>
      <c r="H7" s="9" t="inlineStr">
        <is>
          <t>A_SURVEILLER</t>
        </is>
      </c>
      <c r="I7" s="9" t="inlineStr">
        <is>
          <t>FORTE</t>
        </is>
      </c>
      <c r="J7" s="9" t="inlineStr">
        <is>
          <t>MAINTIEN_REECRIT</t>
        </is>
      </c>
      <c r="K7" s="9" t="inlineStr">
        <is>
          <t>Rechercher la panne d’un appareil simple puis intervenir concrètement pour le remettre en service.</t>
        </is>
      </c>
      <c r="L7" s="9" t="inlineStr">
        <is>
          <t>Retenu pour couverture de facette et formulation rendue directement concrète.</t>
        </is>
      </c>
      <c r="M7" s="9" t="inlineStr">
        <is>
          <t>PIP-BANK-0.4</t>
        </is>
      </c>
    </row>
    <row r="8">
      <c r="A8" s="9" t="inlineStr">
        <is>
          <t>PIP-SIT-R-R2-007</t>
        </is>
      </c>
      <c r="B8" s="9" t="inlineStr">
        <is>
          <t>R</t>
        </is>
      </c>
      <c r="C8" s="9" t="inlineStr">
        <is>
          <t>R2</t>
        </is>
      </c>
      <c r="D8" s="9" t="inlineStr">
        <is>
          <t>SIT</t>
        </is>
      </c>
      <c r="E8" s="9" t="inlineStr">
        <is>
          <t>Intervenir lorsqu’un équipement doit être réglé ou remis en service.</t>
        </is>
      </c>
      <c r="F8" s="9" t="inlineStr">
        <is>
          <t>Un équipement fonctionne mal : le régler, remplacer l’élément défectueux et tester le résultat.</t>
        </is>
      </c>
      <c r="G8" s="9" t="inlineStr">
        <is>
          <t>FAIBLE_A_MOYENNE</t>
        </is>
      </c>
      <c r="H8" s="9" t="inlineStr">
        <is>
          <t>A_SURVEILLER</t>
        </is>
      </c>
      <c r="I8" s="9" t="inlineStr">
        <is>
          <t>FORTE</t>
        </is>
      </c>
      <c r="J8" s="9" t="inlineStr">
        <is>
          <t>RETRAIT_BANQUE72</t>
        </is>
      </c>
      <c r="K8" s="9" t="inlineStr"/>
      <c r="L8" s="9" t="inlineStr">
        <is>
          <t>Historique conservé ; item non nécessaire pour atteindre 12/dimension et ≥2/facette.</t>
        </is>
      </c>
      <c r="M8" s="9" t="inlineStr">
        <is>
          <t>PIP-BANK-0.3</t>
        </is>
      </c>
    </row>
    <row r="9">
      <c r="A9" s="9" t="inlineStr">
        <is>
          <t>PIP-ENV-R-R2-008</t>
        </is>
      </c>
      <c r="B9" s="9" t="inlineStr">
        <is>
          <t>R</t>
        </is>
      </c>
      <c r="C9" s="9" t="inlineStr">
        <is>
          <t>R2</t>
        </is>
      </c>
      <c r="D9" s="9" t="inlineStr">
        <is>
          <t>ENV</t>
        </is>
      </c>
      <c r="E9" s="9" t="inlineStr">
        <is>
          <t>Évoluer dans un contexte où une part importante du travail consiste à entretenir et remettre en fonctionnement des équipements.</t>
        </is>
      </c>
      <c r="F9" s="9" t="inlineStr">
        <is>
          <t>Travailler dans un service où l’on entretient régulièrement des équipements et où l’on intervient en cas de panne.</t>
        </is>
      </c>
      <c r="G9" s="9" t="inlineStr">
        <is>
          <t>FAIBLE_A_MOYENNE</t>
        </is>
      </c>
      <c r="H9" s="9" t="inlineStr">
        <is>
          <t>FAIBLE</t>
        </is>
      </c>
      <c r="I9" s="9" t="inlineStr">
        <is>
          <t>MOYENNE</t>
        </is>
      </c>
      <c r="J9" s="9" t="inlineStr">
        <is>
          <t>RETRAIT_BANQUE72</t>
        </is>
      </c>
      <c r="K9" s="9" t="inlineStr"/>
      <c r="L9" s="9" t="inlineStr">
        <is>
          <t>Historique conservé ; item non nécessaire pour atteindre 12/dimension et ≥2/facette.</t>
        </is>
      </c>
      <c r="M9" s="9" t="inlineStr">
        <is>
          <t>PIP-BANK-0.3</t>
        </is>
      </c>
    </row>
    <row r="10">
      <c r="A10" s="9" t="inlineStr">
        <is>
          <t>PIP-ACT-R-R3-009</t>
        </is>
      </c>
      <c r="B10" s="9" t="inlineStr">
        <is>
          <t>R</t>
        </is>
      </c>
      <c r="C10" s="9" t="inlineStr">
        <is>
          <t>R3</t>
        </is>
      </c>
      <c r="D10" s="9" t="inlineStr">
        <is>
          <t>ACT</t>
        </is>
      </c>
      <c r="E10" s="9" t="inlineStr">
        <is>
          <t>Utiliser des outils pour réaliser une tâche concrète avec précision.</t>
        </is>
      </c>
      <c r="F10" s="9" t="inlineStr">
        <is>
          <t>Utiliser des outils de mesure et des outils manuels pour réaliser un montage avec précision.</t>
        </is>
      </c>
      <c r="G10" s="9" t="inlineStr">
        <is>
          <t>MOYENNE</t>
        </is>
      </c>
      <c r="H10" s="9" t="inlineStr">
        <is>
          <t>FAIBLE</t>
        </is>
      </c>
      <c r="I10" s="9" t="inlineStr">
        <is>
          <t>FORTE</t>
        </is>
      </c>
      <c r="J10" s="9" t="inlineStr">
        <is>
          <t>MAINTIEN_REECRIT</t>
        </is>
      </c>
      <c r="K10" s="9" t="inlineStr">
        <is>
          <t>Utiliser des outils de mesure et des outils manuels pour réaliser un montage avec précision.</t>
        </is>
      </c>
      <c r="L10" s="9" t="inlineStr">
        <is>
          <t>Retenu pour couverture de facette et formulation rendue directement concrète.</t>
        </is>
      </c>
      <c r="M10" s="9" t="inlineStr">
        <is>
          <t>PIP-BANK-0.4</t>
        </is>
      </c>
    </row>
    <row r="11">
      <c r="A11" s="9" t="inlineStr">
        <is>
          <t>PIP-ACT-R-R3-010</t>
        </is>
      </c>
      <c r="B11" s="9" t="inlineStr">
        <is>
          <t>R</t>
        </is>
      </c>
      <c r="C11" s="9" t="inlineStr">
        <is>
          <t>R3</t>
        </is>
      </c>
      <c r="D11" s="9" t="inlineStr">
        <is>
          <t>ACT</t>
        </is>
      </c>
      <c r="E11" s="9" t="inlineStr">
        <is>
          <t>Piloter ou régler une machine pour obtenir le résultat attendu.</t>
        </is>
      </c>
      <c r="F11" s="9" t="inlineStr">
        <is>
          <t>Régler une machine ou un équipement pour obtenir une dimension, une forme ou un résultat précis.</t>
        </is>
      </c>
      <c r="G11" s="9" t="inlineStr">
        <is>
          <t>MOYENNE</t>
        </is>
      </c>
      <c r="H11" s="9" t="inlineStr">
        <is>
          <t>FAIBLE</t>
        </is>
      </c>
      <c r="I11" s="9" t="inlineStr">
        <is>
          <t>FORTE</t>
        </is>
      </c>
      <c r="J11" s="9" t="inlineStr">
        <is>
          <t>MAINTIEN_REECRIT</t>
        </is>
      </c>
      <c r="K11" s="9" t="inlineStr">
        <is>
          <t>Régler une machine ou un équipement pour obtenir une dimension, une forme ou un résultat précis.</t>
        </is>
      </c>
      <c r="L11" s="9" t="inlineStr">
        <is>
          <t>Retenu pour couverture de facette et formulation rendue directement concrète.</t>
        </is>
      </c>
      <c r="M11" s="9" t="inlineStr">
        <is>
          <t>PIP-BANK-0.4</t>
        </is>
      </c>
    </row>
    <row r="12">
      <c r="A12" s="9" t="inlineStr">
        <is>
          <t>PIP-SIT-R-R3-011</t>
        </is>
      </c>
      <c r="B12" s="9" t="inlineStr">
        <is>
          <t>R</t>
        </is>
      </c>
      <c r="C12" s="9" t="inlineStr">
        <is>
          <t>R3</t>
        </is>
      </c>
      <c r="D12" s="9" t="inlineStr">
        <is>
          <t>SIT</t>
        </is>
      </c>
      <c r="E12" s="9" t="inlineStr">
        <is>
          <t>Prendre en charge une tâche qui nécessite de manipuler directement un appareil ou un équipement.</t>
        </is>
      </c>
      <c r="F12" s="9" t="inlineStr">
        <is>
          <t>Réaliser une opération qui demande de manipuler directement un appareil, une machine ou un instrument.</t>
        </is>
      </c>
      <c r="G12" s="9" t="inlineStr">
        <is>
          <t>FAIBLE_A_MOYENNE</t>
        </is>
      </c>
      <c r="H12" s="9" t="inlineStr">
        <is>
          <t>FAIBLE</t>
        </is>
      </c>
      <c r="I12" s="9" t="inlineStr">
        <is>
          <t>FORTE</t>
        </is>
      </c>
      <c r="J12" s="9" t="inlineStr">
        <is>
          <t>MAINTIEN_REECRIT</t>
        </is>
      </c>
      <c r="K12" s="9" t="inlineStr">
        <is>
          <t>Réaliser une opération qui demande de manipuler directement un appareil, une machine ou un instrument.</t>
        </is>
      </c>
      <c r="L12" s="9" t="inlineStr">
        <is>
          <t>Retenu pour couverture de facette et formulation rendue directement concrète.</t>
        </is>
      </c>
      <c r="M12" s="9" t="inlineStr">
        <is>
          <t>PIP-BANK-0.4</t>
        </is>
      </c>
    </row>
    <row r="13">
      <c r="A13" s="9" t="inlineStr">
        <is>
          <t>PIP-ENV-R-R3-012</t>
        </is>
      </c>
      <c r="B13" s="9" t="inlineStr">
        <is>
          <t>R</t>
        </is>
      </c>
      <c r="C13" s="9" t="inlineStr">
        <is>
          <t>R3</t>
        </is>
      </c>
      <c r="D13" s="9" t="inlineStr">
        <is>
          <t>ENV</t>
        </is>
      </c>
      <c r="E13" s="9" t="inlineStr">
        <is>
          <t>Travailler dans un environnement où l’on utilise régulièrement des outils, des instruments ou des machines pour agir sur le réel.</t>
        </is>
      </c>
      <c r="F13" s="9" t="inlineStr">
        <is>
          <t>Travailler dans un environnement où l’usage d’outils, d’instruments ou de machines fait partie du quotidien.</t>
        </is>
      </c>
      <c r="G13" s="9" t="inlineStr">
        <is>
          <t>FAIBLE_A_MOYENNE</t>
        </is>
      </c>
      <c r="H13" s="9" t="inlineStr">
        <is>
          <t>FAIBLE</t>
        </is>
      </c>
      <c r="I13" s="9" t="inlineStr">
        <is>
          <t>MOYENNE</t>
        </is>
      </c>
      <c r="J13" s="9" t="inlineStr">
        <is>
          <t>RETRAIT_BANQUE72</t>
        </is>
      </c>
      <c r="K13" s="9" t="inlineStr"/>
      <c r="L13" s="9" t="inlineStr">
        <is>
          <t>Historique conservé ; item non nécessaire pour atteindre 12/dimension et ≥2/facette.</t>
        </is>
      </c>
      <c r="M13" s="9" t="inlineStr">
        <is>
          <t>PIP-BANK-0.3</t>
        </is>
      </c>
    </row>
    <row r="14">
      <c r="A14" s="9" t="inlineStr">
        <is>
          <t>PIP-ACT-R-R4-013</t>
        </is>
      </c>
      <c r="B14" s="9" t="inlineStr">
        <is>
          <t>R</t>
        </is>
      </c>
      <c r="C14" s="9" t="inlineStr">
        <is>
          <t>R4</t>
        </is>
      </c>
      <c r="D14" s="9" t="inlineStr">
        <is>
          <t>ACT</t>
        </is>
      </c>
      <c r="E14" s="9" t="inlineStr">
        <is>
          <t>Se rendre sur différents sites pour intervenir directement sur le terrain.</t>
        </is>
      </c>
      <c r="F14" s="9" t="inlineStr">
        <is>
          <t>Se déplacer sur plusieurs sites pour constater une situation et intervenir directement sur place.</t>
        </is>
      </c>
      <c r="G14" s="9" t="inlineStr">
        <is>
          <t>MOYENNE</t>
        </is>
      </c>
      <c r="H14" s="9" t="inlineStr">
        <is>
          <t>FAIBLE</t>
        </is>
      </c>
      <c r="I14" s="9" t="inlineStr">
        <is>
          <t>FORTE</t>
        </is>
      </c>
      <c r="J14" s="9" t="inlineStr">
        <is>
          <t>MAINTIEN_REECRIT</t>
        </is>
      </c>
      <c r="K14" s="9" t="inlineStr">
        <is>
          <t>Se déplacer sur plusieurs sites pour constater une situation et intervenir directement sur place.</t>
        </is>
      </c>
      <c r="L14" s="9" t="inlineStr">
        <is>
          <t>Retenu pour couverture de facette et formulation rendue directement concrète.</t>
        </is>
      </c>
      <c r="M14" s="9" t="inlineStr">
        <is>
          <t>PIP-BANK-0.4</t>
        </is>
      </c>
    </row>
    <row r="15">
      <c r="A15" s="9" t="inlineStr">
        <is>
          <t>PIP-ACT-R-R4-014</t>
        </is>
      </c>
      <c r="B15" s="9" t="inlineStr">
        <is>
          <t>R</t>
        </is>
      </c>
      <c r="C15" s="9" t="inlineStr">
        <is>
          <t>R4</t>
        </is>
      </c>
      <c r="D15" s="9" t="inlineStr">
        <is>
          <t>ACT</t>
        </is>
      </c>
      <c r="E15" s="9" t="inlineStr">
        <is>
          <t>Réaliser une activité professionnelle principalement en extérieur.</t>
        </is>
      </c>
      <c r="F15" s="9" t="inlineStr">
        <is>
          <t>Passer l’essentiel de sa journée de travail dehors, sur un chantier, un site naturel ou un espace extérieur.</t>
        </is>
      </c>
      <c r="G15" s="9" t="inlineStr">
        <is>
          <t>MOYENNE</t>
        </is>
      </c>
      <c r="H15" s="9" t="inlineStr">
        <is>
          <t>FAIBLE</t>
        </is>
      </c>
      <c r="I15" s="9" t="inlineStr">
        <is>
          <t>FORTE</t>
        </is>
      </c>
      <c r="J15" s="9" t="inlineStr">
        <is>
          <t>MAINTIEN_REECRIT</t>
        </is>
      </c>
      <c r="K15" s="9" t="inlineStr">
        <is>
          <t>Passer l’essentiel de sa journée de travail dehors, sur un chantier, un site naturel ou un espace extérieur.</t>
        </is>
      </c>
      <c r="L15" s="9" t="inlineStr">
        <is>
          <t>Retenu pour couverture de facette et formulation rendue directement concrète.</t>
        </is>
      </c>
      <c r="M15" s="9" t="inlineStr">
        <is>
          <t>PIP-BANK-0.4</t>
        </is>
      </c>
    </row>
    <row r="16">
      <c r="A16" s="9" t="inlineStr">
        <is>
          <t>PIP-SIT-R-R4-015</t>
        </is>
      </c>
      <c r="B16" s="9" t="inlineStr">
        <is>
          <t>R</t>
        </is>
      </c>
      <c r="C16" s="9" t="inlineStr">
        <is>
          <t>R4</t>
        </is>
      </c>
      <c r="D16" s="9" t="inlineStr">
        <is>
          <t>SIT</t>
        </is>
      </c>
      <c r="E16" s="9" t="inlineStr">
        <is>
          <t>Intervenir sur place lorsqu’une situation concrète doit être traitée directement plutôt qu’à distance.</t>
        </is>
      </c>
      <c r="F16" s="9" t="inlineStr">
        <is>
          <t>Un problème apparaît sur un site : aller sur place pour observer la situation et agir immédiatement.</t>
        </is>
      </c>
      <c r="G16" s="9" t="inlineStr">
        <is>
          <t>FAIBLE_A_MOYENNE</t>
        </is>
      </c>
      <c r="H16" s="9" t="inlineStr">
        <is>
          <t>FAIBLE</t>
        </is>
      </c>
      <c r="I16" s="9" t="inlineStr">
        <is>
          <t>FORTE</t>
        </is>
      </c>
      <c r="J16" s="9" t="inlineStr">
        <is>
          <t>RETRAIT_BANQUE72</t>
        </is>
      </c>
      <c r="K16" s="9" t="inlineStr"/>
      <c r="L16" s="9" t="inlineStr">
        <is>
          <t>Historique conservé ; item non nécessaire pour atteindre 12/dimension et ≥2/facette.</t>
        </is>
      </c>
      <c r="M16" s="9" t="inlineStr">
        <is>
          <t>PIP-BANK-0.3</t>
        </is>
      </c>
    </row>
    <row r="17">
      <c r="A17" s="9" t="inlineStr">
        <is>
          <t>PIP-ENV-R-R4-016</t>
        </is>
      </c>
      <c r="B17" s="9" t="inlineStr">
        <is>
          <t>R</t>
        </is>
      </c>
      <c r="C17" s="9" t="inlineStr">
        <is>
          <t>R4</t>
        </is>
      </c>
      <c r="D17" s="9" t="inlineStr">
        <is>
          <t>ENV</t>
        </is>
      </c>
      <c r="E17" s="9" t="inlineStr">
        <is>
          <t>Travailler dans un contexte où l’activité se déroule souvent sur le terrain, au contact direct de l’environnement réel.</t>
        </is>
      </c>
      <c r="F17" s="9" t="inlineStr">
        <is>
          <t>Exercer un métier où l’on est souvent sur le terrain plutôt que derrière un bureau.</t>
        </is>
      </c>
      <c r="G17" s="9" t="inlineStr">
        <is>
          <t>FAIBLE_A_MOYENNE</t>
        </is>
      </c>
      <c r="H17" s="9" t="inlineStr">
        <is>
          <t>FAIBLE</t>
        </is>
      </c>
      <c r="I17" s="9" t="inlineStr">
        <is>
          <t>MOYENNE</t>
        </is>
      </c>
      <c r="J17" s="9" t="inlineStr">
        <is>
          <t>RETRAIT_BANQUE72</t>
        </is>
      </c>
      <c r="K17" s="9" t="inlineStr"/>
      <c r="L17" s="9" t="inlineStr">
        <is>
          <t>Historique conservé ; item non nécessaire pour atteindre 12/dimension et ≥2/facette.</t>
        </is>
      </c>
      <c r="M17" s="9" t="inlineStr">
        <is>
          <t>PIP-BANK-0.3</t>
        </is>
      </c>
    </row>
    <row r="18">
      <c r="A18" s="9" t="inlineStr">
        <is>
          <t>PIP-ACT-R-R5-017</t>
        </is>
      </c>
      <c r="B18" s="9" t="inlineStr">
        <is>
          <t>R</t>
        </is>
      </c>
      <c r="C18" s="9" t="inlineStr">
        <is>
          <t>R5</t>
        </is>
      </c>
      <c r="D18" s="9" t="inlineStr">
        <is>
          <t>ACT</t>
        </is>
      </c>
      <c r="E18" s="9" t="inlineStr">
        <is>
          <t>S’occuper concrètement de plantes ou d’animaux dans le cadre du travail.</t>
        </is>
      </c>
      <c r="F18" s="9" t="inlineStr">
        <is>
          <t>S’occuper concrètement de cultures, de plantes ou d’animaux : nourrir, entretenir, surveiller leur état.</t>
        </is>
      </c>
      <c r="G18" s="9" t="inlineStr">
        <is>
          <t>MOYENNE</t>
        </is>
      </c>
      <c r="H18" s="9" t="inlineStr">
        <is>
          <t>A_SURVEILLER</t>
        </is>
      </c>
      <c r="I18" s="9" t="inlineStr">
        <is>
          <t>FORTE</t>
        </is>
      </c>
      <c r="J18" s="9" t="inlineStr">
        <is>
          <t>MAINTIEN_REECRIT</t>
        </is>
      </c>
      <c r="K18" s="9" t="inlineStr">
        <is>
          <t>S’occuper concrètement de cultures, de plantes ou d’animaux : nourrir, entretenir, surveiller leur état.</t>
        </is>
      </c>
      <c r="L18" s="9" t="inlineStr">
        <is>
          <t>Retenu pour couverture de facette et formulation rendue directement concrète.</t>
        </is>
      </c>
      <c r="M18" s="9" t="inlineStr">
        <is>
          <t>PIP-BANK-0.4</t>
        </is>
      </c>
    </row>
    <row r="19">
      <c r="A19" s="9" t="inlineStr">
        <is>
          <t>PIP-ACT-R-R5-018</t>
        </is>
      </c>
      <c r="B19" s="9" t="inlineStr">
        <is>
          <t>R</t>
        </is>
      </c>
      <c r="C19" s="9" t="inlineStr">
        <is>
          <t>R5</t>
        </is>
      </c>
      <c r="D19" s="9" t="inlineStr">
        <is>
          <t>ACT</t>
        </is>
      </c>
      <c r="E19" s="9" t="inlineStr">
        <is>
          <t>Manipuler des matériaux ou des produits pour réaliser une tâche physique utile.</t>
        </is>
      </c>
      <c r="F19" s="9" t="inlineStr">
        <is>
          <t>Manipuler des matériaux, déplacer des éléments ou préparer physiquement des produits pour réaliser une opération utile.</t>
        </is>
      </c>
      <c r="G19" s="9" t="inlineStr">
        <is>
          <t>MOYENNE</t>
        </is>
      </c>
      <c r="H19" s="9" t="inlineStr">
        <is>
          <t>FAIBLE</t>
        </is>
      </c>
      <c r="I19" s="9" t="inlineStr">
        <is>
          <t>FORTE</t>
        </is>
      </c>
      <c r="J19" s="9" t="inlineStr">
        <is>
          <t>MAINTIEN_REECRIT</t>
        </is>
      </c>
      <c r="K19" s="9" t="inlineStr">
        <is>
          <t>Manipuler des matériaux, déplacer des éléments ou préparer physiquement des produits pour réaliser une opération utile.</t>
        </is>
      </c>
      <c r="L19" s="9" t="inlineStr">
        <is>
          <t>Retenu pour couverture de facette et formulation rendue directement concrète.</t>
        </is>
      </c>
      <c r="M19" s="9" t="inlineStr">
        <is>
          <t>PIP-BANK-0.4</t>
        </is>
      </c>
    </row>
    <row r="20">
      <c r="A20" s="9" t="inlineStr">
        <is>
          <t>PIP-SIT-R-R5-019</t>
        </is>
      </c>
      <c r="B20" s="9" t="inlineStr">
        <is>
          <t>R</t>
        </is>
      </c>
      <c r="C20" s="9" t="inlineStr">
        <is>
          <t>R5</t>
        </is>
      </c>
      <c r="D20" s="9" t="inlineStr">
        <is>
          <t>SIT</t>
        </is>
      </c>
      <c r="E20" s="9" t="inlineStr">
        <is>
          <t>Prendre en charge une activité où il faut agir directement sur du vivant, de la matière ou un environnement physique.</t>
        </is>
      </c>
      <c r="F20" s="9" t="inlineStr">
        <is>
          <t>Prendre en charge une tâche nécessitant d’agir directement sur des matières, des plantes, des animaux ou un espace physique.</t>
        </is>
      </c>
      <c r="G20" s="9" t="inlineStr">
        <is>
          <t>FAIBLE_A_MOYENNE</t>
        </is>
      </c>
      <c r="H20" s="9" t="inlineStr">
        <is>
          <t>FAIBLE</t>
        </is>
      </c>
      <c r="I20" s="9" t="inlineStr">
        <is>
          <t>FORTE</t>
        </is>
      </c>
      <c r="J20" s="9" t="inlineStr">
        <is>
          <t>RETRAIT_BANQUE72</t>
        </is>
      </c>
      <c r="K20" s="9" t="inlineStr"/>
      <c r="L20" s="9" t="inlineStr">
        <is>
          <t>Historique conservé ; item non nécessaire pour atteindre 12/dimension et ≥2/facette.</t>
        </is>
      </c>
      <c r="M20" s="9" t="inlineStr">
        <is>
          <t>PIP-BANK-0.3</t>
        </is>
      </c>
    </row>
    <row r="21">
      <c r="A21" s="9" t="inlineStr">
        <is>
          <t>PIP-ENV-R-R5-020</t>
        </is>
      </c>
      <c r="B21" s="9" t="inlineStr">
        <is>
          <t>R</t>
        </is>
      </c>
      <c r="C21" s="9" t="inlineStr">
        <is>
          <t>R5</t>
        </is>
      </c>
      <c r="D21" s="9" t="inlineStr">
        <is>
          <t>ENV</t>
        </is>
      </c>
      <c r="E21" s="9" t="inlineStr">
        <is>
          <t>Évoluer dans un environnement où le travail implique régulièrement une action physique concrète sur des matières, des plantes, des animaux ou des objets.</t>
        </is>
      </c>
      <c r="F21" s="9" t="inlineStr">
        <is>
          <t>Travailler dans un environnement où l’activité implique régulièrement de manipuler des matières, des objets ou du vivant.</t>
        </is>
      </c>
      <c r="G21" s="9" t="inlineStr">
        <is>
          <t>FAIBLE_A_MOYENNE</t>
        </is>
      </c>
      <c r="H21" s="9" t="inlineStr">
        <is>
          <t>FAIBLE</t>
        </is>
      </c>
      <c r="I21" s="9" t="inlineStr">
        <is>
          <t>MOYENNE</t>
        </is>
      </c>
      <c r="J21" s="9" t="inlineStr">
        <is>
          <t>RETRAIT_BANQUE72</t>
        </is>
      </c>
      <c r="K21" s="9" t="inlineStr"/>
      <c r="L21" s="9" t="inlineStr">
        <is>
          <t>Historique conservé ; item non nécessaire pour atteindre 12/dimension et ≥2/facette.</t>
        </is>
      </c>
      <c r="M21" s="9" t="inlineStr">
        <is>
          <t>PIP-BANK-0.3</t>
        </is>
      </c>
    </row>
    <row r="22">
      <c r="A22" s="9" t="inlineStr">
        <is>
          <t>PIP-ACT-I-I1-001</t>
        </is>
      </c>
      <c r="B22" s="9" t="inlineStr">
        <is>
          <t>I</t>
        </is>
      </c>
      <c r="C22" s="9" t="inlineStr">
        <is>
          <t>I1</t>
        </is>
      </c>
      <c r="D22" s="9" t="inlineStr">
        <is>
          <t>ACT</t>
        </is>
      </c>
      <c r="E22" s="9" t="inlineStr">
        <is>
          <t>Observer attentivement une situation pour en repérer les caractéristiques importantes.</t>
        </is>
      </c>
      <c r="F22" s="9" t="inlineStr">
        <is>
          <t>Observer un fonctionnement, un phénomène ou une situation et relever les détails importants avant de conclure.</t>
        </is>
      </c>
      <c r="G22" s="9" t="inlineStr">
        <is>
          <t>MOYENNE</t>
        </is>
      </c>
      <c r="H22" s="9" t="inlineStr">
        <is>
          <t>FAIBLE</t>
        </is>
      </c>
      <c r="I22" s="9" t="inlineStr">
        <is>
          <t>FORTE</t>
        </is>
      </c>
      <c r="J22" s="9" t="inlineStr">
        <is>
          <t>MAINTIEN_REECRIT</t>
        </is>
      </c>
      <c r="K22" s="9" t="inlineStr">
        <is>
          <t>Observer un fonctionnement, un phénomène ou une situation et relever les détails importants avant de conclure.</t>
        </is>
      </c>
      <c r="L22" s="9" t="inlineStr">
        <is>
          <t>Retenu pour couverture de facette et formulation rendue directement concrète.</t>
        </is>
      </c>
      <c r="M22" s="9" t="inlineStr">
        <is>
          <t>PIP-BANK-0.4</t>
        </is>
      </c>
    </row>
    <row r="23">
      <c r="A23" s="9" t="inlineStr">
        <is>
          <t>PIP-ACT-I-I1-002</t>
        </is>
      </c>
      <c r="B23" s="9" t="inlineStr">
        <is>
          <t>I</t>
        </is>
      </c>
      <c r="C23" s="9" t="inlineStr">
        <is>
          <t>I1</t>
        </is>
      </c>
      <c r="D23" s="9" t="inlineStr">
        <is>
          <t>ACT</t>
        </is>
      </c>
      <c r="E23" s="9" t="inlineStr">
        <is>
          <t>Comparer plusieurs informations ou observations pour identifier ce qui les distingue.</t>
        </is>
      </c>
      <c r="F23" s="9" t="inlineStr">
        <is>
          <t>Comparer deux séries d’informations ou d’observations pour identifier précisément ce qui diffère.</t>
        </is>
      </c>
      <c r="G23" s="9" t="inlineStr">
        <is>
          <t>MOYENNE</t>
        </is>
      </c>
      <c r="H23" s="9" t="inlineStr">
        <is>
          <t>FAIBLE</t>
        </is>
      </c>
      <c r="I23" s="9" t="inlineStr">
        <is>
          <t>FORTE</t>
        </is>
      </c>
      <c r="J23" s="9" t="inlineStr">
        <is>
          <t>MAINTIEN_REECRIT</t>
        </is>
      </c>
      <c r="K23" s="9" t="inlineStr">
        <is>
          <t>Comparer deux séries d’informations ou d’observations pour identifier précisément ce qui diffère.</t>
        </is>
      </c>
      <c r="L23" s="9" t="inlineStr">
        <is>
          <t>Retenu pour couverture de facette et formulation rendue directement concrète.</t>
        </is>
      </c>
      <c r="M23" s="9" t="inlineStr">
        <is>
          <t>PIP-BANK-0.4</t>
        </is>
      </c>
    </row>
    <row r="24">
      <c r="A24" s="9" t="inlineStr">
        <is>
          <t>PIP-SIT-I-I1-003</t>
        </is>
      </c>
      <c r="B24" s="9" t="inlineStr">
        <is>
          <t>I</t>
        </is>
      </c>
      <c r="C24" s="9" t="inlineStr">
        <is>
          <t>I1</t>
        </is>
      </c>
      <c r="D24" s="9" t="inlineStr">
        <is>
          <t>SIT</t>
        </is>
      </c>
      <c r="E24" s="9" t="inlineStr">
        <is>
          <t>Examiner une situation nouvelle afin de comprendre précisément ce qui s’y passe.</t>
        </is>
      </c>
      <c r="F24" s="9" t="inlineStr">
        <is>
          <t>Face à une situation inhabituelle, prendre le temps d’examiner les faits avant d’avancer une explication.</t>
        </is>
      </c>
      <c r="G24" s="9" t="inlineStr">
        <is>
          <t>FAIBLE_A_MOYENNE</t>
        </is>
      </c>
      <c r="H24" s="9" t="inlineStr">
        <is>
          <t>FAIBLE</t>
        </is>
      </c>
      <c r="I24" s="9" t="inlineStr">
        <is>
          <t>FORTE</t>
        </is>
      </c>
      <c r="J24" s="9" t="inlineStr">
        <is>
          <t>MAINTIEN_REECRIT</t>
        </is>
      </c>
      <c r="K24" s="9" t="inlineStr">
        <is>
          <t>Face à une situation inhabituelle, prendre le temps d’examiner les faits avant d’avancer une explication.</t>
        </is>
      </c>
      <c r="L24" s="9" t="inlineStr">
        <is>
          <t>Retenu pour couverture de facette et formulation rendue directement concrète.</t>
        </is>
      </c>
      <c r="M24" s="9" t="inlineStr">
        <is>
          <t>PIP-BANK-0.4</t>
        </is>
      </c>
    </row>
    <row r="25">
      <c r="A25" s="9" t="inlineStr">
        <is>
          <t>PIP-ENV-I-I1-004</t>
        </is>
      </c>
      <c r="B25" s="9" t="inlineStr">
        <is>
          <t>I</t>
        </is>
      </c>
      <c r="C25" s="9" t="inlineStr">
        <is>
          <t>I1</t>
        </is>
      </c>
      <c r="D25" s="9" t="inlineStr">
        <is>
          <t>ENV</t>
        </is>
      </c>
      <c r="E25" s="9" t="inlineStr">
        <is>
          <t>Travailler dans un contexte où l’on dispose de temps pour observer et examiner les faits avant de tirer des conclusions.</t>
        </is>
      </c>
      <c r="F25" s="9" t="inlineStr">
        <is>
          <t>Travailler dans un contexte où l’on peut observer, vérifier et examiner les faits avant de prendre position.</t>
        </is>
      </c>
      <c r="G25" s="9" t="inlineStr">
        <is>
          <t>FAIBLE_A_MOYENNE</t>
        </is>
      </c>
      <c r="H25" s="9" t="inlineStr">
        <is>
          <t>FAIBLE</t>
        </is>
      </c>
      <c r="I25" s="9" t="inlineStr">
        <is>
          <t>MOYENNE</t>
        </is>
      </c>
      <c r="J25" s="9" t="inlineStr">
        <is>
          <t>RETRAIT_BANQUE72</t>
        </is>
      </c>
      <c r="K25" s="9" t="inlineStr"/>
      <c r="L25" s="9" t="inlineStr">
        <is>
          <t>Historique conservé ; item non nécessaire pour atteindre 12/dimension et ≥2/facette.</t>
        </is>
      </c>
      <c r="M25" s="9" t="inlineStr">
        <is>
          <t>PIP-BANK-0.3</t>
        </is>
      </c>
    </row>
    <row r="26">
      <c r="A26" s="9" t="inlineStr">
        <is>
          <t>PIP-ACT-I-I2-005</t>
        </is>
      </c>
      <c r="B26" s="9" t="inlineStr">
        <is>
          <t>I</t>
        </is>
      </c>
      <c r="C26" s="9" t="inlineStr">
        <is>
          <t>I2</t>
        </is>
      </c>
      <c r="D26" s="9" t="inlineStr">
        <is>
          <t>ACT</t>
        </is>
      </c>
      <c r="E26" s="9" t="inlineStr">
        <is>
          <t>Analyser plusieurs informations pour comprendre les liens entre elles.</t>
        </is>
      </c>
      <c r="F26" s="9" t="inlineStr">
        <is>
          <t>Analyser plusieurs données pour comprendre comment elles sont liées et ce qu’elles expliquent.</t>
        </is>
      </c>
      <c r="G26" s="9" t="inlineStr">
        <is>
          <t>MOYENNE</t>
        </is>
      </c>
      <c r="H26" s="9" t="inlineStr">
        <is>
          <t>FAIBLE</t>
        </is>
      </c>
      <c r="I26" s="9" t="inlineStr">
        <is>
          <t>FORTE</t>
        </is>
      </c>
      <c r="J26" s="9" t="inlineStr">
        <is>
          <t>MAINTIEN_REECRIT</t>
        </is>
      </c>
      <c r="K26" s="9" t="inlineStr">
        <is>
          <t>Analyser plusieurs données pour comprendre comment elles sont liées et ce qu’elles expliquent.</t>
        </is>
      </c>
      <c r="L26" s="9" t="inlineStr">
        <is>
          <t>Retenu pour couverture de facette et formulation rendue directement concrète.</t>
        </is>
      </c>
      <c r="M26" s="9" t="inlineStr">
        <is>
          <t>PIP-BANK-0.4</t>
        </is>
      </c>
    </row>
    <row r="27">
      <c r="A27" s="9" t="inlineStr">
        <is>
          <t>PIP-ACT-I-I2-006</t>
        </is>
      </c>
      <c r="B27" s="9" t="inlineStr">
        <is>
          <t>I</t>
        </is>
      </c>
      <c r="C27" s="9" t="inlineStr">
        <is>
          <t>I2</t>
        </is>
      </c>
      <c r="D27" s="9" t="inlineStr">
        <is>
          <t>ACT</t>
        </is>
      </c>
      <c r="E27" s="9" t="inlineStr">
        <is>
          <t>Décomposer un problème complexe en plusieurs éléments pour mieux le comprendre.</t>
        </is>
      </c>
      <c r="F27" s="9" t="inlineStr">
        <is>
          <t>Découper un problème complexe en plusieurs questions plus simples afin d’en comprendre la logique.</t>
        </is>
      </c>
      <c r="G27" s="9" t="inlineStr">
        <is>
          <t>MOYENNE</t>
        </is>
      </c>
      <c r="H27" s="9" t="inlineStr">
        <is>
          <t>FAIBLE</t>
        </is>
      </c>
      <c r="I27" s="9" t="inlineStr">
        <is>
          <t>FORTE</t>
        </is>
      </c>
      <c r="J27" s="9" t="inlineStr">
        <is>
          <t>MAINTIEN_REECRIT</t>
        </is>
      </c>
      <c r="K27" s="9" t="inlineStr">
        <is>
          <t>Découper un problème complexe en plusieurs questions plus simples afin d’en comprendre la logique.</t>
        </is>
      </c>
      <c r="L27" s="9" t="inlineStr">
        <is>
          <t>Retenu pour couverture de facette et formulation rendue directement concrète.</t>
        </is>
      </c>
      <c r="M27" s="9" t="inlineStr">
        <is>
          <t>PIP-BANK-0.4</t>
        </is>
      </c>
    </row>
    <row r="28">
      <c r="A28" s="9" t="inlineStr">
        <is>
          <t>PIP-SIT-I-I2-007</t>
        </is>
      </c>
      <c r="B28" s="9" t="inlineStr">
        <is>
          <t>I</t>
        </is>
      </c>
      <c r="C28" s="9" t="inlineStr">
        <is>
          <t>I2</t>
        </is>
      </c>
      <c r="D28" s="9" t="inlineStr">
        <is>
          <t>SIT</t>
        </is>
      </c>
      <c r="E28" s="9" t="inlineStr">
        <is>
          <t>Faire face à un problème où il faut raisonner étape par étape avant de trouver une explication.</t>
        </is>
      </c>
      <c r="F28" s="9" t="inlineStr">
        <is>
          <t>Un problème n’a pas de réponse évidente : raisonner étape par étape pour comprendre ce qui se passe.</t>
        </is>
      </c>
      <c r="G28" s="9" t="inlineStr">
        <is>
          <t>FAIBLE_A_MOYENNE</t>
        </is>
      </c>
      <c r="H28" s="9" t="inlineStr">
        <is>
          <t>FAIBLE</t>
        </is>
      </c>
      <c r="I28" s="9" t="inlineStr">
        <is>
          <t>FORTE</t>
        </is>
      </c>
      <c r="J28" s="9" t="inlineStr">
        <is>
          <t>MAINTIEN_REECRIT</t>
        </is>
      </c>
      <c r="K28" s="9" t="inlineStr">
        <is>
          <t>Un problème n’a pas de réponse évidente : raisonner étape par étape pour comprendre ce qui se passe.</t>
        </is>
      </c>
      <c r="L28" s="9" t="inlineStr">
        <is>
          <t>Retenu pour couverture de facette et formulation rendue directement concrète.</t>
        </is>
      </c>
      <c r="M28" s="9" t="inlineStr">
        <is>
          <t>PIP-BANK-0.4</t>
        </is>
      </c>
    </row>
    <row r="29">
      <c r="A29" s="9" t="inlineStr">
        <is>
          <t>PIP-ENV-I-I2-008</t>
        </is>
      </c>
      <c r="B29" s="9" t="inlineStr">
        <is>
          <t>I</t>
        </is>
      </c>
      <c r="C29" s="9" t="inlineStr">
        <is>
          <t>I2</t>
        </is>
      </c>
      <c r="D29" s="9" t="inlineStr">
        <is>
          <t>ENV</t>
        </is>
      </c>
      <c r="E29" s="9" t="inlineStr">
        <is>
          <t>Évoluer dans un contexte où l’on doit régulièrement interpréter des informations et construire un raisonnement.</t>
        </is>
      </c>
      <c r="F29" s="9" t="inlineStr">
        <is>
          <t>Exercer dans un environnement où l’on doit souvent interpréter des informations et construire un raisonnement argumenté.</t>
        </is>
      </c>
      <c r="G29" s="9" t="inlineStr">
        <is>
          <t>FAIBLE_A_MOYENNE</t>
        </is>
      </c>
      <c r="H29" s="9" t="inlineStr">
        <is>
          <t>FAIBLE</t>
        </is>
      </c>
      <c r="I29" s="9" t="inlineStr">
        <is>
          <t>MOYENNE</t>
        </is>
      </c>
      <c r="J29" s="9" t="inlineStr">
        <is>
          <t>RETRAIT_BANQUE72</t>
        </is>
      </c>
      <c r="K29" s="9" t="inlineStr"/>
      <c r="L29" s="9" t="inlineStr">
        <is>
          <t>Historique conservé ; item non nécessaire pour atteindre 12/dimension et ≥2/facette.</t>
        </is>
      </c>
      <c r="M29" s="9" t="inlineStr">
        <is>
          <t>PIP-BANK-0.3</t>
        </is>
      </c>
    </row>
    <row r="30">
      <c r="A30" s="9" t="inlineStr">
        <is>
          <t>PIP-ACT-I-I3-009</t>
        </is>
      </c>
      <c r="B30" s="9" t="inlineStr">
        <is>
          <t>I</t>
        </is>
      </c>
      <c r="C30" s="9" t="inlineStr">
        <is>
          <t>I3</t>
        </is>
      </c>
      <c r="D30" s="9" t="inlineStr">
        <is>
          <t>ACT</t>
        </is>
      </c>
      <c r="E30" s="9" t="inlineStr">
        <is>
          <t>Rechercher des informations provenant de plusieurs sources pour répondre à une question.</t>
        </is>
      </c>
      <c r="F30" s="9" t="inlineStr">
        <is>
          <t>Chercher des informations dans plusieurs sources fiables pour répondre à une question précise.</t>
        </is>
      </c>
      <c r="G30" s="9" t="inlineStr">
        <is>
          <t>MOYENNE</t>
        </is>
      </c>
      <c r="H30" s="9" t="inlineStr">
        <is>
          <t>FAIBLE</t>
        </is>
      </c>
      <c r="I30" s="9" t="inlineStr">
        <is>
          <t>FORTE</t>
        </is>
      </c>
      <c r="J30" s="9" t="inlineStr">
        <is>
          <t>MAINTIEN_REECRIT</t>
        </is>
      </c>
      <c r="K30" s="9" t="inlineStr">
        <is>
          <t>Chercher des informations dans plusieurs sources fiables pour répondre à une question précise.</t>
        </is>
      </c>
      <c r="L30" s="9" t="inlineStr">
        <is>
          <t>Retenu pour couverture de facette et formulation rendue directement concrète.</t>
        </is>
      </c>
      <c r="M30" s="9" t="inlineStr">
        <is>
          <t>PIP-BANK-0.4</t>
        </is>
      </c>
    </row>
    <row r="31">
      <c r="A31" s="9" t="inlineStr">
        <is>
          <t>PIP-ACT-I-I3-010</t>
        </is>
      </c>
      <c r="B31" s="9" t="inlineStr">
        <is>
          <t>I</t>
        </is>
      </c>
      <c r="C31" s="9" t="inlineStr">
        <is>
          <t>I3</t>
        </is>
      </c>
      <c r="D31" s="9" t="inlineStr">
        <is>
          <t>ACT</t>
        </is>
      </c>
      <c r="E31" s="9" t="inlineStr">
        <is>
          <t>Enquêter pour vérifier ce qui est exact lorsqu’une situation reste incertaine.</t>
        </is>
      </c>
      <c r="F31" s="9" t="inlineStr">
        <is>
          <t>Vérifier une information incertaine en recoupant des sources et en recherchant des éléments de preuve.</t>
        </is>
      </c>
      <c r="G31" s="9" t="inlineStr">
        <is>
          <t>MOYENNE</t>
        </is>
      </c>
      <c r="H31" s="9" t="inlineStr">
        <is>
          <t>FAIBLE</t>
        </is>
      </c>
      <c r="I31" s="9" t="inlineStr">
        <is>
          <t>FORTE</t>
        </is>
      </c>
      <c r="J31" s="9" t="inlineStr">
        <is>
          <t>MAINTIEN_REECRIT</t>
        </is>
      </c>
      <c r="K31" s="9" t="inlineStr">
        <is>
          <t>Vérifier une information incertaine en recoupant des sources et en recherchant des éléments de preuve.</t>
        </is>
      </c>
      <c r="L31" s="9" t="inlineStr">
        <is>
          <t>Retenu pour couverture de facette et formulation rendue directement concrète.</t>
        </is>
      </c>
      <c r="M31" s="9" t="inlineStr">
        <is>
          <t>PIP-BANK-0.4</t>
        </is>
      </c>
    </row>
    <row r="32">
      <c r="A32" s="9" t="inlineStr">
        <is>
          <t>PIP-SIT-I-I3-011</t>
        </is>
      </c>
      <c r="B32" s="9" t="inlineStr">
        <is>
          <t>I</t>
        </is>
      </c>
      <c r="C32" s="9" t="inlineStr">
        <is>
          <t>I3</t>
        </is>
      </c>
      <c r="D32" s="9" t="inlineStr">
        <is>
          <t>SIT</t>
        </is>
      </c>
      <c r="E32" s="9" t="inlineStr">
        <is>
          <t>Être confronté à une question sans réponse immédiate et devoir approfondir les recherches pour la comprendre.</t>
        </is>
      </c>
      <c r="F32" s="9" t="inlineStr">
        <is>
          <t>Une question reste sans réponse : approfondir la recherche jusqu’à comprendre les éléments essentiels.</t>
        </is>
      </c>
      <c r="G32" s="9" t="inlineStr">
        <is>
          <t>FAIBLE_A_MOYENNE</t>
        </is>
      </c>
      <c r="H32" s="9" t="inlineStr">
        <is>
          <t>FAIBLE</t>
        </is>
      </c>
      <c r="I32" s="9" t="inlineStr">
        <is>
          <t>FORTE</t>
        </is>
      </c>
      <c r="J32" s="9" t="inlineStr">
        <is>
          <t>RETRAIT_BANQUE72</t>
        </is>
      </c>
      <c r="K32" s="9" t="inlineStr"/>
      <c r="L32" s="9" t="inlineStr">
        <is>
          <t>Historique conservé ; item non nécessaire pour atteindre 12/dimension et ≥2/facette.</t>
        </is>
      </c>
      <c r="M32" s="9" t="inlineStr">
        <is>
          <t>PIP-BANK-0.3</t>
        </is>
      </c>
    </row>
    <row r="33">
      <c r="A33" s="9" t="inlineStr">
        <is>
          <t>PIP-ENV-I-I3-012</t>
        </is>
      </c>
      <c r="B33" s="9" t="inlineStr">
        <is>
          <t>I</t>
        </is>
      </c>
      <c r="C33" s="9" t="inlineStr">
        <is>
          <t>I3</t>
        </is>
      </c>
      <c r="D33" s="9" t="inlineStr">
        <is>
          <t>ENV</t>
        </is>
      </c>
      <c r="E33" s="9" t="inlineStr">
        <is>
          <t>Travailler dans un contexte où l’on peut explorer des sujets, consulter des sources et approfondir des questions.</t>
        </is>
      </c>
      <c r="F33" s="9" t="inlineStr">
        <is>
          <t>Travailler dans un contexte où l’on dispose régulièrement de temps pour chercher, documenter et approfondir des sujets.</t>
        </is>
      </c>
      <c r="G33" s="9" t="inlineStr">
        <is>
          <t>FAIBLE_A_MOYENNE</t>
        </is>
      </c>
      <c r="H33" s="9" t="inlineStr">
        <is>
          <t>FAIBLE</t>
        </is>
      </c>
      <c r="I33" s="9" t="inlineStr">
        <is>
          <t>MOYENNE</t>
        </is>
      </c>
      <c r="J33" s="9" t="inlineStr">
        <is>
          <t>RETRAIT_BANQUE72</t>
        </is>
      </c>
      <c r="K33" s="9" t="inlineStr"/>
      <c r="L33" s="9" t="inlineStr">
        <is>
          <t>Historique conservé ; item non nécessaire pour atteindre 12/dimension et ≥2/facette.</t>
        </is>
      </c>
      <c r="M33" s="9" t="inlineStr">
        <is>
          <t>PIP-BANK-0.3</t>
        </is>
      </c>
    </row>
    <row r="34">
      <c r="A34" s="9" t="inlineStr">
        <is>
          <t>PIP-ACT-I-I4-013</t>
        </is>
      </c>
      <c r="B34" s="9" t="inlineStr">
        <is>
          <t>I</t>
        </is>
      </c>
      <c r="C34" s="9" t="inlineStr">
        <is>
          <t>I4</t>
        </is>
      </c>
      <c r="D34" s="9" t="inlineStr">
        <is>
          <t>ACT</t>
        </is>
      </c>
      <c r="E34" s="9" t="inlineStr">
        <is>
          <t>Tester une hypothèse pour voir si elle se vérifie.</t>
        </is>
      </c>
      <c r="F34" s="9" t="inlineStr">
        <is>
          <t>Tester une hypothèse en définissant une manière simple de vérifier si elle se confirme.</t>
        </is>
      </c>
      <c r="G34" s="9" t="inlineStr">
        <is>
          <t>MOYENNE</t>
        </is>
      </c>
      <c r="H34" s="9" t="inlineStr">
        <is>
          <t>FAIBLE</t>
        </is>
      </c>
      <c r="I34" s="9" t="inlineStr">
        <is>
          <t>FORTE</t>
        </is>
      </c>
      <c r="J34" s="9" t="inlineStr">
        <is>
          <t>MAINTIEN_REECRIT</t>
        </is>
      </c>
      <c r="K34" s="9" t="inlineStr">
        <is>
          <t>Tester une hypothèse en définissant une manière simple de vérifier si elle se confirme.</t>
        </is>
      </c>
      <c r="L34" s="9" t="inlineStr">
        <is>
          <t>Retenu pour couverture de facette et formulation rendue directement concrète.</t>
        </is>
      </c>
      <c r="M34" s="9" t="inlineStr">
        <is>
          <t>PIP-BANK-0.4</t>
        </is>
      </c>
    </row>
    <row r="35">
      <c r="A35" s="9" t="inlineStr">
        <is>
          <t>PIP-ACT-I-I4-014</t>
        </is>
      </c>
      <c r="B35" s="9" t="inlineStr">
        <is>
          <t>I</t>
        </is>
      </c>
      <c r="C35" s="9" t="inlineStr">
        <is>
          <t>I4</t>
        </is>
      </c>
      <c r="D35" s="9" t="inlineStr">
        <is>
          <t>ACT</t>
        </is>
      </c>
      <c r="E35" s="9" t="inlineStr">
        <is>
          <t>Comparer plusieurs essais pour comprendre ce qui produit un résultat différent.</t>
        </is>
      </c>
      <c r="F35" s="9" t="inlineStr">
        <is>
          <t>Réaliser plusieurs essais en modifiant un paramètre pour comprendre ce qui change le résultat.</t>
        </is>
      </c>
      <c r="G35" s="9" t="inlineStr">
        <is>
          <t>MOYENNE</t>
        </is>
      </c>
      <c r="H35" s="9" t="inlineStr">
        <is>
          <t>FAIBLE</t>
        </is>
      </c>
      <c r="I35" s="9" t="inlineStr">
        <is>
          <t>FORTE</t>
        </is>
      </c>
      <c r="J35" s="9" t="inlineStr">
        <is>
          <t>MAINTIEN_REECRIT</t>
        </is>
      </c>
      <c r="K35" s="9" t="inlineStr">
        <is>
          <t>Réaliser plusieurs essais en modifiant un paramètre pour comprendre ce qui change le résultat.</t>
        </is>
      </c>
      <c r="L35" s="9" t="inlineStr">
        <is>
          <t>Retenu pour couverture de facette et formulation rendue directement concrète.</t>
        </is>
      </c>
      <c r="M35" s="9" t="inlineStr">
        <is>
          <t>PIP-BANK-0.4</t>
        </is>
      </c>
    </row>
    <row r="36">
      <c r="A36" s="9" t="inlineStr">
        <is>
          <t>PIP-SIT-I-I4-015</t>
        </is>
      </c>
      <c r="B36" s="9" t="inlineStr">
        <is>
          <t>I</t>
        </is>
      </c>
      <c r="C36" s="9" t="inlineStr">
        <is>
          <t>I4</t>
        </is>
      </c>
      <c r="D36" s="9" t="inlineStr">
        <is>
          <t>SIT</t>
        </is>
      </c>
      <c r="E36" s="9" t="inlineStr">
        <is>
          <t>Chercher la meilleure explication d’un phénomène en réalisant des essais ou des mesures.</t>
        </is>
      </c>
      <c r="F36" s="9" t="inlineStr">
        <is>
          <t>Pour expliquer un phénomène, effectuer des mesures ou des essais et comparer les résultats obtenus.</t>
        </is>
      </c>
      <c r="G36" s="9" t="inlineStr">
        <is>
          <t>FAIBLE_A_MOYENNE</t>
        </is>
      </c>
      <c r="H36" s="9" t="inlineStr">
        <is>
          <t>FAIBLE</t>
        </is>
      </c>
      <c r="I36" s="9" t="inlineStr">
        <is>
          <t>FORTE</t>
        </is>
      </c>
      <c r="J36" s="9" t="inlineStr">
        <is>
          <t>RETRAIT_BANQUE72</t>
        </is>
      </c>
      <c r="K36" s="9" t="inlineStr"/>
      <c r="L36" s="9" t="inlineStr">
        <is>
          <t>Historique conservé ; item non nécessaire pour atteindre 12/dimension et ≥2/facette.</t>
        </is>
      </c>
      <c r="M36" s="9" t="inlineStr">
        <is>
          <t>PIP-BANK-0.3</t>
        </is>
      </c>
    </row>
    <row r="37">
      <c r="A37" s="9" t="inlineStr">
        <is>
          <t>PIP-ENV-I-I4-016</t>
        </is>
      </c>
      <c r="B37" s="9" t="inlineStr">
        <is>
          <t>I</t>
        </is>
      </c>
      <c r="C37" s="9" t="inlineStr">
        <is>
          <t>I4</t>
        </is>
      </c>
      <c r="D37" s="9" t="inlineStr">
        <is>
          <t>ENV</t>
        </is>
      </c>
      <c r="E37" s="9" t="inlineStr">
        <is>
          <t>Évoluer dans un contexte où l’on peut expérimenter, mesurer et tirer des enseignements des résultats.</t>
        </is>
      </c>
      <c r="F37" s="9" t="inlineStr">
        <is>
          <t>Évoluer dans un environnement où l’on peut tester, mesurer, expérimenter et apprendre des résultats.</t>
        </is>
      </c>
      <c r="G37" s="9" t="inlineStr">
        <is>
          <t>FAIBLE_A_MOYENNE</t>
        </is>
      </c>
      <c r="H37" s="9" t="inlineStr">
        <is>
          <t>FAIBLE</t>
        </is>
      </c>
      <c r="I37" s="9" t="inlineStr">
        <is>
          <t>MOYENNE</t>
        </is>
      </c>
      <c r="J37" s="9" t="inlineStr">
        <is>
          <t>RETRAIT_BANQUE72</t>
        </is>
      </c>
      <c r="K37" s="9" t="inlineStr"/>
      <c r="L37" s="9" t="inlineStr">
        <is>
          <t>Historique conservé ; item non nécessaire pour atteindre 12/dimension et ≥2/facette.</t>
        </is>
      </c>
      <c r="M37" s="9" t="inlineStr">
        <is>
          <t>PIP-BANK-0.3</t>
        </is>
      </c>
    </row>
    <row r="38">
      <c r="A38" s="9" t="inlineStr">
        <is>
          <t>PIP-ACT-I-I5-017</t>
        </is>
      </c>
      <c r="B38" s="9" t="inlineStr">
        <is>
          <t>I</t>
        </is>
      </c>
      <c r="C38" s="9" t="inlineStr">
        <is>
          <t>I5</t>
        </is>
      </c>
      <c r="D38" s="9" t="inlineStr">
        <is>
          <t>ACT</t>
        </is>
      </c>
      <c r="E38" s="9" t="inlineStr">
        <is>
          <t>Chercher la cause d’un problème pour pouvoir l’expliquer.</t>
        </is>
      </c>
      <c r="F38" s="9" t="inlineStr">
        <is>
          <t>Rechercher la cause d’un dysfonctionnement ou d’un phénomène avant de proposer une explication.</t>
        </is>
      </c>
      <c r="G38" s="9" t="inlineStr">
        <is>
          <t>MOYENNE</t>
        </is>
      </c>
      <c r="H38" s="9" t="inlineStr">
        <is>
          <t>FAIBLE</t>
        </is>
      </c>
      <c r="I38" s="9" t="inlineStr">
        <is>
          <t>FORTE</t>
        </is>
      </c>
      <c r="J38" s="9" t="inlineStr">
        <is>
          <t>MAINTIEN_REECRIT</t>
        </is>
      </c>
      <c r="K38" s="9" t="inlineStr">
        <is>
          <t>Rechercher la cause d’un dysfonctionnement ou d’un phénomène avant de proposer une explication.</t>
        </is>
      </c>
      <c r="L38" s="9" t="inlineStr">
        <is>
          <t>Retenu pour couverture de facette et formulation rendue directement concrète.</t>
        </is>
      </c>
      <c r="M38" s="9" t="inlineStr">
        <is>
          <t>PIP-BANK-0.4</t>
        </is>
      </c>
    </row>
    <row r="39">
      <c r="A39" s="9" t="inlineStr">
        <is>
          <t>PIP-ACT-I-I5-018</t>
        </is>
      </c>
      <c r="B39" s="9" t="inlineStr">
        <is>
          <t>I</t>
        </is>
      </c>
      <c r="C39" s="9" t="inlineStr">
        <is>
          <t>I5</t>
        </is>
      </c>
      <c r="D39" s="9" t="inlineStr">
        <is>
          <t>ACT</t>
        </is>
      </c>
      <c r="E39" s="9" t="inlineStr">
        <is>
          <t>Résoudre un problème nouveau en construisant une solution fondée sur les informations disponibles.</t>
        </is>
      </c>
      <c r="F39" s="9" t="inlineStr">
        <is>
          <t>Résoudre un problème nouveau en utilisant les informations disponibles pour construire une solution raisonnée.</t>
        </is>
      </c>
      <c r="G39" s="9" t="inlineStr">
        <is>
          <t>MOYENNE</t>
        </is>
      </c>
      <c r="H39" s="9" t="inlineStr">
        <is>
          <t>FAIBLE</t>
        </is>
      </c>
      <c r="I39" s="9" t="inlineStr">
        <is>
          <t>FORTE</t>
        </is>
      </c>
      <c r="J39" s="9" t="inlineStr">
        <is>
          <t>MAINTIEN_REECRIT</t>
        </is>
      </c>
      <c r="K39" s="9" t="inlineStr">
        <is>
          <t>Résoudre un problème nouveau en utilisant les informations disponibles pour construire une solution raisonnée.</t>
        </is>
      </c>
      <c r="L39" s="9" t="inlineStr">
        <is>
          <t>Retenu pour couverture de facette et formulation rendue directement concrète.</t>
        </is>
      </c>
      <c r="M39" s="9" t="inlineStr">
        <is>
          <t>PIP-BANK-0.4</t>
        </is>
      </c>
    </row>
    <row r="40">
      <c r="A40" s="9" t="inlineStr">
        <is>
          <t>PIP-SIT-I-I5-019</t>
        </is>
      </c>
      <c r="B40" s="9" t="inlineStr">
        <is>
          <t>I</t>
        </is>
      </c>
      <c r="C40" s="9" t="inlineStr">
        <is>
          <t>I5</t>
        </is>
      </c>
      <c r="D40" s="9" t="inlineStr">
        <is>
          <t>SIT</t>
        </is>
      </c>
      <c r="E40" s="9" t="inlineStr">
        <is>
          <t>Prendre en charge une situation complexe dont la solution n’est pas connue à l’avance et qui demande d’abord de comprendre le problème.</t>
        </is>
      </c>
      <c r="F40" s="9" t="inlineStr">
        <is>
          <t>Face à une situation complexe et inédite, comprendre d’abord le problème avant d’élaborer une solution.</t>
        </is>
      </c>
      <c r="G40" s="9" t="inlineStr">
        <is>
          <t>FAIBLE_A_MOYENNE</t>
        </is>
      </c>
      <c r="H40" s="9" t="inlineStr">
        <is>
          <t>A_SURVEILLER</t>
        </is>
      </c>
      <c r="I40" s="9" t="inlineStr">
        <is>
          <t>FORTE</t>
        </is>
      </c>
      <c r="J40" s="9" t="inlineStr">
        <is>
          <t>RETRAIT_BANQUE72</t>
        </is>
      </c>
      <c r="K40" s="9" t="inlineStr"/>
      <c r="L40" s="9" t="inlineStr">
        <is>
          <t>Historique conservé ; item non nécessaire pour atteindre 12/dimension et ≥2/facette.</t>
        </is>
      </c>
      <c r="M40" s="9" t="inlineStr">
        <is>
          <t>PIP-BANK-0.3</t>
        </is>
      </c>
    </row>
    <row r="41">
      <c r="A41" s="9" t="inlineStr">
        <is>
          <t>PIP-ENV-I-I5-020</t>
        </is>
      </c>
      <c r="B41" s="9" t="inlineStr">
        <is>
          <t>I</t>
        </is>
      </c>
      <c r="C41" s="9" t="inlineStr">
        <is>
          <t>I5</t>
        </is>
      </c>
      <c r="D41" s="9" t="inlineStr">
        <is>
          <t>ENV</t>
        </is>
      </c>
      <c r="E41" s="9" t="inlineStr">
        <is>
          <t>Travailler dans un contexte où l’on est régulièrement amené à expliquer des phénomènes ou à résoudre des problèmes qui demandent réflexion et compréhension.</t>
        </is>
      </c>
      <c r="F41" s="9" t="inlineStr">
        <is>
          <t>Travailler dans un contexte où l’on doit fréquemment expliquer des phénomènes ou résoudre des problèmes qui demandent réflexion.</t>
        </is>
      </c>
      <c r="G41" s="9" t="inlineStr">
        <is>
          <t>FAIBLE_A_MOYENNE</t>
        </is>
      </c>
      <c r="H41" s="9" t="inlineStr">
        <is>
          <t>FAIBLE</t>
        </is>
      </c>
      <c r="I41" s="9" t="inlineStr">
        <is>
          <t>MOYENNE</t>
        </is>
      </c>
      <c r="J41" s="9" t="inlineStr">
        <is>
          <t>RETRAIT_BANQUE72</t>
        </is>
      </c>
      <c r="K41" s="9" t="inlineStr"/>
      <c r="L41" s="9" t="inlineStr">
        <is>
          <t>Historique conservé ; item non nécessaire pour atteindre 12/dimension et ≥2/facette.</t>
        </is>
      </c>
      <c r="M41" s="9" t="inlineStr">
        <is>
          <t>PIP-BANK-0.3</t>
        </is>
      </c>
    </row>
    <row r="42">
      <c r="A42" s="9" t="inlineStr">
        <is>
          <t>PIP-ACT-A-A1-001</t>
        </is>
      </c>
      <c r="B42" s="9" t="inlineStr">
        <is>
          <t>A</t>
        </is>
      </c>
      <c r="C42" s="9" t="inlineStr">
        <is>
          <t>A1</t>
        </is>
      </c>
      <c r="D42" s="9" t="inlineStr">
        <is>
          <t>ACT</t>
        </is>
      </c>
      <c r="E42" s="9" t="inlineStr">
        <is>
          <t>Imaginer plusieurs idées nouvelles à partir d’un même sujet.</t>
        </is>
      </c>
      <c r="F42" s="9" t="inlineStr">
        <is>
          <t>Imaginer plusieurs concepts différents pour répondre à un même thème ou à une même demande.</t>
        </is>
      </c>
      <c r="G42" s="9" t="inlineStr">
        <is>
          <t>MOYENNE</t>
        </is>
      </c>
      <c r="H42" s="9" t="inlineStr">
        <is>
          <t>FAIBLE</t>
        </is>
      </c>
      <c r="I42" s="9" t="inlineStr">
        <is>
          <t>FORTE</t>
        </is>
      </c>
      <c r="J42" s="9" t="inlineStr">
        <is>
          <t>MAINTIEN_REECRIT</t>
        </is>
      </c>
      <c r="K42" s="9" t="inlineStr">
        <is>
          <t>Imaginer plusieurs concepts différents pour répondre à un même thème ou à une même demande.</t>
        </is>
      </c>
      <c r="L42" s="9" t="inlineStr">
        <is>
          <t>Retenu pour couverture de facette et formulation rendue directement concrète.</t>
        </is>
      </c>
      <c r="M42" s="9" t="inlineStr">
        <is>
          <t>PIP-BANK-0.4</t>
        </is>
      </c>
    </row>
    <row r="43">
      <c r="A43" s="9" t="inlineStr">
        <is>
          <t>PIP-ACT-A-A1-002</t>
        </is>
      </c>
      <c r="B43" s="9" t="inlineStr">
        <is>
          <t>A</t>
        </is>
      </c>
      <c r="C43" s="9" t="inlineStr">
        <is>
          <t>A1</t>
        </is>
      </c>
      <c r="D43" s="9" t="inlineStr">
        <is>
          <t>ACT</t>
        </is>
      </c>
      <c r="E43" s="9" t="inlineStr">
        <is>
          <t>Inventer une manière originale de présenter ou de réaliser quelque chose.</t>
        </is>
      </c>
      <c r="F43" s="9" t="inlineStr">
        <is>
          <t>Inventer une manière originale de présenter un message, un objet ou une expérience.</t>
        </is>
      </c>
      <c r="G43" s="9" t="inlineStr">
        <is>
          <t>MOYENNE</t>
        </is>
      </c>
      <c r="H43" s="9" t="inlineStr">
        <is>
          <t>FAIBLE</t>
        </is>
      </c>
      <c r="I43" s="9" t="inlineStr">
        <is>
          <t>FORTE</t>
        </is>
      </c>
      <c r="J43" s="9" t="inlineStr">
        <is>
          <t>MAINTIEN_REECRIT</t>
        </is>
      </c>
      <c r="K43" s="9" t="inlineStr">
        <is>
          <t>Inventer une manière originale de présenter un message, un objet ou une expérience.</t>
        </is>
      </c>
      <c r="L43" s="9" t="inlineStr">
        <is>
          <t>Retenu pour couverture de facette et formulation rendue directement concrète.</t>
        </is>
      </c>
      <c r="M43" s="9" t="inlineStr">
        <is>
          <t>PIP-BANK-0.4</t>
        </is>
      </c>
    </row>
    <row r="44">
      <c r="A44" s="9" t="inlineStr">
        <is>
          <t>PIP-SIT-A-A1-003</t>
        </is>
      </c>
      <c r="B44" s="9" t="inlineStr">
        <is>
          <t>A</t>
        </is>
      </c>
      <c r="C44" s="9" t="inlineStr">
        <is>
          <t>A1</t>
        </is>
      </c>
      <c r="D44" s="9" t="inlineStr">
        <is>
          <t>SIT</t>
        </is>
      </c>
      <c r="E44" s="9" t="inlineStr">
        <is>
          <t>Faire face à une demande pour laquelle aucune solution n’est imposée et imaginer une proposition nouvelle.</t>
        </is>
      </c>
      <c r="F44" s="9" t="inlineStr">
        <is>
          <t>Une demande est ouverte et aucune solution n’est imposée : imaginer une proposition nouvelle et personnelle.</t>
        </is>
      </c>
      <c r="G44" s="9" t="inlineStr">
        <is>
          <t>FAIBLE_A_MOYENNE</t>
        </is>
      </c>
      <c r="H44" s="9" t="inlineStr">
        <is>
          <t>FAIBLE</t>
        </is>
      </c>
      <c r="I44" s="9" t="inlineStr">
        <is>
          <t>FORTE</t>
        </is>
      </c>
      <c r="J44" s="9" t="inlineStr">
        <is>
          <t>MAINTIEN_REECRIT</t>
        </is>
      </c>
      <c r="K44" s="9" t="inlineStr">
        <is>
          <t>Une demande est ouverte et aucune solution n’est imposée : imaginer une proposition nouvelle et personnelle.</t>
        </is>
      </c>
      <c r="L44" s="9" t="inlineStr">
        <is>
          <t>Retenu pour couverture de facette et formulation rendue directement concrète.</t>
        </is>
      </c>
      <c r="M44" s="9" t="inlineStr">
        <is>
          <t>PIP-BANK-0.4</t>
        </is>
      </c>
    </row>
    <row r="45">
      <c r="A45" s="9" t="inlineStr">
        <is>
          <t>PIP-ENV-A-A1-004</t>
        </is>
      </c>
      <c r="B45" s="9" t="inlineStr">
        <is>
          <t>A</t>
        </is>
      </c>
      <c r="C45" s="9" t="inlineStr">
        <is>
          <t>A1</t>
        </is>
      </c>
      <c r="D45" s="9" t="inlineStr">
        <is>
          <t>ENV</t>
        </is>
      </c>
      <c r="E45" s="9" t="inlineStr">
        <is>
          <t>Travailler dans un contexte où l’on attend régulièrement des idées nouvelles et où plusieurs pistes sont possibles.</t>
        </is>
      </c>
      <c r="F45" s="9" t="inlineStr">
        <is>
          <t>Travailler dans un contexte où l’on attend des idées nouvelles et où plusieurs réponses créatives sont possibles.</t>
        </is>
      </c>
      <c r="G45" s="9" t="inlineStr">
        <is>
          <t>FAIBLE_A_MOYENNE</t>
        </is>
      </c>
      <c r="H45" s="9" t="inlineStr">
        <is>
          <t>FAIBLE</t>
        </is>
      </c>
      <c r="I45" s="9" t="inlineStr">
        <is>
          <t>MOYENNE</t>
        </is>
      </c>
      <c r="J45" s="9" t="inlineStr">
        <is>
          <t>RETRAIT_BANQUE72</t>
        </is>
      </c>
      <c r="K45" s="9" t="inlineStr"/>
      <c r="L45" s="9" t="inlineStr">
        <is>
          <t>Historique conservé ; item non nécessaire pour atteindre 12/dimension et ≥2/facette.</t>
        </is>
      </c>
      <c r="M45" s="9" t="inlineStr">
        <is>
          <t>PIP-BANK-0.3</t>
        </is>
      </c>
    </row>
    <row r="46">
      <c r="A46" s="9" t="inlineStr">
        <is>
          <t>PIP-ACT-A-A2-005</t>
        </is>
      </c>
      <c r="B46" s="9" t="inlineStr">
        <is>
          <t>A</t>
        </is>
      </c>
      <c r="C46" s="9" t="inlineStr">
        <is>
          <t>A2</t>
        </is>
      </c>
      <c r="D46" s="9" t="inlineStr">
        <is>
          <t>ACT</t>
        </is>
      </c>
      <c r="E46" s="9" t="inlineStr">
        <is>
          <t>Concevoir l’organisation visuelle ou la forme d’un support pour qu’il exprime une intention.</t>
        </is>
      </c>
      <c r="F46" s="9" t="inlineStr">
        <is>
          <t>Concevoir librement la mise en page d’une affiche, d’une brochure ou d’un support visuel pour transmettre une intention.</t>
        </is>
      </c>
      <c r="G46" s="9" t="inlineStr">
        <is>
          <t>MOYENNE</t>
        </is>
      </c>
      <c r="H46" s="9" t="inlineStr">
        <is>
          <t>A_SURVEILLER</t>
        </is>
      </c>
      <c r="I46" s="9" t="inlineStr">
        <is>
          <t>FORTE</t>
        </is>
      </c>
      <c r="J46" s="9" t="inlineStr">
        <is>
          <t>MAINTIEN_REECRIT</t>
        </is>
      </c>
      <c r="K46" s="9" t="inlineStr">
        <is>
          <t>Concevoir librement la mise en page d’une affiche, d’une brochure ou d’un support visuel pour transmettre une intention.</t>
        </is>
      </c>
      <c r="L46" s="9" t="inlineStr">
        <is>
          <t>Retenu pour couverture de facette et formulation rendue directement concrète.</t>
        </is>
      </c>
      <c r="M46" s="9" t="inlineStr">
        <is>
          <t>PIP-BANK-0.4</t>
        </is>
      </c>
    </row>
    <row r="47">
      <c r="A47" s="9" t="inlineStr">
        <is>
          <t>PIP-ACT-A-A2-006</t>
        </is>
      </c>
      <c r="B47" s="9" t="inlineStr">
        <is>
          <t>A</t>
        </is>
      </c>
      <c r="C47" s="9" t="inlineStr">
        <is>
          <t>A2</t>
        </is>
      </c>
      <c r="D47" s="9" t="inlineStr">
        <is>
          <t>ACT</t>
        </is>
      </c>
      <c r="E47" s="9" t="inlineStr">
        <is>
          <t>Composer différents éléments pour créer un ensemble cohérent et personnel.</t>
        </is>
      </c>
      <c r="F47" s="9" t="inlineStr">
        <is>
          <t>Composer un ensemble en choisissant personnellement la disposition des formes, textes, images, sons ou autres éléments.</t>
        </is>
      </c>
      <c r="G47" s="9" t="inlineStr">
        <is>
          <t>MOYENNE</t>
        </is>
      </c>
      <c r="H47" s="9" t="inlineStr">
        <is>
          <t>FAIBLE</t>
        </is>
      </c>
      <c r="I47" s="9" t="inlineStr">
        <is>
          <t>FORTE</t>
        </is>
      </c>
      <c r="J47" s="9" t="inlineStr">
        <is>
          <t>MAINTIEN_REECRIT</t>
        </is>
      </c>
      <c r="K47" s="9" t="inlineStr">
        <is>
          <t>Composer un ensemble en choisissant personnellement la disposition des formes, textes, images, sons ou autres éléments.</t>
        </is>
      </c>
      <c r="L47" s="9" t="inlineStr">
        <is>
          <t>Retenu pour couverture de facette et formulation rendue directement concrète.</t>
        </is>
      </c>
      <c r="M47" s="9" t="inlineStr">
        <is>
          <t>PIP-BANK-0.4</t>
        </is>
      </c>
    </row>
    <row r="48">
      <c r="A48" s="9" t="inlineStr">
        <is>
          <t>PIP-SIT-A-A2-007</t>
        </is>
      </c>
      <c r="B48" s="9" t="inlineStr">
        <is>
          <t>A</t>
        </is>
      </c>
      <c r="C48" s="9" t="inlineStr">
        <is>
          <t>A2</t>
        </is>
      </c>
      <c r="D48" s="9" t="inlineStr">
        <is>
          <t>SIT</t>
        </is>
      </c>
      <c r="E48" s="9" t="inlineStr">
        <is>
          <t>Créer une proposition en choisissant librement la manière d’agencer plusieurs éléments.</t>
        </is>
      </c>
      <c r="F48" s="9" t="inlineStr">
        <is>
          <t>Créer une proposition en décidant librement comment agencer les éléments d’un support visuel, d’un espace ou d’une présentation créative.</t>
        </is>
      </c>
      <c r="G48" s="9" t="inlineStr">
        <is>
          <t>FAIBLE_A_MOYENNE</t>
        </is>
      </c>
      <c r="H48" s="9" t="inlineStr">
        <is>
          <t>FAIBLE</t>
        </is>
      </c>
      <c r="I48" s="9" t="inlineStr">
        <is>
          <t>FORTE</t>
        </is>
      </c>
      <c r="J48" s="9" t="inlineStr">
        <is>
          <t>MAINTIEN_REECRIT</t>
        </is>
      </c>
      <c r="K48" s="9" t="inlineStr">
        <is>
          <t>Créer une proposition en décidant librement comment agencer les éléments d’un support visuel, d’un espace ou d’une présentation créative.</t>
        </is>
      </c>
      <c r="L48" s="9" t="inlineStr">
        <is>
          <t>Retenu pour couverture de facette et formulation rendue directement concrète.</t>
        </is>
      </c>
      <c r="M48" s="9" t="inlineStr">
        <is>
          <t>PIP-BANK-0.4</t>
        </is>
      </c>
    </row>
    <row r="49">
      <c r="A49" s="9" t="inlineStr">
        <is>
          <t>PIP-ENV-A-A2-008</t>
        </is>
      </c>
      <c r="B49" s="9" t="inlineStr">
        <is>
          <t>A</t>
        </is>
      </c>
      <c r="C49" s="9" t="inlineStr">
        <is>
          <t>A2</t>
        </is>
      </c>
      <c r="D49" s="9" t="inlineStr">
        <is>
          <t>ENV</t>
        </is>
      </c>
      <c r="E49" s="9" t="inlineStr">
        <is>
          <t>Évoluer dans un contexte où l’on peut concevoir des formes, des contenus ou des expériences avec une réelle liberté de choix.</t>
        </is>
      </c>
      <c r="F49" s="9" t="inlineStr">
        <is>
          <t>Évoluer dans un contexte où l’on conçoit des formes, contenus ou expériences avec une vraie marge de choix personnel.</t>
        </is>
      </c>
      <c r="G49" s="9" t="inlineStr">
        <is>
          <t>FAIBLE_A_MOYENNE</t>
        </is>
      </c>
      <c r="H49" s="9" t="inlineStr">
        <is>
          <t>FAIBLE</t>
        </is>
      </c>
      <c r="I49" s="9" t="inlineStr">
        <is>
          <t>MOYENNE</t>
        </is>
      </c>
      <c r="J49" s="9" t="inlineStr">
        <is>
          <t>RETRAIT_BANQUE72</t>
        </is>
      </c>
      <c r="K49" s="9" t="inlineStr"/>
      <c r="L49" s="9" t="inlineStr">
        <is>
          <t>Historique conservé ; item non nécessaire pour atteindre 12/dimension et ≥2/facette.</t>
        </is>
      </c>
      <c r="M49" s="9" t="inlineStr">
        <is>
          <t>PIP-BANK-0.3</t>
        </is>
      </c>
    </row>
    <row r="50">
      <c r="A50" s="9" t="inlineStr">
        <is>
          <t>PIP-ACT-A-A3-009</t>
        </is>
      </c>
      <c r="B50" s="9" t="inlineStr">
        <is>
          <t>A</t>
        </is>
      </c>
      <c r="C50" s="9" t="inlineStr">
        <is>
          <t>A3</t>
        </is>
      </c>
      <c r="D50" s="9" t="inlineStr">
        <is>
          <t>ACT</t>
        </is>
      </c>
      <c r="E50" s="9" t="inlineStr">
        <is>
          <t>Écrire un texte pour transmettre une idée, une émotion ou un point de vue.</t>
        </is>
      </c>
      <c r="F50" s="9" t="inlineStr">
        <is>
          <t>Écrire un texte, un récit ou un message destiné à faire ressentir une idée, une émotion ou un point de vue.</t>
        </is>
      </c>
      <c r="G50" s="9" t="inlineStr">
        <is>
          <t>MOYENNE</t>
        </is>
      </c>
      <c r="H50" s="9" t="inlineStr">
        <is>
          <t>FAIBLE</t>
        </is>
      </c>
      <c r="I50" s="9" t="inlineStr">
        <is>
          <t>FORTE</t>
        </is>
      </c>
      <c r="J50" s="9" t="inlineStr">
        <is>
          <t>MAINTIEN_REECRIT</t>
        </is>
      </c>
      <c r="K50" s="9" t="inlineStr">
        <is>
          <t>Écrire un texte, un récit ou un message destiné à faire ressentir une idée, une émotion ou un point de vue.</t>
        </is>
      </c>
      <c r="L50" s="9" t="inlineStr">
        <is>
          <t>Retenu pour couverture de facette et formulation rendue directement concrète.</t>
        </is>
      </c>
      <c r="M50" s="9" t="inlineStr">
        <is>
          <t>PIP-BANK-0.4</t>
        </is>
      </c>
    </row>
    <row r="51">
      <c r="A51" s="9" t="inlineStr">
        <is>
          <t>PIP-ACT-A-A3-010</t>
        </is>
      </c>
      <c r="B51" s="9" t="inlineStr">
        <is>
          <t>A</t>
        </is>
      </c>
      <c r="C51" s="9" t="inlineStr">
        <is>
          <t>A3</t>
        </is>
      </c>
      <c r="D51" s="9" t="inlineStr">
        <is>
          <t>ACT</t>
        </is>
      </c>
      <c r="E51" s="9" t="inlineStr">
        <is>
          <t>Mettre en récit un sujet pour le rendre vivant et expressif.</t>
        </is>
      </c>
      <c r="F51" s="9" t="inlineStr">
        <is>
          <t>Transformer un sujet factuel en récit vivant pour capter l’attention d’un public.</t>
        </is>
      </c>
      <c r="G51" s="9" t="inlineStr">
        <is>
          <t>MOYENNE</t>
        </is>
      </c>
      <c r="H51" s="9" t="inlineStr">
        <is>
          <t>FAIBLE</t>
        </is>
      </c>
      <c r="I51" s="9" t="inlineStr">
        <is>
          <t>FORTE</t>
        </is>
      </c>
      <c r="J51" s="9" t="inlineStr">
        <is>
          <t>MAINTIEN_REECRIT</t>
        </is>
      </c>
      <c r="K51" s="9" t="inlineStr">
        <is>
          <t>Transformer un sujet factuel en récit vivant pour capter l’attention d’un public.</t>
        </is>
      </c>
      <c r="L51" s="9" t="inlineStr">
        <is>
          <t>Retenu pour couverture de facette et formulation rendue directement concrète.</t>
        </is>
      </c>
      <c r="M51" s="9" t="inlineStr">
        <is>
          <t>PIP-BANK-0.4</t>
        </is>
      </c>
    </row>
    <row r="52">
      <c r="A52" s="9" t="inlineStr">
        <is>
          <t>PIP-SIT-A-A3-011</t>
        </is>
      </c>
      <c r="B52" s="9" t="inlineStr">
        <is>
          <t>A</t>
        </is>
      </c>
      <c r="C52" s="9" t="inlineStr">
        <is>
          <t>A3</t>
        </is>
      </c>
      <c r="D52" s="9" t="inlineStr">
        <is>
          <t>SIT</t>
        </is>
      </c>
      <c r="E52" s="9" t="inlineStr">
        <is>
          <t>Trouver une manière personnelle de raconter ou de représenter une histoire, une idée ou une expérience.</t>
        </is>
      </c>
      <c r="F52" s="9" t="inlineStr">
        <is>
          <t>Choisir une manière personnelle de raconter ou représenter une expérience afin qu’elle ait une tonalité propre.</t>
        </is>
      </c>
      <c r="G52" s="9" t="inlineStr">
        <is>
          <t>FAIBLE_A_MOYENNE</t>
        </is>
      </c>
      <c r="H52" s="9" t="inlineStr">
        <is>
          <t>FAIBLE</t>
        </is>
      </c>
      <c r="I52" s="9" t="inlineStr">
        <is>
          <t>FORTE</t>
        </is>
      </c>
      <c r="J52" s="9" t="inlineStr">
        <is>
          <t>RETRAIT_BANQUE72</t>
        </is>
      </c>
      <c r="K52" s="9" t="inlineStr"/>
      <c r="L52" s="9" t="inlineStr">
        <is>
          <t>Historique conservé ; item non nécessaire pour atteindre 12/dimension et ≥2/facette.</t>
        </is>
      </c>
      <c r="M52" s="9" t="inlineStr">
        <is>
          <t>PIP-BANK-0.3</t>
        </is>
      </c>
    </row>
    <row r="53">
      <c r="A53" s="9" t="inlineStr">
        <is>
          <t>PIP-ENV-A-A3-012</t>
        </is>
      </c>
      <c r="B53" s="9" t="inlineStr">
        <is>
          <t>A</t>
        </is>
      </c>
      <c r="C53" s="9" t="inlineStr">
        <is>
          <t>A3</t>
        </is>
      </c>
      <c r="D53" s="9" t="inlineStr">
        <is>
          <t>ENV</t>
        </is>
      </c>
      <c r="E53" s="9" t="inlineStr">
        <is>
          <t>Travailler dans un contexte où l’expression par les mots, les images, le son ou la mise en scène occupe une place importante.</t>
        </is>
      </c>
      <c r="F53" s="9" t="inlineStr">
        <is>
          <t>Travailler dans un environnement où les mots, les images, le son ou la mise en scène servent régulièrement à s’exprimer.</t>
        </is>
      </c>
      <c r="G53" s="9" t="inlineStr">
        <is>
          <t>FAIBLE_A_MOYENNE</t>
        </is>
      </c>
      <c r="H53" s="9" t="inlineStr">
        <is>
          <t>FAIBLE</t>
        </is>
      </c>
      <c r="I53" s="9" t="inlineStr">
        <is>
          <t>MOYENNE</t>
        </is>
      </c>
      <c r="J53" s="9" t="inlineStr">
        <is>
          <t>RETRAIT_BANQUE72</t>
        </is>
      </c>
      <c r="K53" s="9" t="inlineStr"/>
      <c r="L53" s="9" t="inlineStr">
        <is>
          <t>Historique conservé ; item non nécessaire pour atteindre 12/dimension et ≥2/facette.</t>
        </is>
      </c>
      <c r="M53" s="9" t="inlineStr">
        <is>
          <t>PIP-BANK-0.3</t>
        </is>
      </c>
    </row>
    <row r="54">
      <c r="A54" s="9" t="inlineStr">
        <is>
          <t>PIP-ACT-A-A4-013</t>
        </is>
      </c>
      <c r="B54" s="9" t="inlineStr">
        <is>
          <t>A</t>
        </is>
      </c>
      <c r="C54" s="9" t="inlineStr">
        <is>
          <t>A4</t>
        </is>
      </c>
      <c r="D54" s="9" t="inlineStr">
        <is>
          <t>ACT</t>
        </is>
      </c>
      <c r="E54" s="9" t="inlineStr">
        <is>
          <t>Créer une composition visuelle en jouant sur les formes, les images ou les couleurs.</t>
        </is>
      </c>
      <c r="F54" s="9" t="inlineStr">
        <is>
          <t>Créer une affiche, une illustration ou une composition visuelle en jouant librement sur les formes et les couleurs.</t>
        </is>
      </c>
      <c r="G54" s="9" t="inlineStr">
        <is>
          <t>MOYENNE</t>
        </is>
      </c>
      <c r="H54" s="9" t="inlineStr">
        <is>
          <t>FAIBLE</t>
        </is>
      </c>
      <c r="I54" s="9" t="inlineStr">
        <is>
          <t>FORTE</t>
        </is>
      </c>
      <c r="J54" s="9" t="inlineStr">
        <is>
          <t>MAINTIEN_REECRIT</t>
        </is>
      </c>
      <c r="K54" s="9" t="inlineStr">
        <is>
          <t>Créer une affiche, une illustration ou une composition visuelle en jouant librement sur les formes et les couleurs.</t>
        </is>
      </c>
      <c r="L54" s="9" t="inlineStr">
        <is>
          <t>Retenu pour couverture de facette et formulation rendue directement concrète.</t>
        </is>
      </c>
      <c r="M54" s="9" t="inlineStr">
        <is>
          <t>PIP-BANK-0.4</t>
        </is>
      </c>
    </row>
    <row r="55">
      <c r="A55" s="9" t="inlineStr">
        <is>
          <t>PIP-ACT-A-A4-014</t>
        </is>
      </c>
      <c r="B55" s="9" t="inlineStr">
        <is>
          <t>A</t>
        </is>
      </c>
      <c r="C55" s="9" t="inlineStr">
        <is>
          <t>A4</t>
        </is>
      </c>
      <c r="D55" s="9" t="inlineStr">
        <is>
          <t>ACT</t>
        </is>
      </c>
      <c r="E55" s="9" t="inlineStr">
        <is>
          <t>Imaginer une ambiance à partir de sons, d’images, de matières ou d’un espace.</t>
        </is>
      </c>
      <c r="F55" s="9" t="inlineStr">
        <is>
          <t>Imaginer l’ambiance d’un espace, d’un événement ou d’un contenu à partir de sons, d’images, de matières ou de lumière.</t>
        </is>
      </c>
      <c r="G55" s="9" t="inlineStr">
        <is>
          <t>MOYENNE</t>
        </is>
      </c>
      <c r="H55" s="9" t="inlineStr">
        <is>
          <t>FAIBLE</t>
        </is>
      </c>
      <c r="I55" s="9" t="inlineStr">
        <is>
          <t>FORTE</t>
        </is>
      </c>
      <c r="J55" s="9" t="inlineStr">
        <is>
          <t>MAINTIEN_REECRIT</t>
        </is>
      </c>
      <c r="K55" s="9" t="inlineStr">
        <is>
          <t>Imaginer l’ambiance d’un espace, d’un événement ou d’un contenu à partir de sons, d’images, de matières ou de lumière.</t>
        </is>
      </c>
      <c r="L55" s="9" t="inlineStr">
        <is>
          <t>Retenu pour couverture de facette et formulation rendue directement concrète.</t>
        </is>
      </c>
      <c r="M55" s="9" t="inlineStr">
        <is>
          <t>PIP-BANK-0.4</t>
        </is>
      </c>
    </row>
    <row r="56">
      <c r="A56" s="9" t="inlineStr">
        <is>
          <t>PIP-SIT-A-A4-015</t>
        </is>
      </c>
      <c r="B56" s="9" t="inlineStr">
        <is>
          <t>A</t>
        </is>
      </c>
      <c r="C56" s="9" t="inlineStr">
        <is>
          <t>A4</t>
        </is>
      </c>
      <c r="D56" s="9" t="inlineStr">
        <is>
          <t>SIT</t>
        </is>
      </c>
      <c r="E56" s="9" t="inlineStr">
        <is>
          <t>Concevoir une expérience où l’effet visuel, sonore ou sensoriel compte autant que la fonction.</t>
        </is>
      </c>
      <c r="F56" s="9" t="inlineStr">
        <is>
          <t>Concevoir une expérience dans laquelle l’effet visuel, sonore ou sensoriel compte autant que sa fonction pratique.</t>
        </is>
      </c>
      <c r="G56" s="9" t="inlineStr">
        <is>
          <t>FAIBLE_A_MOYENNE</t>
        </is>
      </c>
      <c r="H56" s="9" t="inlineStr">
        <is>
          <t>FAIBLE</t>
        </is>
      </c>
      <c r="I56" s="9" t="inlineStr">
        <is>
          <t>FORTE</t>
        </is>
      </c>
      <c r="J56" s="9" t="inlineStr">
        <is>
          <t>RETRAIT_BANQUE72</t>
        </is>
      </c>
      <c r="K56" s="9" t="inlineStr"/>
      <c r="L56" s="9" t="inlineStr">
        <is>
          <t>Historique conservé ; item non nécessaire pour atteindre 12/dimension et ≥2/facette.</t>
        </is>
      </c>
      <c r="M56" s="9" t="inlineStr">
        <is>
          <t>PIP-BANK-0.3</t>
        </is>
      </c>
    </row>
    <row r="57">
      <c r="A57" s="9" t="inlineStr">
        <is>
          <t>PIP-ENV-A-A4-016</t>
        </is>
      </c>
      <c r="B57" s="9" t="inlineStr">
        <is>
          <t>A</t>
        </is>
      </c>
      <c r="C57" s="9" t="inlineStr">
        <is>
          <t>A4</t>
        </is>
      </c>
      <c r="D57" s="9" t="inlineStr">
        <is>
          <t>ENV</t>
        </is>
      </c>
      <c r="E57" s="9" t="inlineStr">
        <is>
          <t>Évoluer dans un contexte où l’on crée régulièrement des contenus, des espaces ou des objets destinés à produire une impression visuelle ou sensorielle.</t>
        </is>
      </c>
      <c r="F57" s="9" t="inlineStr">
        <is>
          <t>Évoluer dans un contexte où l’on crée régulièrement des contenus ou des espaces destinés à produire une impression visuelle ou sensorielle.</t>
        </is>
      </c>
      <c r="G57" s="9" t="inlineStr">
        <is>
          <t>FAIBLE_A_MOYENNE</t>
        </is>
      </c>
      <c r="H57" s="9" t="inlineStr">
        <is>
          <t>FAIBLE</t>
        </is>
      </c>
      <c r="I57" s="9" t="inlineStr">
        <is>
          <t>MOYENNE</t>
        </is>
      </c>
      <c r="J57" s="9" t="inlineStr">
        <is>
          <t>RETRAIT_BANQUE72</t>
        </is>
      </c>
      <c r="K57" s="9" t="inlineStr"/>
      <c r="L57" s="9" t="inlineStr">
        <is>
          <t>Historique conservé ; item non nécessaire pour atteindre 12/dimension et ≥2/facette.</t>
        </is>
      </c>
      <c r="M57" s="9" t="inlineStr">
        <is>
          <t>PIP-BANK-0.3</t>
        </is>
      </c>
    </row>
    <row r="58">
      <c r="A58" s="9" t="inlineStr">
        <is>
          <t>PIP-ACT-A-A5-017</t>
        </is>
      </c>
      <c r="B58" s="9" t="inlineStr">
        <is>
          <t>A</t>
        </is>
      </c>
      <c r="C58" s="9" t="inlineStr">
        <is>
          <t>A5</t>
        </is>
      </c>
      <c r="D58" s="9" t="inlineStr">
        <is>
          <t>ACT</t>
        </is>
      </c>
      <c r="E58" s="9" t="inlineStr">
        <is>
          <t>Explorer plusieurs pistes créatives avant de choisir celle qui convient le mieux.</t>
        </is>
      </c>
      <c r="F58" s="9" t="inlineStr">
        <is>
          <t>Explorer plusieurs pistes créatives pour un même projet avant de retenir celle qui exprime le mieux l’intention recherchée.</t>
        </is>
      </c>
      <c r="G58" s="9" t="inlineStr">
        <is>
          <t>MOYENNE</t>
        </is>
      </c>
      <c r="H58" s="9" t="inlineStr">
        <is>
          <t>FAIBLE</t>
        </is>
      </c>
      <c r="I58" s="9" t="inlineStr">
        <is>
          <t>FORTE</t>
        </is>
      </c>
      <c r="J58" s="9" t="inlineStr">
        <is>
          <t>MAINTIEN_REECRIT</t>
        </is>
      </c>
      <c r="K58" s="9" t="inlineStr">
        <is>
          <t>Explorer plusieurs pistes créatives pour un même projet avant de retenir celle qui exprime le mieux l’intention recherchée.</t>
        </is>
      </c>
      <c r="L58" s="9" t="inlineStr">
        <is>
          <t>Retenu pour couverture de facette et formulation rendue directement concrète.</t>
        </is>
      </c>
      <c r="M58" s="9" t="inlineStr">
        <is>
          <t>PIP-BANK-0.4</t>
        </is>
      </c>
    </row>
    <row r="59">
      <c r="A59" s="9" t="inlineStr">
        <is>
          <t>PIP-ACT-A-A5-018</t>
        </is>
      </c>
      <c r="B59" s="9" t="inlineStr">
        <is>
          <t>A</t>
        </is>
      </c>
      <c r="C59" s="9" t="inlineStr">
        <is>
          <t>A5</t>
        </is>
      </c>
      <c r="D59" s="9" t="inlineStr">
        <is>
          <t>ACT</t>
        </is>
      </c>
      <c r="E59" s="9" t="inlineStr">
        <is>
          <t>Réinventer une manière habituelle de faire pour proposer une approche originale.</t>
        </is>
      </c>
      <c r="F59" s="9" t="inlineStr">
        <is>
          <t>Repenser une manière habituelle de présenter ou de réaliser quelque chose afin de proposer une approche originale.</t>
        </is>
      </c>
      <c r="G59" s="9" t="inlineStr">
        <is>
          <t>MOYENNE</t>
        </is>
      </c>
      <c r="H59" s="9" t="inlineStr">
        <is>
          <t>FAIBLE</t>
        </is>
      </c>
      <c r="I59" s="9" t="inlineStr">
        <is>
          <t>FORTE</t>
        </is>
      </c>
      <c r="J59" s="9" t="inlineStr">
        <is>
          <t>MAINTIEN_REECRIT</t>
        </is>
      </c>
      <c r="K59" s="9" t="inlineStr">
        <is>
          <t>Repenser une manière habituelle de présenter ou de réaliser quelque chose afin de proposer une approche originale.</t>
        </is>
      </c>
      <c r="L59" s="9" t="inlineStr">
        <is>
          <t>Retenu pour couverture de facette et formulation rendue directement concrète.</t>
        </is>
      </c>
      <c r="M59" s="9" t="inlineStr">
        <is>
          <t>PIP-BANK-0.4</t>
        </is>
      </c>
    </row>
    <row r="60">
      <c r="A60" s="9" t="inlineStr">
        <is>
          <t>PIP-SIT-A-A5-019</t>
        </is>
      </c>
      <c r="B60" s="9" t="inlineStr">
        <is>
          <t>A</t>
        </is>
      </c>
      <c r="C60" s="9" t="inlineStr">
        <is>
          <t>A5</t>
        </is>
      </c>
      <c r="D60" s="9" t="inlineStr">
        <is>
          <t>SIT</t>
        </is>
      </c>
      <c r="E60" s="9" t="inlineStr">
        <is>
          <t>Travailler sur un problème pour lequel plusieurs réponses différentes peuvent être pertinentes.</t>
        </is>
      </c>
      <c r="F60" s="9" t="inlineStr">
        <is>
          <t>Travailler sur une demande ouverte pour laquelle plusieurs réponses créatives différentes peuvent être pertinentes.</t>
        </is>
      </c>
      <c r="G60" s="9" t="inlineStr">
        <is>
          <t>FAIBLE_A_MOYENNE</t>
        </is>
      </c>
      <c r="H60" s="9" t="inlineStr">
        <is>
          <t>A_SURVEILLER</t>
        </is>
      </c>
      <c r="I60" s="9" t="inlineStr">
        <is>
          <t>FORTE</t>
        </is>
      </c>
      <c r="J60" s="9" t="inlineStr">
        <is>
          <t>RETRAIT_BANQUE72</t>
        </is>
      </c>
      <c r="K60" s="9" t="inlineStr"/>
      <c r="L60" s="9" t="inlineStr">
        <is>
          <t>Historique conservé ; item non nécessaire pour atteindre 12/dimension et ≥2/facette.</t>
        </is>
      </c>
      <c r="M60" s="9" t="inlineStr">
        <is>
          <t>PIP-BANK-0.3</t>
        </is>
      </c>
    </row>
    <row r="61">
      <c r="A61" s="9" t="inlineStr">
        <is>
          <t>PIP-ENV-A-A5-020</t>
        </is>
      </c>
      <c r="B61" s="9" t="inlineStr">
        <is>
          <t>A</t>
        </is>
      </c>
      <c r="C61" s="9" t="inlineStr">
        <is>
          <t>A5</t>
        </is>
      </c>
      <c r="D61" s="9" t="inlineStr">
        <is>
          <t>ENV</t>
        </is>
      </c>
      <c r="E61" s="9" t="inlineStr">
        <is>
          <t>Évoluer dans un contexte où les consignes laissent une place importante à l’interprétation personnelle et à l’expérimentation créative.</t>
        </is>
      </c>
      <c r="F61" s="9" t="inlineStr">
        <is>
          <t>Évoluer dans un environnement où les consignes laissent volontairement une large place à l’interprétation et à l’expérimentation créative.</t>
        </is>
      </c>
      <c r="G61" s="9" t="inlineStr">
        <is>
          <t>FAIBLE_A_MOYENNE</t>
        </is>
      </c>
      <c r="H61" s="9" t="inlineStr">
        <is>
          <t>FAIBLE</t>
        </is>
      </c>
      <c r="I61" s="9" t="inlineStr">
        <is>
          <t>MOYENNE</t>
        </is>
      </c>
      <c r="J61" s="9" t="inlineStr">
        <is>
          <t>RETRAIT_BANQUE72</t>
        </is>
      </c>
      <c r="K61" s="9" t="inlineStr"/>
      <c r="L61" s="9" t="inlineStr">
        <is>
          <t>Historique conservé ; item non nécessaire pour atteindre 12/dimension et ≥2/facette.</t>
        </is>
      </c>
      <c r="M61" s="9" t="inlineStr">
        <is>
          <t>PIP-BANK-0.3</t>
        </is>
      </c>
    </row>
    <row r="62">
      <c r="A62" s="9" t="inlineStr">
        <is>
          <t>PIP-ACT-S-S1-001</t>
        </is>
      </c>
      <c r="B62" s="9" t="inlineStr">
        <is>
          <t>S</t>
        </is>
      </c>
      <c r="C62" s="9" t="inlineStr">
        <is>
          <t>S1</t>
        </is>
      </c>
      <c r="D62" s="9" t="inlineStr">
        <is>
          <t>ACT</t>
        </is>
      </c>
      <c r="E62" s="9" t="inlineStr">
        <is>
          <t>Expliquer un sujet à une personne pour l’aider à le comprendre.</t>
        </is>
      </c>
      <c r="F62" s="9" t="inlineStr">
        <is>
          <t>Expliquer une notion à une personne jusqu’à ce qu’elle puisse la comprendre par elle-même.</t>
        </is>
      </c>
      <c r="G62" s="9" t="inlineStr">
        <is>
          <t>MOYENNE</t>
        </is>
      </c>
      <c r="H62" s="9" t="inlineStr">
        <is>
          <t>FAIBLE</t>
        </is>
      </c>
      <c r="I62" s="9" t="inlineStr">
        <is>
          <t>FORTE</t>
        </is>
      </c>
      <c r="J62" s="9" t="inlineStr">
        <is>
          <t>MAINTIEN_REECRIT</t>
        </is>
      </c>
      <c r="K62" s="9" t="inlineStr">
        <is>
          <t>Expliquer une notion à une personne jusqu’à ce qu’elle puisse la comprendre par elle-même.</t>
        </is>
      </c>
      <c r="L62" s="9" t="inlineStr">
        <is>
          <t>Retenu pour couverture de facette et formulation rendue directement concrète.</t>
        </is>
      </c>
      <c r="M62" s="9" t="inlineStr">
        <is>
          <t>PIP-BANK-0.4</t>
        </is>
      </c>
    </row>
    <row r="63">
      <c r="A63" s="9" t="inlineStr">
        <is>
          <t>PIP-ACT-S-S1-002</t>
        </is>
      </c>
      <c r="B63" s="9" t="inlineStr">
        <is>
          <t>S</t>
        </is>
      </c>
      <c r="C63" s="9" t="inlineStr">
        <is>
          <t>S1</t>
        </is>
      </c>
      <c r="D63" s="9" t="inlineStr">
        <is>
          <t>ACT</t>
        </is>
      </c>
      <c r="E63" s="9" t="inlineStr">
        <is>
          <t>Montrer à quelqu’un comment réaliser une tâche afin qu’il puisse ensuite la faire seul.</t>
        </is>
      </c>
      <c r="F63" s="9" t="inlineStr">
        <is>
          <t>Montrer étape par étape à quelqu’un comment réaliser une tâche pour qu’il puisse ensuite la refaire seul.</t>
        </is>
      </c>
      <c r="G63" s="9" t="inlineStr">
        <is>
          <t>MOYENNE</t>
        </is>
      </c>
      <c r="H63" s="9" t="inlineStr">
        <is>
          <t>FAIBLE</t>
        </is>
      </c>
      <c r="I63" s="9" t="inlineStr">
        <is>
          <t>FORTE</t>
        </is>
      </c>
      <c r="J63" s="9" t="inlineStr">
        <is>
          <t>MAINTIEN_REECRIT</t>
        </is>
      </c>
      <c r="K63" s="9" t="inlineStr">
        <is>
          <t>Montrer étape par étape à quelqu’un comment réaliser une tâche pour qu’il puisse ensuite la refaire seul.</t>
        </is>
      </c>
      <c r="L63" s="9" t="inlineStr">
        <is>
          <t>Retenu pour couverture de facette et formulation rendue directement concrète.</t>
        </is>
      </c>
      <c r="M63" s="9" t="inlineStr">
        <is>
          <t>PIP-BANK-0.4</t>
        </is>
      </c>
    </row>
    <row r="64">
      <c r="A64" s="9" t="inlineStr">
        <is>
          <t>PIP-SIT-S-S1-003</t>
        </is>
      </c>
      <c r="B64" s="9" t="inlineStr">
        <is>
          <t>S</t>
        </is>
      </c>
      <c r="C64" s="9" t="inlineStr">
        <is>
          <t>S1</t>
        </is>
      </c>
      <c r="D64" s="9" t="inlineStr">
        <is>
          <t>SIT</t>
        </is>
      </c>
      <c r="E64" s="9" t="inlineStr">
        <is>
          <t>Adapter sa manière d’expliquer lorsqu’une personne ne comprend pas du premier coup.</t>
        </is>
      </c>
      <c r="F64" s="9" t="inlineStr">
        <is>
          <t>Une personne ne comprend pas une première explication : chercher une autre manière de lui présenter les choses.</t>
        </is>
      </c>
      <c r="G64" s="9" t="inlineStr">
        <is>
          <t>FAIBLE_A_MOYENNE</t>
        </is>
      </c>
      <c r="H64" s="9" t="inlineStr">
        <is>
          <t>FAIBLE</t>
        </is>
      </c>
      <c r="I64" s="9" t="inlineStr">
        <is>
          <t>FORTE</t>
        </is>
      </c>
      <c r="J64" s="9" t="inlineStr">
        <is>
          <t>MAINTIEN_REECRIT</t>
        </is>
      </c>
      <c r="K64" s="9" t="inlineStr">
        <is>
          <t>Une personne ne comprend pas une première explication : chercher une autre manière de lui présenter les choses.</t>
        </is>
      </c>
      <c r="L64" s="9" t="inlineStr">
        <is>
          <t>Retenu pour couverture de facette et formulation rendue directement concrète.</t>
        </is>
      </c>
      <c r="M64" s="9" t="inlineStr">
        <is>
          <t>PIP-BANK-0.4</t>
        </is>
      </c>
    </row>
    <row r="65">
      <c r="A65" s="9" t="inlineStr">
        <is>
          <t>PIP-ENV-S-S1-004</t>
        </is>
      </c>
      <c r="B65" s="9" t="inlineStr">
        <is>
          <t>S</t>
        </is>
      </c>
      <c r="C65" s="9" t="inlineStr">
        <is>
          <t>S1</t>
        </is>
      </c>
      <c r="D65" s="9" t="inlineStr">
        <is>
          <t>ENV</t>
        </is>
      </c>
      <c r="E65" s="9" t="inlineStr">
        <is>
          <t>Travailler dans un contexte où l’on aide régulièrement d’autres personnes à apprendre ou à progresser.</t>
        </is>
      </c>
      <c r="F65" s="9" t="inlineStr">
        <is>
          <t>Travailler dans un contexte où l’on consacre régulièrement du temps à aider d’autres personnes à apprendre ou progresser.</t>
        </is>
      </c>
      <c r="G65" s="9" t="inlineStr">
        <is>
          <t>FAIBLE_A_MOYENNE</t>
        </is>
      </c>
      <c r="H65" s="9" t="inlineStr">
        <is>
          <t>FAIBLE</t>
        </is>
      </c>
      <c r="I65" s="9" t="inlineStr">
        <is>
          <t>MOYENNE</t>
        </is>
      </c>
      <c r="J65" s="9" t="inlineStr">
        <is>
          <t>RETRAIT_BANQUE72</t>
        </is>
      </c>
      <c r="K65" s="9" t="inlineStr"/>
      <c r="L65" s="9" t="inlineStr">
        <is>
          <t>Historique conservé ; item non nécessaire pour atteindre 12/dimension et ≥2/facette.</t>
        </is>
      </c>
      <c r="M65" s="9" t="inlineStr">
        <is>
          <t>PIP-BANK-0.3</t>
        </is>
      </c>
    </row>
    <row r="66">
      <c r="A66" s="9" t="inlineStr">
        <is>
          <t>PIP-ACT-S-S2-005</t>
        </is>
      </c>
      <c r="B66" s="9" t="inlineStr">
        <is>
          <t>S</t>
        </is>
      </c>
      <c r="C66" s="9" t="inlineStr">
        <is>
          <t>S2</t>
        </is>
      </c>
      <c r="D66" s="9" t="inlineStr">
        <is>
          <t>ACT</t>
        </is>
      </c>
      <c r="E66" s="9" t="inlineStr">
        <is>
          <t>Accompagner une personne dans la réalisation d’un objectif qui compte pour elle.</t>
        </is>
      </c>
      <c r="F66" s="9" t="inlineStr">
        <is>
          <t>Accompagner une personne dans les étapes nécessaires pour atteindre un objectif qui compte pour elle.</t>
        </is>
      </c>
      <c r="G66" s="9" t="inlineStr">
        <is>
          <t>MOYENNE</t>
        </is>
      </c>
      <c r="H66" s="9" t="inlineStr">
        <is>
          <t>FAIBLE</t>
        </is>
      </c>
      <c r="I66" s="9" t="inlineStr">
        <is>
          <t>FORTE</t>
        </is>
      </c>
      <c r="J66" s="9" t="inlineStr">
        <is>
          <t>MAINTIEN_REECRIT</t>
        </is>
      </c>
      <c r="K66" s="9" t="inlineStr">
        <is>
          <t>Accompagner une personne dans les étapes nécessaires pour atteindre un objectif qui compte pour elle.</t>
        </is>
      </c>
      <c r="L66" s="9" t="inlineStr">
        <is>
          <t>Retenu pour couverture de facette et formulation rendue directement concrète.</t>
        </is>
      </c>
      <c r="M66" s="9" t="inlineStr">
        <is>
          <t>PIP-BANK-0.4</t>
        </is>
      </c>
    </row>
    <row r="67">
      <c r="A67" s="9" t="inlineStr">
        <is>
          <t>PIP-ACT-S-S2-006</t>
        </is>
      </c>
      <c r="B67" s="9" t="inlineStr">
        <is>
          <t>S</t>
        </is>
      </c>
      <c r="C67" s="9" t="inlineStr">
        <is>
          <t>S2</t>
        </is>
      </c>
      <c r="D67" s="9" t="inlineStr">
        <is>
          <t>ACT</t>
        </is>
      </c>
      <c r="E67" s="9" t="inlineStr">
        <is>
          <t>Soutenir quelqu’un qui rencontre une difficulté dans son parcours.</t>
        </is>
      </c>
      <c r="F67" s="9" t="inlineStr">
        <is>
          <t>Soutenir quelqu’un qui traverse une difficulté professionnelle ou personnelle liée à son parcours.</t>
        </is>
      </c>
      <c r="G67" s="9" t="inlineStr">
        <is>
          <t>MOYENNE</t>
        </is>
      </c>
      <c r="H67" s="9" t="inlineStr">
        <is>
          <t>FAIBLE</t>
        </is>
      </c>
      <c r="I67" s="9" t="inlineStr">
        <is>
          <t>FORTE</t>
        </is>
      </c>
      <c r="J67" s="9" t="inlineStr">
        <is>
          <t>MAINTIEN_REECRIT</t>
        </is>
      </c>
      <c r="K67" s="9" t="inlineStr">
        <is>
          <t>Soutenir quelqu’un qui traverse une difficulté professionnelle ou personnelle liée à son parcours.</t>
        </is>
      </c>
      <c r="L67" s="9" t="inlineStr">
        <is>
          <t>Retenu pour couverture de facette et formulation rendue directement concrète.</t>
        </is>
      </c>
      <c r="M67" s="9" t="inlineStr">
        <is>
          <t>PIP-BANK-0.4</t>
        </is>
      </c>
    </row>
    <row r="68">
      <c r="A68" s="9" t="inlineStr">
        <is>
          <t>PIP-SIT-S-S2-007</t>
        </is>
      </c>
      <c r="B68" s="9" t="inlineStr">
        <is>
          <t>S</t>
        </is>
      </c>
      <c r="C68" s="9" t="inlineStr">
        <is>
          <t>S2</t>
        </is>
      </c>
      <c r="D68" s="9" t="inlineStr">
        <is>
          <t>SIT</t>
        </is>
      </c>
      <c r="E68" s="9" t="inlineStr">
        <is>
          <t>Être aux côtés d’une personne pendant une période de changement et l’aider à avancer.</t>
        </is>
      </c>
      <c r="F68" s="9" t="inlineStr">
        <is>
          <t>Être présent auprès d’une personne pendant un changement important et l’aider à avancer progressivement.</t>
        </is>
      </c>
      <c r="G68" s="9" t="inlineStr">
        <is>
          <t>FAIBLE_A_MOYENNE</t>
        </is>
      </c>
      <c r="H68" s="9" t="inlineStr">
        <is>
          <t>FAIBLE</t>
        </is>
      </c>
      <c r="I68" s="9" t="inlineStr">
        <is>
          <t>FORTE</t>
        </is>
      </c>
      <c r="J68" s="9" t="inlineStr">
        <is>
          <t>MAINTIEN_REECRIT</t>
        </is>
      </c>
      <c r="K68" s="9" t="inlineStr">
        <is>
          <t>Être présent auprès d’une personne pendant un changement important et l’aider à avancer progressivement.</t>
        </is>
      </c>
      <c r="L68" s="9" t="inlineStr">
        <is>
          <t>Retenu pour couverture de facette et formulation rendue directement concrète.</t>
        </is>
      </c>
      <c r="M68" s="9" t="inlineStr">
        <is>
          <t>PIP-BANK-0.4</t>
        </is>
      </c>
    </row>
    <row r="69">
      <c r="A69" s="9" t="inlineStr">
        <is>
          <t>PIP-ENV-S-S2-008</t>
        </is>
      </c>
      <c r="B69" s="9" t="inlineStr">
        <is>
          <t>S</t>
        </is>
      </c>
      <c r="C69" s="9" t="inlineStr">
        <is>
          <t>S2</t>
        </is>
      </c>
      <c r="D69" s="9" t="inlineStr">
        <is>
          <t>ENV</t>
        </is>
      </c>
      <c r="E69" s="9" t="inlineStr">
        <is>
          <t>Évoluer dans un contexte où une part importante du travail consiste à soutenir directement des personnes dans leur progression.</t>
        </is>
      </c>
      <c r="F69" s="9" t="inlineStr">
        <is>
          <t>Évoluer dans un contexte où une part importante du travail consiste à soutenir directement des personnes dans leur progression.</t>
        </is>
      </c>
      <c r="G69" s="9" t="inlineStr">
        <is>
          <t>FAIBLE_A_MOYENNE</t>
        </is>
      </c>
      <c r="H69" s="9" t="inlineStr">
        <is>
          <t>FAIBLE</t>
        </is>
      </c>
      <c r="I69" s="9" t="inlineStr">
        <is>
          <t>MOYENNE</t>
        </is>
      </c>
      <c r="J69" s="9" t="inlineStr">
        <is>
          <t>RETRAIT_BANQUE72</t>
        </is>
      </c>
      <c r="K69" s="9" t="inlineStr"/>
      <c r="L69" s="9" t="inlineStr">
        <is>
          <t>Historique conservé ; item non nécessaire pour atteindre 12/dimension et ≥2/facette.</t>
        </is>
      </c>
      <c r="M69" s="9" t="inlineStr">
        <is>
          <t>PIP-BANK-0.3</t>
        </is>
      </c>
    </row>
    <row r="70">
      <c r="A70" s="9" t="inlineStr">
        <is>
          <t>PIP-ACT-S-S3-009</t>
        </is>
      </c>
      <c r="B70" s="9" t="inlineStr">
        <is>
          <t>S</t>
        </is>
      </c>
      <c r="C70" s="9" t="inlineStr">
        <is>
          <t>S3</t>
        </is>
      </c>
      <c r="D70" s="9" t="inlineStr">
        <is>
          <t>ACT</t>
        </is>
      </c>
      <c r="E70" s="9" t="inlineStr">
        <is>
          <t>Écouter la situation d’une personne puis l’aider à identifier les options qui s’offrent à elle.</t>
        </is>
      </c>
      <c r="F70" s="9" t="inlineStr">
        <is>
          <t>Écouter la situation d’une personne puis l’aider à repérer les différentes options possibles.</t>
        </is>
      </c>
      <c r="G70" s="9" t="inlineStr">
        <is>
          <t>MOYENNE</t>
        </is>
      </c>
      <c r="H70" s="9" t="inlineStr">
        <is>
          <t>A_SURVEILLER</t>
        </is>
      </c>
      <c r="I70" s="9" t="inlineStr">
        <is>
          <t>FORTE</t>
        </is>
      </c>
      <c r="J70" s="9" t="inlineStr">
        <is>
          <t>MAINTIEN_REECRIT</t>
        </is>
      </c>
      <c r="K70" s="9" t="inlineStr">
        <is>
          <t>Écouter la situation d’une personne puis l’aider à repérer les différentes options possibles.</t>
        </is>
      </c>
      <c r="L70" s="9" t="inlineStr">
        <is>
          <t>Retenu pour couverture de facette et formulation rendue directement concrète.</t>
        </is>
      </c>
      <c r="M70" s="9" t="inlineStr">
        <is>
          <t>PIP-BANK-0.4</t>
        </is>
      </c>
    </row>
    <row r="71">
      <c r="A71" s="9" t="inlineStr">
        <is>
          <t>PIP-ACT-S-S3-010</t>
        </is>
      </c>
      <c r="B71" s="9" t="inlineStr">
        <is>
          <t>S</t>
        </is>
      </c>
      <c r="C71" s="9" t="inlineStr">
        <is>
          <t>S3</t>
        </is>
      </c>
      <c r="D71" s="9" t="inlineStr">
        <is>
          <t>ACT</t>
        </is>
      </c>
      <c r="E71" s="9" t="inlineStr">
        <is>
          <t>Donner des informations utiles pour aider quelqu’un à faire un choix.</t>
        </is>
      </c>
      <c r="F71" s="9" t="inlineStr">
        <is>
          <t>Donner à quelqu’un les informations utiles pour qu’il puisse prendre lui-même une décision éclairée.</t>
        </is>
      </c>
      <c r="G71" s="9" t="inlineStr">
        <is>
          <t>MOYENNE</t>
        </is>
      </c>
      <c r="H71" s="9" t="inlineStr">
        <is>
          <t>FAIBLE</t>
        </is>
      </c>
      <c r="I71" s="9" t="inlineStr">
        <is>
          <t>FORTE</t>
        </is>
      </c>
      <c r="J71" s="9" t="inlineStr">
        <is>
          <t>MAINTIEN_REECRIT</t>
        </is>
      </c>
      <c r="K71" s="9" t="inlineStr">
        <is>
          <t>Donner à quelqu’un les informations utiles pour qu’il puisse prendre lui-même une décision éclairée.</t>
        </is>
      </c>
      <c r="L71" s="9" t="inlineStr">
        <is>
          <t>Retenu pour couverture de facette et formulation rendue directement concrète.</t>
        </is>
      </c>
      <c r="M71" s="9" t="inlineStr">
        <is>
          <t>PIP-BANK-0.4</t>
        </is>
      </c>
    </row>
    <row r="72">
      <c r="A72" s="9" t="inlineStr">
        <is>
          <t>PIP-SIT-S-S3-011</t>
        </is>
      </c>
      <c r="B72" s="9" t="inlineStr">
        <is>
          <t>S</t>
        </is>
      </c>
      <c r="C72" s="9" t="inlineStr">
        <is>
          <t>S3</t>
        </is>
      </c>
      <c r="D72" s="9" t="inlineStr">
        <is>
          <t>SIT</t>
        </is>
      </c>
      <c r="E72" s="9" t="inlineStr">
        <is>
          <t>Aider une personne indécise à clarifier ce qui lui conviendrait le mieux sans décider à sa place.</t>
        </is>
      </c>
      <c r="F72" s="9" t="inlineStr">
        <is>
          <t>Une personne hésite entre plusieurs choix : l’aider à clarifier ce qui lui convient sans choisir à sa place.</t>
        </is>
      </c>
      <c r="G72" s="9" t="inlineStr">
        <is>
          <t>FAIBLE_A_MOYENNE</t>
        </is>
      </c>
      <c r="H72" s="9" t="inlineStr">
        <is>
          <t>A_SURVEILLER</t>
        </is>
      </c>
      <c r="I72" s="9" t="inlineStr">
        <is>
          <t>FORTE</t>
        </is>
      </c>
      <c r="J72" s="9" t="inlineStr">
        <is>
          <t>RETRAIT_BANQUE72</t>
        </is>
      </c>
      <c r="K72" s="9" t="inlineStr"/>
      <c r="L72" s="9" t="inlineStr">
        <is>
          <t>Historique conservé ; item non nécessaire pour atteindre 12/dimension et ≥2/facette.</t>
        </is>
      </c>
      <c r="M72" s="9" t="inlineStr">
        <is>
          <t>PIP-BANK-0.3</t>
        </is>
      </c>
    </row>
    <row r="73">
      <c r="A73" s="9" t="inlineStr">
        <is>
          <t>PIP-ENV-S-S3-012</t>
        </is>
      </c>
      <c r="B73" s="9" t="inlineStr">
        <is>
          <t>S</t>
        </is>
      </c>
      <c r="C73" s="9" t="inlineStr">
        <is>
          <t>S3</t>
        </is>
      </c>
      <c r="D73" s="9" t="inlineStr">
        <is>
          <t>ENV</t>
        </is>
      </c>
      <c r="E73" s="9" t="inlineStr">
        <is>
          <t>Travailler dans un contexte où l’on conseille et oriente régulièrement des personnes en fonction de leur situation.</t>
        </is>
      </c>
      <c r="F73" s="9" t="inlineStr">
        <is>
          <t>Travailler dans un contexte où l’on conseille et oriente régulièrement des personnes selon leur situation.</t>
        </is>
      </c>
      <c r="G73" s="9" t="inlineStr">
        <is>
          <t>FAIBLE_A_MOYENNE</t>
        </is>
      </c>
      <c r="H73" s="9" t="inlineStr">
        <is>
          <t>FAIBLE</t>
        </is>
      </c>
      <c r="I73" s="9" t="inlineStr">
        <is>
          <t>MOYENNE</t>
        </is>
      </c>
      <c r="J73" s="9" t="inlineStr">
        <is>
          <t>RETRAIT_BANQUE72</t>
        </is>
      </c>
      <c r="K73" s="9" t="inlineStr"/>
      <c r="L73" s="9" t="inlineStr">
        <is>
          <t>Historique conservé ; item non nécessaire pour atteindre 12/dimension et ≥2/facette.</t>
        </is>
      </c>
      <c r="M73" s="9" t="inlineStr">
        <is>
          <t>PIP-BANK-0.3</t>
        </is>
      </c>
    </row>
    <row r="74">
      <c r="A74" s="9" t="inlineStr">
        <is>
          <t>PIP-ACT-S-S4-013</t>
        </is>
      </c>
      <c r="B74" s="9" t="inlineStr">
        <is>
          <t>S</t>
        </is>
      </c>
      <c r="C74" s="9" t="inlineStr">
        <is>
          <t>S4</t>
        </is>
      </c>
      <c r="D74" s="9" t="inlineStr">
        <is>
          <t>ACT</t>
        </is>
      </c>
      <c r="E74" s="9" t="inlineStr">
        <is>
          <t>Prendre soin d’une personne qui a besoin d’aide pour préserver ou retrouver son bien-être.</t>
        </is>
      </c>
      <c r="F74" s="9" t="inlineStr">
        <is>
          <t>Aider concrètement une personne fragilisée à préserver ou retrouver son confort, sa santé ou son autonomie.</t>
        </is>
      </c>
      <c r="G74" s="9" t="inlineStr">
        <is>
          <t>MOYENNE</t>
        </is>
      </c>
      <c r="H74" s="9" t="inlineStr">
        <is>
          <t>FAIBLE</t>
        </is>
      </c>
      <c r="I74" s="9" t="inlineStr">
        <is>
          <t>FORTE</t>
        </is>
      </c>
      <c r="J74" s="9" t="inlineStr">
        <is>
          <t>MAINTIEN_REECRIT</t>
        </is>
      </c>
      <c r="K74" s="9" t="inlineStr">
        <is>
          <t>Aider concrètement une personne fragilisée à préserver ou retrouver son confort, sa santé ou son autonomie.</t>
        </is>
      </c>
      <c r="L74" s="9" t="inlineStr">
        <is>
          <t>Retenu pour couverture de facette et formulation rendue directement concrète.</t>
        </is>
      </c>
      <c r="M74" s="9" t="inlineStr">
        <is>
          <t>PIP-BANK-0.4</t>
        </is>
      </c>
    </row>
    <row r="75">
      <c r="A75" s="9" t="inlineStr">
        <is>
          <t>PIP-ACT-S-S4-014</t>
        </is>
      </c>
      <c r="B75" s="9" t="inlineStr">
        <is>
          <t>S</t>
        </is>
      </c>
      <c r="C75" s="9" t="inlineStr">
        <is>
          <t>S4</t>
        </is>
      </c>
      <c r="D75" s="9" t="inlineStr">
        <is>
          <t>ACT</t>
        </is>
      </c>
      <c r="E75" s="9" t="inlineStr">
        <is>
          <t>Réaliser des gestes d’assistance destinés à protéger la santé ou la sécurité d’une personne.</t>
        </is>
      </c>
      <c r="F75" s="9" t="inlineStr">
        <is>
          <t>Réaliser des gestes d’assistance ou de prévention destinés à protéger la santé ou la sécurité d’une personne.</t>
        </is>
      </c>
      <c r="G75" s="9" t="inlineStr">
        <is>
          <t>MOYENNE</t>
        </is>
      </c>
      <c r="H75" s="9" t="inlineStr">
        <is>
          <t>FAIBLE</t>
        </is>
      </c>
      <c r="I75" s="9" t="inlineStr">
        <is>
          <t>FORTE</t>
        </is>
      </c>
      <c r="J75" s="9" t="inlineStr">
        <is>
          <t>MAINTIEN_REECRIT</t>
        </is>
      </c>
      <c r="K75" s="9" t="inlineStr">
        <is>
          <t>Réaliser des gestes d’assistance ou de prévention destinés à protéger la santé ou la sécurité d’une personne.</t>
        </is>
      </c>
      <c r="L75" s="9" t="inlineStr">
        <is>
          <t>Retenu pour couverture de facette et formulation rendue directement concrète.</t>
        </is>
      </c>
      <c r="M75" s="9" t="inlineStr">
        <is>
          <t>PIP-BANK-0.4</t>
        </is>
      </c>
    </row>
    <row r="76">
      <c r="A76" s="9" t="inlineStr">
        <is>
          <t>PIP-SIT-S-S4-015</t>
        </is>
      </c>
      <c r="B76" s="9" t="inlineStr">
        <is>
          <t>S</t>
        </is>
      </c>
      <c r="C76" s="9" t="inlineStr">
        <is>
          <t>S4</t>
        </is>
      </c>
      <c r="D76" s="9" t="inlineStr">
        <is>
          <t>SIT</t>
        </is>
      </c>
      <c r="E76" s="9" t="inlineStr">
        <is>
          <t>Intervenir auprès d’une personne fragilisée afin de l’aider à retrouver davantage d’autonomie.</t>
        </is>
      </c>
      <c r="F76" s="9" t="inlineStr">
        <is>
          <t>Intervenir auprès d’une personne temporairement en difficulté afin de l’aider à retrouver davantage d’autonomie.</t>
        </is>
      </c>
      <c r="G76" s="9" t="inlineStr">
        <is>
          <t>FAIBLE_A_MOYENNE</t>
        </is>
      </c>
      <c r="H76" s="9" t="inlineStr">
        <is>
          <t>FAIBLE</t>
        </is>
      </c>
      <c r="I76" s="9" t="inlineStr">
        <is>
          <t>FORTE</t>
        </is>
      </c>
      <c r="J76" s="9" t="inlineStr">
        <is>
          <t>RETRAIT_BANQUE72</t>
        </is>
      </c>
      <c r="K76" s="9" t="inlineStr"/>
      <c r="L76" s="9" t="inlineStr">
        <is>
          <t>Historique conservé ; item non nécessaire pour atteindre 12/dimension et ≥2/facette.</t>
        </is>
      </c>
      <c r="M76" s="9" t="inlineStr">
        <is>
          <t>PIP-BANK-0.3</t>
        </is>
      </c>
    </row>
    <row r="77">
      <c r="A77" s="9" t="inlineStr">
        <is>
          <t>PIP-ENV-S-S4-016</t>
        </is>
      </c>
      <c r="B77" s="9" t="inlineStr">
        <is>
          <t>S</t>
        </is>
      </c>
      <c r="C77" s="9" t="inlineStr">
        <is>
          <t>S4</t>
        </is>
      </c>
      <c r="D77" s="9" t="inlineStr">
        <is>
          <t>ENV</t>
        </is>
      </c>
      <c r="E77" s="9" t="inlineStr">
        <is>
          <t>Évoluer dans un contexte où l’on contribue directement à la santé, au bien-être ou à la sécurité des personnes.</t>
        </is>
      </c>
      <c r="F77" s="9" t="inlineStr">
        <is>
          <t>Évoluer dans un contexte où l’on contribue directement au bien-être, à la santé ou à la sécurité des personnes.</t>
        </is>
      </c>
      <c r="G77" s="9" t="inlineStr">
        <is>
          <t>FAIBLE_A_MOYENNE</t>
        </is>
      </c>
      <c r="H77" s="9" t="inlineStr">
        <is>
          <t>FAIBLE</t>
        </is>
      </c>
      <c r="I77" s="9" t="inlineStr">
        <is>
          <t>MOYENNE</t>
        </is>
      </c>
      <c r="J77" s="9" t="inlineStr">
        <is>
          <t>RETRAIT_BANQUE72</t>
        </is>
      </c>
      <c r="K77" s="9" t="inlineStr"/>
      <c r="L77" s="9" t="inlineStr">
        <is>
          <t>Historique conservé ; item non nécessaire pour atteindre 12/dimension et ≥2/facette.</t>
        </is>
      </c>
      <c r="M77" s="9" t="inlineStr">
        <is>
          <t>PIP-BANK-0.3</t>
        </is>
      </c>
    </row>
    <row r="78">
      <c r="A78" s="9" t="inlineStr">
        <is>
          <t>PIP-ACT-S-S5-017</t>
        </is>
      </c>
      <c r="B78" s="9" t="inlineStr">
        <is>
          <t>S</t>
        </is>
      </c>
      <c r="C78" s="9" t="inlineStr">
        <is>
          <t>S5</t>
        </is>
      </c>
      <c r="D78" s="9" t="inlineStr">
        <is>
          <t>ACT</t>
        </is>
      </c>
      <c r="E78" s="9" t="inlineStr">
        <is>
          <t>Accueillir une personne et l’aider à obtenir le service dont elle a besoin.</t>
        </is>
      </c>
      <c r="F78" s="9" t="inlineStr">
        <is>
          <t>Accueillir une personne, comprendre ce dont elle a besoin et l’aider à obtenir le service recherché.</t>
        </is>
      </c>
      <c r="G78" s="9" t="inlineStr">
        <is>
          <t>MOYENNE</t>
        </is>
      </c>
      <c r="H78" s="9" t="inlineStr">
        <is>
          <t>FAIBLE</t>
        </is>
      </c>
      <c r="I78" s="9" t="inlineStr">
        <is>
          <t>FORTE</t>
        </is>
      </c>
      <c r="J78" s="9" t="inlineStr">
        <is>
          <t>MAINTIEN_REECRIT</t>
        </is>
      </c>
      <c r="K78" s="9" t="inlineStr">
        <is>
          <t>Accueillir une personne, comprendre ce dont elle a besoin et l’aider à obtenir le service recherché.</t>
        </is>
      </c>
      <c r="L78" s="9" t="inlineStr">
        <is>
          <t>Retenu pour couverture de facette et formulation rendue directement concrète.</t>
        </is>
      </c>
      <c r="M78" s="9" t="inlineStr">
        <is>
          <t>PIP-BANK-0.4</t>
        </is>
      </c>
    </row>
    <row r="79">
      <c r="A79" s="9" t="inlineStr">
        <is>
          <t>PIP-ACT-S-S5-018</t>
        </is>
      </c>
      <c r="B79" s="9" t="inlineStr">
        <is>
          <t>S</t>
        </is>
      </c>
      <c r="C79" s="9" t="inlineStr">
        <is>
          <t>S5</t>
        </is>
      </c>
      <c r="D79" s="9" t="inlineStr">
        <is>
          <t>ACT</t>
        </is>
      </c>
      <c r="E79" s="9" t="inlineStr">
        <is>
          <t>Répondre concrètement à une demande afin de faciliter la démarche d’une personne.</t>
        </is>
      </c>
      <c r="F79" s="9" t="inlineStr">
        <is>
          <t>Répondre concrètement à la demande d’un usager ou d’un client afin de lui faciliter une démarche.</t>
        </is>
      </c>
      <c r="G79" s="9" t="inlineStr">
        <is>
          <t>MOYENNE</t>
        </is>
      </c>
      <c r="H79" s="9" t="inlineStr">
        <is>
          <t>FAIBLE</t>
        </is>
      </c>
      <c r="I79" s="9" t="inlineStr">
        <is>
          <t>FORTE</t>
        </is>
      </c>
      <c r="J79" s="9" t="inlineStr">
        <is>
          <t>MAINTIEN_REECRIT</t>
        </is>
      </c>
      <c r="K79" s="9" t="inlineStr">
        <is>
          <t>Répondre concrètement à la demande d’un usager ou d’un client afin de lui faciliter une démarche.</t>
        </is>
      </c>
      <c r="L79" s="9" t="inlineStr">
        <is>
          <t>Retenu pour couverture de facette et formulation rendue directement concrète.</t>
        </is>
      </c>
      <c r="M79" s="9" t="inlineStr">
        <is>
          <t>PIP-BANK-0.4</t>
        </is>
      </c>
    </row>
    <row r="80">
      <c r="A80" s="9" t="inlineStr">
        <is>
          <t>PIP-SIT-S-S5-019</t>
        </is>
      </c>
      <c r="B80" s="9" t="inlineStr">
        <is>
          <t>S</t>
        </is>
      </c>
      <c r="C80" s="9" t="inlineStr">
        <is>
          <t>S5</t>
        </is>
      </c>
      <c r="D80" s="9" t="inlineStr">
        <is>
          <t>SIT</t>
        </is>
      </c>
      <c r="E80" s="9" t="inlineStr">
        <is>
          <t>Aider un usager ou un client qui ne sait pas comment accomplir une démarche.</t>
        </is>
      </c>
      <c r="F80" s="9" t="inlineStr">
        <is>
          <t>Une personne ne sait pas comment accomplir une démarche : l’accompagner jusqu’à ce qu’elle sache quoi faire.</t>
        </is>
      </c>
      <c r="G80" s="9" t="inlineStr">
        <is>
          <t>FAIBLE_A_MOYENNE</t>
        </is>
      </c>
      <c r="H80" s="9" t="inlineStr">
        <is>
          <t>FAIBLE</t>
        </is>
      </c>
      <c r="I80" s="9" t="inlineStr">
        <is>
          <t>FORTE</t>
        </is>
      </c>
      <c r="J80" s="9" t="inlineStr">
        <is>
          <t>RETRAIT_BANQUE72</t>
        </is>
      </c>
      <c r="K80" s="9" t="inlineStr"/>
      <c r="L80" s="9" t="inlineStr">
        <is>
          <t>Historique conservé ; item non nécessaire pour atteindre 12/dimension et ≥2/facette.</t>
        </is>
      </c>
      <c r="M80" s="9" t="inlineStr">
        <is>
          <t>PIP-BANK-0.3</t>
        </is>
      </c>
    </row>
    <row r="81">
      <c r="A81" s="9" t="inlineStr">
        <is>
          <t>PIP-ENV-S-S5-020</t>
        </is>
      </c>
      <c r="B81" s="9" t="inlineStr">
        <is>
          <t>S</t>
        </is>
      </c>
      <c r="C81" s="9" t="inlineStr">
        <is>
          <t>S5</t>
        </is>
      </c>
      <c r="D81" s="9" t="inlineStr">
        <is>
          <t>ENV</t>
        </is>
      </c>
      <c r="E81" s="9" t="inlineStr">
        <is>
          <t>Travailler dans un contexte où l’on rend directement des services utiles à des personnes aux besoins variés.</t>
        </is>
      </c>
      <c r="F81" s="9" t="inlineStr">
        <is>
          <t>Travailler dans un environnement où l’on rend directement des services utiles à des personnes aux besoins variés.</t>
        </is>
      </c>
      <c r="G81" s="9" t="inlineStr">
        <is>
          <t>FAIBLE_A_MOYENNE</t>
        </is>
      </c>
      <c r="H81" s="9" t="inlineStr">
        <is>
          <t>FAIBLE</t>
        </is>
      </c>
      <c r="I81" s="9" t="inlineStr">
        <is>
          <t>MOYENNE</t>
        </is>
      </c>
      <c r="J81" s="9" t="inlineStr">
        <is>
          <t>RETRAIT_BANQUE72</t>
        </is>
      </c>
      <c r="K81" s="9" t="inlineStr"/>
      <c r="L81" s="9" t="inlineStr">
        <is>
          <t>Historique conservé ; item non nécessaire pour atteindre 12/dimension et ≥2/facette.</t>
        </is>
      </c>
      <c r="M81" s="9" t="inlineStr">
        <is>
          <t>PIP-BANK-0.3</t>
        </is>
      </c>
    </row>
    <row r="82">
      <c r="A82" s="9" t="inlineStr">
        <is>
          <t>PIP-ACT-E-E1-001</t>
        </is>
      </c>
      <c r="B82" s="9" t="inlineStr">
        <is>
          <t>E</t>
        </is>
      </c>
      <c r="C82" s="9" t="inlineStr">
        <is>
          <t>E1</t>
        </is>
      </c>
      <c r="D82" s="9" t="inlineStr">
        <is>
          <t>ACT</t>
        </is>
      </c>
      <c r="E82" s="9" t="inlineStr">
        <is>
          <t>Lancer un nouveau projet à partir d’une idée ou d’une opportunité.</t>
        </is>
      </c>
      <c r="F82" s="9" t="inlineStr">
        <is>
          <t>Lancer un nouveau service, une activité ou un projet à partir d’une idée ou d’une opportunité identifiée.</t>
        </is>
      </c>
      <c r="G82" s="9" t="inlineStr">
        <is>
          <t>MOYENNE</t>
        </is>
      </c>
      <c r="H82" s="9" t="inlineStr">
        <is>
          <t>FAIBLE</t>
        </is>
      </c>
      <c r="I82" s="9" t="inlineStr">
        <is>
          <t>FORTE</t>
        </is>
      </c>
      <c r="J82" s="9" t="inlineStr">
        <is>
          <t>MAINTIEN_REECRIT</t>
        </is>
      </c>
      <c r="K82" s="9" t="inlineStr">
        <is>
          <t>Lancer un nouveau service, une activité ou un projet à partir d’une idée ou d’une opportunité identifiée.</t>
        </is>
      </c>
      <c r="L82" s="9" t="inlineStr">
        <is>
          <t>Retenu pour couverture de facette et formulation rendue directement concrète.</t>
        </is>
      </c>
      <c r="M82" s="9" t="inlineStr">
        <is>
          <t>PIP-BANK-0.4</t>
        </is>
      </c>
    </row>
    <row r="83">
      <c r="A83" s="9" t="inlineStr">
        <is>
          <t>PIP-ACT-E-E1-002</t>
        </is>
      </c>
      <c r="B83" s="9" t="inlineStr">
        <is>
          <t>E</t>
        </is>
      </c>
      <c r="C83" s="9" t="inlineStr">
        <is>
          <t>E1</t>
        </is>
      </c>
      <c r="D83" s="9" t="inlineStr">
        <is>
          <t>ACT</t>
        </is>
      </c>
      <c r="E83" s="9" t="inlineStr">
        <is>
          <t>Faire progresser un projet en identifiant de nouvelles possibilités de développement.</t>
        </is>
      </c>
      <c r="F83" s="9" t="inlineStr">
        <is>
          <t>Chercher de nouvelles possibilités pour développer un projet, une activité ou une offre existante.</t>
        </is>
      </c>
      <c r="G83" s="9" t="inlineStr">
        <is>
          <t>MOYENNE</t>
        </is>
      </c>
      <c r="H83" s="9" t="inlineStr">
        <is>
          <t>FAIBLE</t>
        </is>
      </c>
      <c r="I83" s="9" t="inlineStr">
        <is>
          <t>FORTE</t>
        </is>
      </c>
      <c r="J83" s="9" t="inlineStr">
        <is>
          <t>MAINTIEN_REECRIT</t>
        </is>
      </c>
      <c r="K83" s="9" t="inlineStr">
        <is>
          <t>Chercher de nouvelles possibilités pour développer un projet, une activité ou une offre existante.</t>
        </is>
      </c>
      <c r="L83" s="9" t="inlineStr">
        <is>
          <t>Retenu pour couverture de facette et formulation rendue directement concrète.</t>
        </is>
      </c>
      <c r="M83" s="9" t="inlineStr">
        <is>
          <t>PIP-BANK-0.4</t>
        </is>
      </c>
    </row>
    <row r="84">
      <c r="A84" s="9" t="inlineStr">
        <is>
          <t>PIP-SIT-E-E1-003</t>
        </is>
      </c>
      <c r="B84" s="9" t="inlineStr">
        <is>
          <t>E</t>
        </is>
      </c>
      <c r="C84" s="9" t="inlineStr">
        <is>
          <t>E1</t>
        </is>
      </c>
      <c r="D84" s="9" t="inlineStr">
        <is>
          <t>SIT</t>
        </is>
      </c>
      <c r="E84" s="9" t="inlineStr">
        <is>
          <t>Voir une opportunité et prendre l’initiative de la transformer en projet concret.</t>
        </is>
      </c>
      <c r="F84" s="9" t="inlineStr">
        <is>
          <t>Repérer une opportunité et prendre l’initiative de réunir les moyens nécessaires pour en faire un projet concret.</t>
        </is>
      </c>
      <c r="G84" s="9" t="inlineStr">
        <is>
          <t>FAIBLE_A_MOYENNE</t>
        </is>
      </c>
      <c r="H84" s="9" t="inlineStr">
        <is>
          <t>FAIBLE</t>
        </is>
      </c>
      <c r="I84" s="9" t="inlineStr">
        <is>
          <t>FORTE</t>
        </is>
      </c>
      <c r="J84" s="9" t="inlineStr">
        <is>
          <t>MAINTIEN_REECRIT</t>
        </is>
      </c>
      <c r="K84" s="9" t="inlineStr">
        <is>
          <t>Repérer une opportunité et prendre l’initiative de réunir les moyens nécessaires pour en faire un projet concret.</t>
        </is>
      </c>
      <c r="L84" s="9" t="inlineStr">
        <is>
          <t>Retenu pour couverture de facette et formulation rendue directement concrète.</t>
        </is>
      </c>
      <c r="M84" s="9" t="inlineStr">
        <is>
          <t>PIP-BANK-0.4</t>
        </is>
      </c>
    </row>
    <row r="85">
      <c r="A85" s="9" t="inlineStr">
        <is>
          <t>PIP-ENV-E-E1-004</t>
        </is>
      </c>
      <c r="B85" s="9" t="inlineStr">
        <is>
          <t>E</t>
        </is>
      </c>
      <c r="C85" s="9" t="inlineStr">
        <is>
          <t>E1</t>
        </is>
      </c>
      <c r="D85" s="9" t="inlineStr">
        <is>
          <t>ENV</t>
        </is>
      </c>
      <c r="E85" s="9" t="inlineStr">
        <is>
          <t>Évoluer dans un contexte où l’on peut proposer des initiatives et faire avancer de nouveaux projets.</t>
        </is>
      </c>
      <c r="F85" s="9" t="inlineStr">
        <is>
          <t>Évoluer dans un environnement où l’on peut proposer des initiatives et faire démarrer de nouveaux projets.</t>
        </is>
      </c>
      <c r="G85" s="9" t="inlineStr">
        <is>
          <t>FAIBLE_A_MOYENNE</t>
        </is>
      </c>
      <c r="H85" s="9" t="inlineStr">
        <is>
          <t>FAIBLE</t>
        </is>
      </c>
      <c r="I85" s="9" t="inlineStr">
        <is>
          <t>MOYENNE</t>
        </is>
      </c>
      <c r="J85" s="9" t="inlineStr">
        <is>
          <t>RETRAIT_BANQUE72</t>
        </is>
      </c>
      <c r="K85" s="9" t="inlineStr"/>
      <c r="L85" s="9" t="inlineStr">
        <is>
          <t>Historique conservé ; item non nécessaire pour atteindre 12/dimension et ≥2/facette.</t>
        </is>
      </c>
      <c r="M85" s="9" t="inlineStr">
        <is>
          <t>PIP-BANK-0.3</t>
        </is>
      </c>
    </row>
    <row r="86">
      <c r="A86" s="9" t="inlineStr">
        <is>
          <t>PIP-ACT-E-E2-005</t>
        </is>
      </c>
      <c r="B86" s="9" t="inlineStr">
        <is>
          <t>E</t>
        </is>
      </c>
      <c r="C86" s="9" t="inlineStr">
        <is>
          <t>E2</t>
        </is>
      </c>
      <c r="D86" s="9" t="inlineStr">
        <is>
          <t>ACT</t>
        </is>
      </c>
      <c r="E86" s="9" t="inlineStr">
        <is>
          <t>Présenter une proposition de façon à donner envie d’y adhérer.</t>
        </is>
      </c>
      <c r="F86" s="9" t="inlineStr">
        <is>
          <t>Présenter une proposition à un client, une équipe ou un partenaire de façon à susciter son adhésion.</t>
        </is>
      </c>
      <c r="G86" s="9" t="inlineStr">
        <is>
          <t>MOYENNE</t>
        </is>
      </c>
      <c r="H86" s="9" t="inlineStr">
        <is>
          <t>FAIBLE</t>
        </is>
      </c>
      <c r="I86" s="9" t="inlineStr">
        <is>
          <t>FORTE</t>
        </is>
      </c>
      <c r="J86" s="9" t="inlineStr">
        <is>
          <t>MAINTIEN_REECRIT</t>
        </is>
      </c>
      <c r="K86" s="9" t="inlineStr">
        <is>
          <t>Présenter une proposition à un client, une équipe ou un partenaire de façon à susciter son adhésion.</t>
        </is>
      </c>
      <c r="L86" s="9" t="inlineStr">
        <is>
          <t>Retenu pour couverture de facette et formulation rendue directement concrète.</t>
        </is>
      </c>
      <c r="M86" s="9" t="inlineStr">
        <is>
          <t>PIP-BANK-0.4</t>
        </is>
      </c>
    </row>
    <row r="87">
      <c r="A87" s="9" t="inlineStr">
        <is>
          <t>PIP-ACT-E-E2-006</t>
        </is>
      </c>
      <c r="B87" s="9" t="inlineStr">
        <is>
          <t>E</t>
        </is>
      </c>
      <c r="C87" s="9" t="inlineStr">
        <is>
          <t>E2</t>
        </is>
      </c>
      <c r="D87" s="9" t="inlineStr">
        <is>
          <t>ACT</t>
        </is>
      </c>
      <c r="E87" s="9" t="inlineStr">
        <is>
          <t>Promouvoir un produit, un service ou une idée auprès d’un public.</t>
        </is>
      </c>
      <c r="F87" s="9" t="inlineStr">
        <is>
          <t>Promouvoir un produit, un service, un projet ou une idée auprès d’un public susceptible d’être intéressé.</t>
        </is>
      </c>
      <c r="G87" s="9" t="inlineStr">
        <is>
          <t>MOYENNE</t>
        </is>
      </c>
      <c r="H87" s="9" t="inlineStr">
        <is>
          <t>FAIBLE</t>
        </is>
      </c>
      <c r="I87" s="9" t="inlineStr">
        <is>
          <t>FORTE</t>
        </is>
      </c>
      <c r="J87" s="9" t="inlineStr">
        <is>
          <t>MAINTIEN_REECRIT</t>
        </is>
      </c>
      <c r="K87" s="9" t="inlineStr">
        <is>
          <t>Promouvoir un produit, un service, un projet ou une idée auprès d’un public susceptible d’être intéressé.</t>
        </is>
      </c>
      <c r="L87" s="9" t="inlineStr">
        <is>
          <t>Retenu pour couverture de facette et formulation rendue directement concrète.</t>
        </is>
      </c>
      <c r="M87" s="9" t="inlineStr">
        <is>
          <t>PIP-BANK-0.4</t>
        </is>
      </c>
    </row>
    <row r="88">
      <c r="A88" s="9" t="inlineStr">
        <is>
          <t>PIP-SIT-E-E2-007</t>
        </is>
      </c>
      <c r="B88" s="9" t="inlineStr">
        <is>
          <t>E</t>
        </is>
      </c>
      <c r="C88" s="9" t="inlineStr">
        <is>
          <t>E2</t>
        </is>
      </c>
      <c r="D88" s="9" t="inlineStr">
        <is>
          <t>SIT</t>
        </is>
      </c>
      <c r="E88" s="9" t="inlineStr">
        <is>
          <t>Défendre une proposition devant des personnes qui hésitent afin d’obtenir leur adhésion.</t>
        </is>
      </c>
      <c r="F88" s="9" t="inlineStr">
        <is>
          <t>Défendre une proposition devant des personnes hésitantes afin de les convaincre de la retenir.</t>
        </is>
      </c>
      <c r="G88" s="9" t="inlineStr">
        <is>
          <t>FAIBLE_A_MOYENNE</t>
        </is>
      </c>
      <c r="H88" s="9" t="inlineStr">
        <is>
          <t>FAIBLE</t>
        </is>
      </c>
      <c r="I88" s="9" t="inlineStr">
        <is>
          <t>FORTE</t>
        </is>
      </c>
      <c r="J88" s="9" t="inlineStr">
        <is>
          <t>MAINTIEN_REECRIT</t>
        </is>
      </c>
      <c r="K88" s="9" t="inlineStr">
        <is>
          <t>Défendre une proposition devant des personnes hésitantes afin de les convaincre de la retenir.</t>
        </is>
      </c>
      <c r="L88" s="9" t="inlineStr">
        <is>
          <t>Retenu pour couverture de facette et formulation rendue directement concrète.</t>
        </is>
      </c>
      <c r="M88" s="9" t="inlineStr">
        <is>
          <t>PIP-BANK-0.4</t>
        </is>
      </c>
    </row>
    <row r="89">
      <c r="A89" s="9" t="inlineStr">
        <is>
          <t>PIP-ENV-E-E2-008</t>
        </is>
      </c>
      <c r="B89" s="9" t="inlineStr">
        <is>
          <t>E</t>
        </is>
      </c>
      <c r="C89" s="9" t="inlineStr">
        <is>
          <t>E2</t>
        </is>
      </c>
      <c r="D89" s="9" t="inlineStr">
        <is>
          <t>ENV</t>
        </is>
      </c>
      <c r="E89" s="9" t="inlineStr">
        <is>
          <t>Travailler dans un contexte où il faut régulièrement présenter, promouvoir ou faire accepter des propositions.</t>
        </is>
      </c>
      <c r="F89" s="9" t="inlineStr">
        <is>
          <t>Travailler dans un contexte où il faut régulièrement présenter, promouvoir ou faire accepter des propositions.</t>
        </is>
      </c>
      <c r="G89" s="9" t="inlineStr">
        <is>
          <t>FAIBLE_A_MOYENNE</t>
        </is>
      </c>
      <c r="H89" s="9" t="inlineStr">
        <is>
          <t>FAIBLE</t>
        </is>
      </c>
      <c r="I89" s="9" t="inlineStr">
        <is>
          <t>MOYENNE</t>
        </is>
      </c>
      <c r="J89" s="9" t="inlineStr">
        <is>
          <t>RETRAIT_BANQUE72</t>
        </is>
      </c>
      <c r="K89" s="9" t="inlineStr"/>
      <c r="L89" s="9" t="inlineStr">
        <is>
          <t>Historique conservé ; item non nécessaire pour atteindre 12/dimension et ≥2/facette.</t>
        </is>
      </c>
      <c r="M89" s="9" t="inlineStr">
        <is>
          <t>PIP-BANK-0.3</t>
        </is>
      </c>
    </row>
    <row r="90">
      <c r="A90" s="9" t="inlineStr">
        <is>
          <t>PIP-ACT-E-E3-009</t>
        </is>
      </c>
      <c r="B90" s="9" t="inlineStr">
        <is>
          <t>E</t>
        </is>
      </c>
      <c r="C90" s="9" t="inlineStr">
        <is>
          <t>E3</t>
        </is>
      </c>
      <c r="D90" s="9" t="inlineStr">
        <is>
          <t>ACT</t>
        </is>
      </c>
      <c r="E90" s="9" t="inlineStr">
        <is>
          <t>Négocier les conditions d’un accord entre plusieurs parties.</t>
        </is>
      </c>
      <c r="F90" s="9" t="inlineStr">
        <is>
          <t>Négocier avec plusieurs parties les conditions d’un accord afin de parvenir à une solution acceptable.</t>
        </is>
      </c>
      <c r="G90" s="9" t="inlineStr">
        <is>
          <t>MOYENNE</t>
        </is>
      </c>
      <c r="H90" s="9" t="inlineStr">
        <is>
          <t>FAIBLE</t>
        </is>
      </c>
      <c r="I90" s="9" t="inlineStr">
        <is>
          <t>FORTE</t>
        </is>
      </c>
      <c r="J90" s="9" t="inlineStr">
        <is>
          <t>MAINTIEN_REECRIT</t>
        </is>
      </c>
      <c r="K90" s="9" t="inlineStr">
        <is>
          <t>Négocier avec plusieurs parties les conditions d’un accord afin de parvenir à une solution acceptable.</t>
        </is>
      </c>
      <c r="L90" s="9" t="inlineStr">
        <is>
          <t>Retenu pour couverture de facette et formulation rendue directement concrète.</t>
        </is>
      </c>
      <c r="M90" s="9" t="inlineStr">
        <is>
          <t>PIP-BANK-0.4</t>
        </is>
      </c>
    </row>
    <row r="91">
      <c r="A91" s="9" t="inlineStr">
        <is>
          <t>PIP-ACT-E-E3-010</t>
        </is>
      </c>
      <c r="B91" s="9" t="inlineStr">
        <is>
          <t>E</t>
        </is>
      </c>
      <c r="C91" s="9" t="inlineStr">
        <is>
          <t>E3</t>
        </is>
      </c>
      <c r="D91" s="9" t="inlineStr">
        <is>
          <t>ACT</t>
        </is>
      </c>
      <c r="E91" s="9" t="inlineStr">
        <is>
          <t>Chercher un compromis lorsque des personnes défendent des intérêts différents.</t>
        </is>
      </c>
      <c r="F91" s="9" t="inlineStr">
        <is>
          <t>Rechercher un compromis lorsque deux personnes ou organisations défendent des intérêts différents.</t>
        </is>
      </c>
      <c r="G91" s="9" t="inlineStr">
        <is>
          <t>MOYENNE</t>
        </is>
      </c>
      <c r="H91" s="9" t="inlineStr">
        <is>
          <t>A_SURVEILLER</t>
        </is>
      </c>
      <c r="I91" s="9" t="inlineStr">
        <is>
          <t>FORTE</t>
        </is>
      </c>
      <c r="J91" s="9" t="inlineStr">
        <is>
          <t>MAINTIEN_REECRIT</t>
        </is>
      </c>
      <c r="K91" s="9" t="inlineStr">
        <is>
          <t>Rechercher un compromis lorsque deux personnes ou organisations défendent des intérêts différents.</t>
        </is>
      </c>
      <c r="L91" s="9" t="inlineStr">
        <is>
          <t>Retenu pour couverture de facette et formulation rendue directement concrète.</t>
        </is>
      </c>
      <c r="M91" s="9" t="inlineStr">
        <is>
          <t>PIP-BANK-0.4</t>
        </is>
      </c>
    </row>
    <row r="92">
      <c r="A92" s="9" t="inlineStr">
        <is>
          <t>PIP-SIT-E-E3-011</t>
        </is>
      </c>
      <c r="B92" s="9" t="inlineStr">
        <is>
          <t>E</t>
        </is>
      </c>
      <c r="C92" s="9" t="inlineStr">
        <is>
          <t>E3</t>
        </is>
      </c>
      <c r="D92" s="9" t="inlineStr">
        <is>
          <t>SIT</t>
        </is>
      </c>
      <c r="E92" s="9" t="inlineStr">
        <is>
          <t>Conduire une discussion où chacun a des attentes différentes afin d’aboutir à un accord.</t>
        </is>
      </c>
      <c r="F92" s="9" t="inlineStr">
        <is>
          <t>Conduire une discussion où chacun a ses contraintes afin d’aboutir à un accord concret.</t>
        </is>
      </c>
      <c r="G92" s="9" t="inlineStr">
        <is>
          <t>FAIBLE_A_MOYENNE</t>
        </is>
      </c>
      <c r="H92" s="9" t="inlineStr">
        <is>
          <t>FAIBLE</t>
        </is>
      </c>
      <c r="I92" s="9" t="inlineStr">
        <is>
          <t>FORTE</t>
        </is>
      </c>
      <c r="J92" s="9" t="inlineStr">
        <is>
          <t>RETRAIT_BANQUE72</t>
        </is>
      </c>
      <c r="K92" s="9" t="inlineStr"/>
      <c r="L92" s="9" t="inlineStr">
        <is>
          <t>Historique conservé ; item non nécessaire pour atteindre 12/dimension et ≥2/facette.</t>
        </is>
      </c>
      <c r="M92" s="9" t="inlineStr">
        <is>
          <t>PIP-BANK-0.3</t>
        </is>
      </c>
    </row>
    <row r="93">
      <c r="A93" s="9" t="inlineStr">
        <is>
          <t>PIP-ENV-E-E3-012</t>
        </is>
      </c>
      <c r="B93" s="9" t="inlineStr">
        <is>
          <t>E</t>
        </is>
      </c>
      <c r="C93" s="9" t="inlineStr">
        <is>
          <t>E3</t>
        </is>
      </c>
      <c r="D93" s="9" t="inlineStr">
        <is>
          <t>ENV</t>
        </is>
      </c>
      <c r="E93" s="9" t="inlineStr">
        <is>
          <t>Évoluer dans un contexte où la négociation et la recherche d’accords occupent une place importante.</t>
        </is>
      </c>
      <c r="F93" s="9" t="inlineStr">
        <is>
          <t>Évoluer dans un environnement où la négociation et la recherche d’accords font partie du travail courant.</t>
        </is>
      </c>
      <c r="G93" s="9" t="inlineStr">
        <is>
          <t>FAIBLE_A_MOYENNE</t>
        </is>
      </c>
      <c r="H93" s="9" t="inlineStr">
        <is>
          <t>FAIBLE</t>
        </is>
      </c>
      <c r="I93" s="9" t="inlineStr">
        <is>
          <t>MOYENNE</t>
        </is>
      </c>
      <c r="J93" s="9" t="inlineStr">
        <is>
          <t>RETRAIT_BANQUE72</t>
        </is>
      </c>
      <c r="K93" s="9" t="inlineStr"/>
      <c r="L93" s="9" t="inlineStr">
        <is>
          <t>Historique conservé ; item non nécessaire pour atteindre 12/dimension et ≥2/facette.</t>
        </is>
      </c>
      <c r="M93" s="9" t="inlineStr">
        <is>
          <t>PIP-BANK-0.3</t>
        </is>
      </c>
    </row>
    <row r="94">
      <c r="A94" s="9" t="inlineStr">
        <is>
          <t>PIP-ACT-E-E4-013</t>
        </is>
      </c>
      <c r="B94" s="9" t="inlineStr">
        <is>
          <t>E</t>
        </is>
      </c>
      <c r="C94" s="9" t="inlineStr">
        <is>
          <t>E4</t>
        </is>
      </c>
      <c r="D94" s="9" t="inlineStr">
        <is>
          <t>ACT</t>
        </is>
      </c>
      <c r="E94" s="9" t="inlineStr">
        <is>
          <t>Coordonner le travail de plusieurs personnes pour faire avancer un projet.</t>
        </is>
      </c>
      <c r="F94" s="9" t="inlineStr">
        <is>
          <t>Coordonner plusieurs personnes, répartir les responsabilités et suivre l’avancement d’un projet.</t>
        </is>
      </c>
      <c r="G94" s="9" t="inlineStr">
        <is>
          <t>MOYENNE</t>
        </is>
      </c>
      <c r="H94" s="9" t="inlineStr">
        <is>
          <t>A_SURVEILLER</t>
        </is>
      </c>
      <c r="I94" s="9" t="inlineStr">
        <is>
          <t>FORTE</t>
        </is>
      </c>
      <c r="J94" s="9" t="inlineStr">
        <is>
          <t>MAINTIEN_REECRIT</t>
        </is>
      </c>
      <c r="K94" s="9" t="inlineStr">
        <is>
          <t>Coordonner plusieurs personnes, répartir les responsabilités et suivre l’avancement d’un projet.</t>
        </is>
      </c>
      <c r="L94" s="9" t="inlineStr">
        <is>
          <t>Retenu pour couverture de facette et formulation rendue directement concrète.</t>
        </is>
      </c>
      <c r="M94" s="9" t="inlineStr">
        <is>
          <t>PIP-BANK-0.4</t>
        </is>
      </c>
    </row>
    <row r="95">
      <c r="A95" s="9" t="inlineStr">
        <is>
          <t>PIP-ACT-E-E4-014</t>
        </is>
      </c>
      <c r="B95" s="9" t="inlineStr">
        <is>
          <t>E</t>
        </is>
      </c>
      <c r="C95" s="9" t="inlineStr">
        <is>
          <t>E4</t>
        </is>
      </c>
      <c r="D95" s="9" t="inlineStr">
        <is>
          <t>ACT</t>
        </is>
      </c>
      <c r="E95" s="9" t="inlineStr">
        <is>
          <t>Prendre des décisions qui orientent l’action d’une équipe ou d’un projet.</t>
        </is>
      </c>
      <c r="F95" s="9" t="inlineStr">
        <is>
          <t>Prendre une décision qui donne une direction claire à une équipe ou à un projet.</t>
        </is>
      </c>
      <c r="G95" s="9" t="inlineStr">
        <is>
          <t>MOYENNE</t>
        </is>
      </c>
      <c r="H95" s="9" t="inlineStr">
        <is>
          <t>FAIBLE</t>
        </is>
      </c>
      <c r="I95" s="9" t="inlineStr">
        <is>
          <t>FORTE</t>
        </is>
      </c>
      <c r="J95" s="9" t="inlineStr">
        <is>
          <t>MAINTIEN_REECRIT</t>
        </is>
      </c>
      <c r="K95" s="9" t="inlineStr">
        <is>
          <t>Prendre une décision qui donne une direction claire à une équipe ou à un projet.</t>
        </is>
      </c>
      <c r="L95" s="9" t="inlineStr">
        <is>
          <t>Retenu pour couverture de facette et formulation rendue directement concrète.</t>
        </is>
      </c>
      <c r="M95" s="9" t="inlineStr">
        <is>
          <t>PIP-BANK-0.4</t>
        </is>
      </c>
    </row>
    <row r="96">
      <c r="A96" s="9" t="inlineStr">
        <is>
          <t>PIP-SIT-E-E4-015</t>
        </is>
      </c>
      <c r="B96" s="9" t="inlineStr">
        <is>
          <t>E</t>
        </is>
      </c>
      <c r="C96" s="9" t="inlineStr">
        <is>
          <t>E4</t>
        </is>
      </c>
      <c r="D96" s="9" t="inlineStr">
        <is>
          <t>SIT</t>
        </is>
      </c>
      <c r="E96" s="9" t="inlineStr">
        <is>
          <t>Arbitrer entre plusieurs priorités lorsque le groupe attend une décision pour continuer.</t>
        </is>
      </c>
      <c r="F96" s="9" t="inlineStr">
        <is>
          <t>Plusieurs priorités s’opposent : arbitrer et décider pour permettre au groupe de continuer.</t>
        </is>
      </c>
      <c r="G96" s="9" t="inlineStr">
        <is>
          <t>FAIBLE_A_MOYENNE</t>
        </is>
      </c>
      <c r="H96" s="9" t="inlineStr">
        <is>
          <t>FAIBLE</t>
        </is>
      </c>
      <c r="I96" s="9" t="inlineStr">
        <is>
          <t>FORTE</t>
        </is>
      </c>
      <c r="J96" s="9" t="inlineStr">
        <is>
          <t>RETRAIT_BANQUE72</t>
        </is>
      </c>
      <c r="K96" s="9" t="inlineStr"/>
      <c r="L96" s="9" t="inlineStr">
        <is>
          <t>Historique conservé ; item non nécessaire pour atteindre 12/dimension et ≥2/facette.</t>
        </is>
      </c>
      <c r="M96" s="9" t="inlineStr">
        <is>
          <t>PIP-BANK-0.3</t>
        </is>
      </c>
    </row>
    <row r="97">
      <c r="A97" s="9" t="inlineStr">
        <is>
          <t>PIP-ENV-E-E4-016</t>
        </is>
      </c>
      <c r="B97" s="9" t="inlineStr">
        <is>
          <t>E</t>
        </is>
      </c>
      <c r="C97" s="9" t="inlineStr">
        <is>
          <t>E4</t>
        </is>
      </c>
      <c r="D97" s="9" t="inlineStr">
        <is>
          <t>ENV</t>
        </is>
      </c>
      <c r="E97" s="9" t="inlineStr">
        <is>
          <t>Travailler dans un contexte où l’on assume régulièrement la responsabilité de décisions et de coordination.</t>
        </is>
      </c>
      <c r="F97" s="9" t="inlineStr">
        <is>
          <t>Travailler dans un contexte où l’on assume régulièrement des décisions, des arbitrages et la coordination d’autres personnes.</t>
        </is>
      </c>
      <c r="G97" s="9" t="inlineStr">
        <is>
          <t>FAIBLE_A_MOYENNE</t>
        </is>
      </c>
      <c r="H97" s="9" t="inlineStr">
        <is>
          <t>FAIBLE</t>
        </is>
      </c>
      <c r="I97" s="9" t="inlineStr">
        <is>
          <t>MOYENNE</t>
        </is>
      </c>
      <c r="J97" s="9" t="inlineStr">
        <is>
          <t>RETRAIT_BANQUE72</t>
        </is>
      </c>
      <c r="K97" s="9" t="inlineStr"/>
      <c r="L97" s="9" t="inlineStr">
        <is>
          <t>Historique conservé ; item non nécessaire pour atteindre 12/dimension et ≥2/facette.</t>
        </is>
      </c>
      <c r="M97" s="9" t="inlineStr">
        <is>
          <t>PIP-BANK-0.3</t>
        </is>
      </c>
    </row>
    <row r="98">
      <c r="A98" s="9" t="inlineStr">
        <is>
          <t>PIP-ACT-E-E5-017</t>
        </is>
      </c>
      <c r="B98" s="9" t="inlineStr">
        <is>
          <t>E</t>
        </is>
      </c>
      <c r="C98" s="9" t="inlineStr">
        <is>
          <t>E5</t>
        </is>
      </c>
      <c r="D98" s="9" t="inlineStr">
        <is>
          <t>ACT</t>
        </is>
      </c>
      <c r="E98" s="9" t="inlineStr">
        <is>
          <t>Prendre la parole pour représenter une organisation, un projet ou une cause.</t>
        </is>
      </c>
      <c r="F98" s="9" t="inlineStr">
        <is>
          <t>Prendre la parole au nom d’une organisation, d’un projet ou d’une cause devant des interlocuteurs externes.</t>
        </is>
      </c>
      <c r="G98" s="9" t="inlineStr">
        <is>
          <t>MOYENNE</t>
        </is>
      </c>
      <c r="H98" s="9" t="inlineStr">
        <is>
          <t>FAIBLE</t>
        </is>
      </c>
      <c r="I98" s="9" t="inlineStr">
        <is>
          <t>FORTE</t>
        </is>
      </c>
      <c r="J98" s="9" t="inlineStr">
        <is>
          <t>MAINTIEN_REECRIT</t>
        </is>
      </c>
      <c r="K98" s="9" t="inlineStr">
        <is>
          <t>Prendre la parole au nom d’une organisation, d’un projet ou d’une cause devant des interlocuteurs externes.</t>
        </is>
      </c>
      <c r="L98" s="9" t="inlineStr">
        <is>
          <t>Retenu pour couverture de facette et formulation rendue directement concrète.</t>
        </is>
      </c>
      <c r="M98" s="9" t="inlineStr">
        <is>
          <t>PIP-BANK-0.4</t>
        </is>
      </c>
    </row>
    <row r="99">
      <c r="A99" s="9" t="inlineStr">
        <is>
          <t>PIP-ACT-E-E5-018</t>
        </is>
      </c>
      <c r="B99" s="9" t="inlineStr">
        <is>
          <t>E</t>
        </is>
      </c>
      <c r="C99" s="9" t="inlineStr">
        <is>
          <t>E5</t>
        </is>
      </c>
      <c r="D99" s="9" t="inlineStr">
        <is>
          <t>ACT</t>
        </is>
      </c>
      <c r="E99" s="9" t="inlineStr">
        <is>
          <t>Mobiliser plusieurs personnes autour d’un objectif commun.</t>
        </is>
      </c>
      <c r="F99" s="9" t="inlineStr">
        <is>
          <t>Mobiliser plusieurs personnes autour d’un objectif et leur donner envie de contribuer.</t>
        </is>
      </c>
      <c r="G99" s="9" t="inlineStr">
        <is>
          <t>MOYENNE</t>
        </is>
      </c>
      <c r="H99" s="9" t="inlineStr">
        <is>
          <t>FAIBLE</t>
        </is>
      </c>
      <c r="I99" s="9" t="inlineStr">
        <is>
          <t>FORTE</t>
        </is>
      </c>
      <c r="J99" s="9" t="inlineStr">
        <is>
          <t>MAINTIEN_REECRIT</t>
        </is>
      </c>
      <c r="K99" s="9" t="inlineStr">
        <is>
          <t>Mobiliser plusieurs personnes autour d’un objectif et leur donner envie de contribuer.</t>
        </is>
      </c>
      <c r="L99" s="9" t="inlineStr">
        <is>
          <t>Retenu pour couverture de facette et formulation rendue directement concrète.</t>
        </is>
      </c>
      <c r="M99" s="9" t="inlineStr">
        <is>
          <t>PIP-BANK-0.4</t>
        </is>
      </c>
    </row>
    <row r="100">
      <c r="A100" s="9" t="inlineStr">
        <is>
          <t>PIP-SIT-E-E5-019</t>
        </is>
      </c>
      <c r="B100" s="9" t="inlineStr">
        <is>
          <t>E</t>
        </is>
      </c>
      <c r="C100" s="9" t="inlineStr">
        <is>
          <t>E5</t>
        </is>
      </c>
      <c r="D100" s="9" t="inlineStr">
        <is>
          <t>SIT</t>
        </is>
      </c>
      <c r="E100" s="9" t="inlineStr">
        <is>
          <t>Faire adhérer un groupe à une orientation et l’encourager à se mettre en action.</t>
        </is>
      </c>
      <c r="F100" s="9" t="inlineStr">
        <is>
          <t>Présenter une orientation à un groupe, obtenir son adhésion et l’inciter à passer à l’action.</t>
        </is>
      </c>
      <c r="G100" s="9" t="inlineStr">
        <is>
          <t>FAIBLE_A_MOYENNE</t>
        </is>
      </c>
      <c r="H100" s="9" t="inlineStr">
        <is>
          <t>FAIBLE</t>
        </is>
      </c>
      <c r="I100" s="9" t="inlineStr">
        <is>
          <t>FORTE</t>
        </is>
      </c>
      <c r="J100" s="9" t="inlineStr">
        <is>
          <t>RETRAIT_BANQUE72</t>
        </is>
      </c>
      <c r="K100" s="9" t="inlineStr"/>
      <c r="L100" s="9" t="inlineStr">
        <is>
          <t>Historique conservé ; item non nécessaire pour atteindre 12/dimension et ≥2/facette.</t>
        </is>
      </c>
      <c r="M100" s="9" t="inlineStr">
        <is>
          <t>PIP-BANK-0.3</t>
        </is>
      </c>
    </row>
    <row r="101">
      <c r="A101" s="9" t="inlineStr">
        <is>
          <t>PIP-ENV-E-E5-020</t>
        </is>
      </c>
      <c r="B101" s="9" t="inlineStr">
        <is>
          <t>E</t>
        </is>
      </c>
      <c r="C101" s="9" t="inlineStr">
        <is>
          <t>E5</t>
        </is>
      </c>
      <c r="D101" s="9" t="inlineStr">
        <is>
          <t>ENV</t>
        </is>
      </c>
      <c r="E101" s="9" t="inlineStr">
        <is>
          <t>Évoluer dans un contexte où l’on représente des positions, prend la parole et cherche à mobiliser des personnes.</t>
        </is>
      </c>
      <c r="F101" s="9" t="inlineStr">
        <is>
          <t>Évoluer dans un contexte où l’on représente des positions, prend la parole et cherche à entraîner d’autres personnes.</t>
        </is>
      </c>
      <c r="G101" s="9" t="inlineStr">
        <is>
          <t>FAIBLE_A_MOYENNE</t>
        </is>
      </c>
      <c r="H101" s="9" t="inlineStr">
        <is>
          <t>FAIBLE</t>
        </is>
      </c>
      <c r="I101" s="9" t="inlineStr">
        <is>
          <t>MOYENNE</t>
        </is>
      </c>
      <c r="J101" s="9" t="inlineStr">
        <is>
          <t>RETRAIT_BANQUE72</t>
        </is>
      </c>
      <c r="K101" s="9" t="inlineStr"/>
      <c r="L101" s="9" t="inlineStr">
        <is>
          <t>Historique conservé ; item non nécessaire pour atteindre 12/dimension et ≥2/facette.</t>
        </is>
      </c>
      <c r="M101" s="9" t="inlineStr">
        <is>
          <t>PIP-BANK-0.3</t>
        </is>
      </c>
    </row>
    <row r="102">
      <c r="A102" s="9" t="inlineStr">
        <is>
          <t>PIP-ACT-C-C1-001</t>
        </is>
      </c>
      <c r="B102" s="9" t="inlineStr">
        <is>
          <t>C</t>
        </is>
      </c>
      <c r="C102" s="9" t="inlineStr">
        <is>
          <t>C1</t>
        </is>
      </c>
      <c r="D102" s="9" t="inlineStr">
        <is>
          <t>ACT</t>
        </is>
      </c>
      <c r="E102" s="9" t="inlineStr">
        <is>
          <t>Organiser des informations pour qu’elles soient faciles à retrouver et à utiliser.</t>
        </is>
      </c>
      <c r="F102" s="9" t="inlineStr">
        <is>
          <t>Organiser des dossiers ou informations dans une arborescence claire afin qu’ils soient rapidement retrouvés.</t>
        </is>
      </c>
      <c r="G102" s="9" t="inlineStr">
        <is>
          <t>MOYENNE</t>
        </is>
      </c>
      <c r="H102" s="9" t="inlineStr">
        <is>
          <t>FAIBLE</t>
        </is>
      </c>
      <c r="I102" s="9" t="inlineStr">
        <is>
          <t>FORTE</t>
        </is>
      </c>
      <c r="J102" s="9" t="inlineStr">
        <is>
          <t>MAINTIEN_REECRIT</t>
        </is>
      </c>
      <c r="K102" s="9" t="inlineStr">
        <is>
          <t>Organiser des dossiers ou informations dans une arborescence claire afin qu’ils soient rapidement retrouvés.</t>
        </is>
      </c>
      <c r="L102" s="9" t="inlineStr">
        <is>
          <t>Retenu pour couverture de facette et formulation rendue directement concrète.</t>
        </is>
      </c>
      <c r="M102" s="9" t="inlineStr">
        <is>
          <t>PIP-BANK-0.4</t>
        </is>
      </c>
    </row>
    <row r="103">
      <c r="A103" s="9" t="inlineStr">
        <is>
          <t>PIP-ACT-C-C1-002</t>
        </is>
      </c>
      <c r="B103" s="9" t="inlineStr">
        <is>
          <t>C</t>
        </is>
      </c>
      <c r="C103" s="9" t="inlineStr">
        <is>
          <t>C1</t>
        </is>
      </c>
      <c r="D103" s="9" t="inlineStr">
        <is>
          <t>ACT</t>
        </is>
      </c>
      <c r="E103" s="9" t="inlineStr">
        <is>
          <t>Classer des documents ou des données selon une structure claire.</t>
        </is>
      </c>
      <c r="F103" s="9" t="inlineStr">
        <is>
          <t>Classer des documents ou des données selon des catégories et des règles définies.</t>
        </is>
      </c>
      <c r="G103" s="9" t="inlineStr">
        <is>
          <t>MOYENNE</t>
        </is>
      </c>
      <c r="H103" s="9" t="inlineStr">
        <is>
          <t>FAIBLE</t>
        </is>
      </c>
      <c r="I103" s="9" t="inlineStr">
        <is>
          <t>FORTE</t>
        </is>
      </c>
      <c r="J103" s="9" t="inlineStr">
        <is>
          <t>MAINTIEN_REECRIT</t>
        </is>
      </c>
      <c r="K103" s="9" t="inlineStr">
        <is>
          <t>Classer des documents ou des données selon des catégories et des règles définies.</t>
        </is>
      </c>
      <c r="L103" s="9" t="inlineStr">
        <is>
          <t>Retenu pour couverture de facette et formulation rendue directement concrète.</t>
        </is>
      </c>
      <c r="M103" s="9" t="inlineStr">
        <is>
          <t>PIP-BANK-0.4</t>
        </is>
      </c>
    </row>
    <row r="104">
      <c r="A104" s="9" t="inlineStr">
        <is>
          <t>PIP-SIT-C-C1-003</t>
        </is>
      </c>
      <c r="B104" s="9" t="inlineStr">
        <is>
          <t>C</t>
        </is>
      </c>
      <c r="C104" s="9" t="inlineStr">
        <is>
          <t>C1</t>
        </is>
      </c>
      <c r="D104" s="9" t="inlineStr">
        <is>
          <t>SIT</t>
        </is>
      </c>
      <c r="E104" s="9" t="inlineStr">
        <is>
          <t>Remettre de l’ordre dans un ensemble d’informations dispersées afin qu’il devienne exploitable.</t>
        </is>
      </c>
      <c r="F104" s="9" t="inlineStr">
        <is>
          <t>Reprendre un ensemble de fichiers ou d’informations dispersés et les réorganiser pour qu’ils deviennent faciles à utiliser.</t>
        </is>
      </c>
      <c r="G104" s="9" t="inlineStr">
        <is>
          <t>FAIBLE_A_MOYENNE</t>
        </is>
      </c>
      <c r="H104" s="9" t="inlineStr">
        <is>
          <t>FAIBLE</t>
        </is>
      </c>
      <c r="I104" s="9" t="inlineStr">
        <is>
          <t>FORTE</t>
        </is>
      </c>
      <c r="J104" s="9" t="inlineStr">
        <is>
          <t>MAINTIEN_REECRIT</t>
        </is>
      </c>
      <c r="K104" s="9" t="inlineStr">
        <is>
          <t>Reprendre un ensemble de fichiers ou d’informations dispersés et les réorganiser pour qu’ils deviennent faciles à utiliser.</t>
        </is>
      </c>
      <c r="L104" s="9" t="inlineStr">
        <is>
          <t>Retenu pour couverture de facette et formulation rendue directement concrète.</t>
        </is>
      </c>
      <c r="M104" s="9" t="inlineStr">
        <is>
          <t>PIP-BANK-0.4</t>
        </is>
      </c>
    </row>
    <row r="105">
      <c r="A105" s="9" t="inlineStr">
        <is>
          <t>PIP-ENV-C-C1-004</t>
        </is>
      </c>
      <c r="B105" s="9" t="inlineStr">
        <is>
          <t>C</t>
        </is>
      </c>
      <c r="C105" s="9" t="inlineStr">
        <is>
          <t>C1</t>
        </is>
      </c>
      <c r="D105" s="9" t="inlineStr">
        <is>
          <t>ENV</t>
        </is>
      </c>
      <c r="E105" s="9" t="inlineStr">
        <is>
          <t>Travailler dans un contexte où l’organisation claire des informations et des ressources est essentielle au bon fonctionnement.</t>
        </is>
      </c>
      <c r="F105" s="9" t="inlineStr">
        <is>
          <t>Travailler dans un contexte où l’ordre et l’organisation des informations sont indispensables au fonctionnement quotidien.</t>
        </is>
      </c>
      <c r="G105" s="9" t="inlineStr">
        <is>
          <t>FAIBLE_A_MOYENNE</t>
        </is>
      </c>
      <c r="H105" s="9" t="inlineStr">
        <is>
          <t>FAIBLE</t>
        </is>
      </c>
      <c r="I105" s="9" t="inlineStr">
        <is>
          <t>MOYENNE</t>
        </is>
      </c>
      <c r="J105" s="9" t="inlineStr">
        <is>
          <t>RETRAIT_BANQUE72</t>
        </is>
      </c>
      <c r="K105" s="9" t="inlineStr"/>
      <c r="L105" s="9" t="inlineStr">
        <is>
          <t>Historique conservé ; item non nécessaire pour atteindre 12/dimension et ≥2/facette.</t>
        </is>
      </c>
      <c r="M105" s="9" t="inlineStr">
        <is>
          <t>PIP-BANK-0.3</t>
        </is>
      </c>
    </row>
    <row r="106">
      <c r="A106" s="9" t="inlineStr">
        <is>
          <t>PIP-ACT-C-C2-005</t>
        </is>
      </c>
      <c r="B106" s="9" t="inlineStr">
        <is>
          <t>C</t>
        </is>
      </c>
      <c r="C106" s="9" t="inlineStr">
        <is>
          <t>C2</t>
        </is>
      </c>
      <c r="D106" s="9" t="inlineStr">
        <is>
          <t>ACT</t>
        </is>
      </c>
      <c r="E106" s="9" t="inlineStr">
        <is>
          <t>Enregistrer avec précision des informations dans un dossier ou un système.</t>
        </is>
      </c>
      <c r="F106" s="9" t="inlineStr">
        <is>
          <t>Saisir avec précision des informations dans un dossier, une base ou un système de suivi.</t>
        </is>
      </c>
      <c r="G106" s="9" t="inlineStr">
        <is>
          <t>MOYENNE</t>
        </is>
      </c>
      <c r="H106" s="9" t="inlineStr">
        <is>
          <t>FAIBLE</t>
        </is>
      </c>
      <c r="I106" s="9" t="inlineStr">
        <is>
          <t>FORTE</t>
        </is>
      </c>
      <c r="J106" s="9" t="inlineStr">
        <is>
          <t>MAINTIEN_REECRIT</t>
        </is>
      </c>
      <c r="K106" s="9" t="inlineStr">
        <is>
          <t>Saisir avec précision des informations dans un dossier, une base ou un système de suivi.</t>
        </is>
      </c>
      <c r="L106" s="9" t="inlineStr">
        <is>
          <t>Retenu pour couverture de facette et formulation rendue directement concrète.</t>
        </is>
      </c>
      <c r="M106" s="9" t="inlineStr">
        <is>
          <t>PIP-BANK-0.4</t>
        </is>
      </c>
    </row>
    <row r="107">
      <c r="A107" s="9" t="inlineStr">
        <is>
          <t>PIP-ACT-C-C2-006</t>
        </is>
      </c>
      <c r="B107" s="9" t="inlineStr">
        <is>
          <t>C</t>
        </is>
      </c>
      <c r="C107" s="9" t="inlineStr">
        <is>
          <t>C2</t>
        </is>
      </c>
      <c r="D107" s="9" t="inlineStr">
        <is>
          <t>ACT</t>
        </is>
      </c>
      <c r="E107" s="9" t="inlineStr">
        <is>
          <t>Mettre régulièrement à jour des données pour qu’elles restent fiables.</t>
        </is>
      </c>
      <c r="F107" s="9" t="inlineStr">
        <is>
          <t>Mettre à jour régulièrement un fichier de suivi afin que les informations restent exactes et actuelles.</t>
        </is>
      </c>
      <c r="G107" s="9" t="inlineStr">
        <is>
          <t>MOYENNE</t>
        </is>
      </c>
      <c r="H107" s="9" t="inlineStr">
        <is>
          <t>FAIBLE</t>
        </is>
      </c>
      <c r="I107" s="9" t="inlineStr">
        <is>
          <t>FORTE</t>
        </is>
      </c>
      <c r="J107" s="9" t="inlineStr">
        <is>
          <t>MAINTIEN_REECRIT</t>
        </is>
      </c>
      <c r="K107" s="9" t="inlineStr">
        <is>
          <t>Mettre à jour régulièrement un fichier de suivi afin que les informations restent exactes et actuelles.</t>
        </is>
      </c>
      <c r="L107" s="9" t="inlineStr">
        <is>
          <t>Retenu pour couverture de facette et formulation rendue directement concrète.</t>
        </is>
      </c>
      <c r="M107" s="9" t="inlineStr">
        <is>
          <t>PIP-BANK-0.4</t>
        </is>
      </c>
    </row>
    <row r="108">
      <c r="A108" s="9" t="inlineStr">
        <is>
          <t>PIP-SIT-C-C2-007</t>
        </is>
      </c>
      <c r="B108" s="9" t="inlineStr">
        <is>
          <t>C</t>
        </is>
      </c>
      <c r="C108" s="9" t="inlineStr">
        <is>
          <t>C2</t>
        </is>
      </c>
      <c r="D108" s="9" t="inlineStr">
        <is>
          <t>SIT</t>
        </is>
      </c>
      <c r="E108" s="9" t="inlineStr">
        <is>
          <t>Reprendre un ensemble d’informations incomplètes et les mettre à jour de manière méthodique.</t>
        </is>
      </c>
      <c r="F108" s="9" t="inlineStr">
        <is>
          <t>Reprendre un dossier contenant des informations manquantes, les compléter et vérifier qu’il est à jour.</t>
        </is>
      </c>
      <c r="G108" s="9" t="inlineStr">
        <is>
          <t>FAIBLE_A_MOYENNE</t>
        </is>
      </c>
      <c r="H108" s="9" t="inlineStr">
        <is>
          <t>FAIBLE</t>
        </is>
      </c>
      <c r="I108" s="9" t="inlineStr">
        <is>
          <t>FORTE</t>
        </is>
      </c>
      <c r="J108" s="9" t="inlineStr">
        <is>
          <t>MAINTIEN_REECRIT</t>
        </is>
      </c>
      <c r="K108" s="9" t="inlineStr">
        <is>
          <t>Reprendre un dossier contenant des informations manquantes, les compléter et vérifier qu’il est à jour.</t>
        </is>
      </c>
      <c r="L108" s="9" t="inlineStr">
        <is>
          <t>Retenu pour couverture de facette et formulation rendue directement concrète.</t>
        </is>
      </c>
      <c r="M108" s="9" t="inlineStr">
        <is>
          <t>PIP-BANK-0.4</t>
        </is>
      </c>
    </row>
    <row r="109">
      <c r="A109" s="9" t="inlineStr">
        <is>
          <t>PIP-ENV-C-C2-008</t>
        </is>
      </c>
      <c r="B109" s="9" t="inlineStr">
        <is>
          <t>C</t>
        </is>
      </c>
      <c r="C109" s="9" t="inlineStr">
        <is>
          <t>C2</t>
        </is>
      </c>
      <c r="D109" s="9" t="inlineStr">
        <is>
          <t>ENV</t>
        </is>
      </c>
      <c r="E109" s="9" t="inlineStr">
        <is>
          <t>Évoluer dans un contexte où la tenue à jour et la traçabilité des informations occupent une place importante.</t>
        </is>
      </c>
      <c r="F109" s="9" t="inlineStr">
        <is>
          <t>Évoluer dans un environnement où la tenue à jour et la traçabilité des informations sont essentielles.</t>
        </is>
      </c>
      <c r="G109" s="9" t="inlineStr">
        <is>
          <t>FAIBLE_A_MOYENNE</t>
        </is>
      </c>
      <c r="H109" s="9" t="inlineStr">
        <is>
          <t>FAIBLE</t>
        </is>
      </c>
      <c r="I109" s="9" t="inlineStr">
        <is>
          <t>MOYENNE</t>
        </is>
      </c>
      <c r="J109" s="9" t="inlineStr">
        <is>
          <t>RETRAIT_BANQUE72</t>
        </is>
      </c>
      <c r="K109" s="9" t="inlineStr"/>
      <c r="L109" s="9" t="inlineStr">
        <is>
          <t>Historique conservé ; item non nécessaire pour atteindre 12/dimension et ≥2/facette.</t>
        </is>
      </c>
      <c r="M109" s="9" t="inlineStr">
        <is>
          <t>PIP-BANK-0.3</t>
        </is>
      </c>
    </row>
    <row r="110">
      <c r="A110" s="9" t="inlineStr">
        <is>
          <t>PIP-ACT-C-C3-009</t>
        </is>
      </c>
      <c r="B110" s="9" t="inlineStr">
        <is>
          <t>C</t>
        </is>
      </c>
      <c r="C110" s="9" t="inlineStr">
        <is>
          <t>C3</t>
        </is>
      </c>
      <c r="D110" s="9" t="inlineStr">
        <is>
          <t>ACT</t>
        </is>
      </c>
      <c r="E110" s="9" t="inlineStr">
        <is>
          <t>Vérifier l’exactitude d’informations avant qu’elles soient utilisées.</t>
        </is>
      </c>
      <c r="F110" s="9" t="inlineStr">
        <is>
          <t>Contrôler des informations avant leur utilisation afin de vérifier qu’elles sont exactes et complètes.</t>
        </is>
      </c>
      <c r="G110" s="9" t="inlineStr">
        <is>
          <t>MOYENNE</t>
        </is>
      </c>
      <c r="H110" s="9" t="inlineStr">
        <is>
          <t>FAIBLE</t>
        </is>
      </c>
      <c r="I110" s="9" t="inlineStr">
        <is>
          <t>FORTE</t>
        </is>
      </c>
      <c r="J110" s="9" t="inlineStr">
        <is>
          <t>MAINTIEN_REECRIT</t>
        </is>
      </c>
      <c r="K110" s="9" t="inlineStr">
        <is>
          <t>Contrôler des informations avant leur utilisation afin de vérifier qu’elles sont exactes et complètes.</t>
        </is>
      </c>
      <c r="L110" s="9" t="inlineStr">
        <is>
          <t>Retenu pour couverture de facette et formulation rendue directement concrète.</t>
        </is>
      </c>
      <c r="M110" s="9" t="inlineStr">
        <is>
          <t>PIP-BANK-0.4</t>
        </is>
      </c>
    </row>
    <row r="111">
      <c r="A111" s="9" t="inlineStr">
        <is>
          <t>PIP-ACT-C-C3-010</t>
        </is>
      </c>
      <c r="B111" s="9" t="inlineStr">
        <is>
          <t>C</t>
        </is>
      </c>
      <c r="C111" s="9" t="inlineStr">
        <is>
          <t>C3</t>
        </is>
      </c>
      <c r="D111" s="9" t="inlineStr">
        <is>
          <t>ACT</t>
        </is>
      </c>
      <c r="E111" s="9" t="inlineStr">
        <is>
          <t>Comparer plusieurs données pour repérer une erreur ou une incohérence.</t>
        </is>
      </c>
      <c r="F111" s="9" t="inlineStr">
        <is>
          <t>Comparer des données entre plusieurs documents pour repérer une erreur, un écart ou une incohérence.</t>
        </is>
      </c>
      <c r="G111" s="9" t="inlineStr">
        <is>
          <t>MOYENNE</t>
        </is>
      </c>
      <c r="H111" s="9" t="inlineStr">
        <is>
          <t>A_SURVEILLER</t>
        </is>
      </c>
      <c r="I111" s="9" t="inlineStr">
        <is>
          <t>FORTE</t>
        </is>
      </c>
      <c r="J111" s="9" t="inlineStr">
        <is>
          <t>MAINTIEN_REECRIT</t>
        </is>
      </c>
      <c r="K111" s="9" t="inlineStr">
        <is>
          <t>Comparer des données entre plusieurs documents pour repérer une erreur, un écart ou une incohérence.</t>
        </is>
      </c>
      <c r="L111" s="9" t="inlineStr">
        <is>
          <t>Retenu pour couverture de facette et formulation rendue directement concrète.</t>
        </is>
      </c>
      <c r="M111" s="9" t="inlineStr">
        <is>
          <t>PIP-BANK-0.4</t>
        </is>
      </c>
    </row>
    <row r="112">
      <c r="A112" s="9" t="inlineStr">
        <is>
          <t>PIP-SIT-C-C3-011</t>
        </is>
      </c>
      <c r="B112" s="9" t="inlineStr">
        <is>
          <t>C</t>
        </is>
      </c>
      <c r="C112" s="9" t="inlineStr">
        <is>
          <t>C3</t>
        </is>
      </c>
      <c r="D112" s="9" t="inlineStr">
        <is>
          <t>SIT</t>
        </is>
      </c>
      <c r="E112" s="9" t="inlineStr">
        <is>
          <t>Contrôler un dossier afin de s’assurer que toutes les informations nécessaires sont présentes et exactes.</t>
        </is>
      </c>
      <c r="F112" s="9" t="inlineStr">
        <is>
          <t>Vérifier méthodiquement un dossier avant validation pour s’assurer qu’aucune information nécessaire ne manque.</t>
        </is>
      </c>
      <c r="G112" s="9" t="inlineStr">
        <is>
          <t>FAIBLE_A_MOYENNE</t>
        </is>
      </c>
      <c r="H112" s="9" t="inlineStr">
        <is>
          <t>FAIBLE</t>
        </is>
      </c>
      <c r="I112" s="9" t="inlineStr">
        <is>
          <t>FORTE</t>
        </is>
      </c>
      <c r="J112" s="9" t="inlineStr">
        <is>
          <t>RETRAIT_BANQUE72</t>
        </is>
      </c>
      <c r="K112" s="9" t="inlineStr"/>
      <c r="L112" s="9" t="inlineStr">
        <is>
          <t>Historique conservé ; item non nécessaire pour atteindre 12/dimension et ≥2/facette.</t>
        </is>
      </c>
      <c r="M112" s="9" t="inlineStr">
        <is>
          <t>PIP-BANK-0.3</t>
        </is>
      </c>
    </row>
    <row r="113">
      <c r="A113" s="9" t="inlineStr">
        <is>
          <t>PIP-ENV-C-C3-012</t>
        </is>
      </c>
      <c r="B113" s="9" t="inlineStr">
        <is>
          <t>C</t>
        </is>
      </c>
      <c r="C113" s="9" t="inlineStr">
        <is>
          <t>C3</t>
        </is>
      </c>
      <c r="D113" s="9" t="inlineStr">
        <is>
          <t>ENV</t>
        </is>
      </c>
      <c r="E113" s="9" t="inlineStr">
        <is>
          <t>Travailler dans un contexte où la fiabilité des données et les vérifications régulières sont importantes.</t>
        </is>
      </c>
      <c r="F113" s="9" t="inlineStr">
        <is>
          <t>Travailler dans un contexte où les contrôles de cohérence et la fiabilité des données sont réalisés régulièrement.</t>
        </is>
      </c>
      <c r="G113" s="9" t="inlineStr">
        <is>
          <t>FAIBLE_A_MOYENNE</t>
        </is>
      </c>
      <c r="H113" s="9" t="inlineStr">
        <is>
          <t>FAIBLE</t>
        </is>
      </c>
      <c r="I113" s="9" t="inlineStr">
        <is>
          <t>MOYENNE</t>
        </is>
      </c>
      <c r="J113" s="9" t="inlineStr">
        <is>
          <t>RETRAIT_BANQUE72</t>
        </is>
      </c>
      <c r="K113" s="9" t="inlineStr"/>
      <c r="L113" s="9" t="inlineStr">
        <is>
          <t>Historique conservé ; item non nécessaire pour atteindre 12/dimension et ≥2/facette.</t>
        </is>
      </c>
      <c r="M113" s="9" t="inlineStr">
        <is>
          <t>PIP-BANK-0.3</t>
        </is>
      </c>
    </row>
    <row r="114">
      <c r="A114" s="9" t="inlineStr">
        <is>
          <t>PIP-ACT-C-C4-013</t>
        </is>
      </c>
      <c r="B114" s="9" t="inlineStr">
        <is>
          <t>C</t>
        </is>
      </c>
      <c r="C114" s="9" t="inlineStr">
        <is>
          <t>C4</t>
        </is>
      </c>
      <c r="D114" s="9" t="inlineStr">
        <is>
          <t>ACT</t>
        </is>
      </c>
      <c r="E114" s="9" t="inlineStr">
        <is>
          <t>Suivre une procédure définie pour réaliser une opération de façon conforme.</t>
        </is>
      </c>
      <c r="F114" s="9" t="inlineStr">
        <is>
          <t>Réaliser une opération en suivant une procédure précise afin de respecter les règles prévues.</t>
        </is>
      </c>
      <c r="G114" s="9" t="inlineStr">
        <is>
          <t>MOYENNE</t>
        </is>
      </c>
      <c r="H114" s="9" t="inlineStr">
        <is>
          <t>FAIBLE</t>
        </is>
      </c>
      <c r="I114" s="9" t="inlineStr">
        <is>
          <t>FORTE</t>
        </is>
      </c>
      <c r="J114" s="9" t="inlineStr">
        <is>
          <t>MAINTIEN_REECRIT</t>
        </is>
      </c>
      <c r="K114" s="9" t="inlineStr">
        <is>
          <t>Réaliser une opération en suivant une procédure précise afin de respecter les règles prévues.</t>
        </is>
      </c>
      <c r="L114" s="9" t="inlineStr">
        <is>
          <t>Retenu pour couverture de facette et formulation rendue directement concrète.</t>
        </is>
      </c>
      <c r="M114" s="9" t="inlineStr">
        <is>
          <t>PIP-BANK-0.4</t>
        </is>
      </c>
    </row>
    <row r="115">
      <c r="A115" s="9" t="inlineStr">
        <is>
          <t>PIP-ACT-C-C4-014</t>
        </is>
      </c>
      <c r="B115" s="9" t="inlineStr">
        <is>
          <t>C</t>
        </is>
      </c>
      <c r="C115" s="9" t="inlineStr">
        <is>
          <t>C4</t>
        </is>
      </c>
      <c r="D115" s="9" t="inlineStr">
        <is>
          <t>ACT</t>
        </is>
      </c>
      <c r="E115" s="9" t="inlineStr">
        <is>
          <t>Vérifier qu’une activité respecte des règles ou des critères précis.</t>
        </is>
      </c>
      <c r="F115" s="9" t="inlineStr">
        <is>
          <t>Contrôler qu’une opération, un dossier ou une activité respecte les critères et règles applicables.</t>
        </is>
      </c>
      <c r="G115" s="9" t="inlineStr">
        <is>
          <t>MOYENNE</t>
        </is>
      </c>
      <c r="H115" s="9" t="inlineStr">
        <is>
          <t>FAIBLE</t>
        </is>
      </c>
      <c r="I115" s="9" t="inlineStr">
        <is>
          <t>FORTE</t>
        </is>
      </c>
      <c r="J115" s="9" t="inlineStr">
        <is>
          <t>MAINTIEN_REECRIT</t>
        </is>
      </c>
      <c r="K115" s="9" t="inlineStr">
        <is>
          <t>Contrôler qu’une opération, un dossier ou une activité respecte les critères et règles applicables.</t>
        </is>
      </c>
      <c r="L115" s="9" t="inlineStr">
        <is>
          <t>Retenu pour couverture de facette et formulation rendue directement concrète.</t>
        </is>
      </c>
      <c r="M115" s="9" t="inlineStr">
        <is>
          <t>PIP-BANK-0.4</t>
        </is>
      </c>
    </row>
    <row r="116">
      <c r="A116" s="9" t="inlineStr">
        <is>
          <t>PIP-SIT-C-C4-015</t>
        </is>
      </c>
      <c r="B116" s="9" t="inlineStr">
        <is>
          <t>C</t>
        </is>
      </c>
      <c r="C116" s="9" t="inlineStr">
        <is>
          <t>C4</t>
        </is>
      </c>
      <c r="D116" s="9" t="inlineStr">
        <is>
          <t>SIT</t>
        </is>
      </c>
      <c r="E116" s="9" t="inlineStr">
        <is>
          <t>Traiter une situation en appliquant méthodiquement les règles prévues pour ce type de cas.</t>
        </is>
      </c>
      <c r="F116" s="9" t="inlineStr">
        <is>
          <t>Traiter un cas en suivant méthodiquement les étapes prévues par la procédure correspondante.</t>
        </is>
      </c>
      <c r="G116" s="9" t="inlineStr">
        <is>
          <t>FAIBLE_A_MOYENNE</t>
        </is>
      </c>
      <c r="H116" s="9" t="inlineStr">
        <is>
          <t>FAIBLE</t>
        </is>
      </c>
      <c r="I116" s="9" t="inlineStr">
        <is>
          <t>FORTE</t>
        </is>
      </c>
      <c r="J116" s="9" t="inlineStr">
        <is>
          <t>RETRAIT_BANQUE72</t>
        </is>
      </c>
      <c r="K116" s="9" t="inlineStr"/>
      <c r="L116" s="9" t="inlineStr">
        <is>
          <t>Historique conservé ; item non nécessaire pour atteindre 12/dimension et ≥2/facette.</t>
        </is>
      </c>
      <c r="M116" s="9" t="inlineStr">
        <is>
          <t>PIP-BANK-0.3</t>
        </is>
      </c>
    </row>
    <row r="117">
      <c r="A117" s="9" t="inlineStr">
        <is>
          <t>PIP-ENV-C-C4-016</t>
        </is>
      </c>
      <c r="B117" s="9" t="inlineStr">
        <is>
          <t>C</t>
        </is>
      </c>
      <c r="C117" s="9" t="inlineStr">
        <is>
          <t>C4</t>
        </is>
      </c>
      <c r="D117" s="9" t="inlineStr">
        <is>
          <t>ENV</t>
        </is>
      </c>
      <c r="E117" s="9" t="inlineStr">
        <is>
          <t>Évoluer dans un contexte où des procédures et des normes claires permettent de sécuriser le travail.</t>
        </is>
      </c>
      <c r="F117" s="9" t="inlineStr">
        <is>
          <t>Évoluer dans un environnement où des procédures et des normes explicites servent à sécuriser le travail.</t>
        </is>
      </c>
      <c r="G117" s="9" t="inlineStr">
        <is>
          <t>FAIBLE_A_MOYENNE</t>
        </is>
      </c>
      <c r="H117" s="9" t="inlineStr">
        <is>
          <t>FAIBLE</t>
        </is>
      </c>
      <c r="I117" s="9" t="inlineStr">
        <is>
          <t>MOYENNE</t>
        </is>
      </c>
      <c r="J117" s="9" t="inlineStr">
        <is>
          <t>RETRAIT_BANQUE72</t>
        </is>
      </c>
      <c r="K117" s="9" t="inlineStr"/>
      <c r="L117" s="9" t="inlineStr">
        <is>
          <t>Historique conservé ; item non nécessaire pour atteindre 12/dimension et ≥2/facette.</t>
        </is>
      </c>
      <c r="M117" s="9" t="inlineStr">
        <is>
          <t>PIP-BANK-0.3</t>
        </is>
      </c>
    </row>
    <row r="118">
      <c r="A118" s="9" t="inlineStr">
        <is>
          <t>PIP-ACT-C-C5-017</t>
        </is>
      </c>
      <c r="B118" s="9" t="inlineStr">
        <is>
          <t>C</t>
        </is>
      </c>
      <c r="C118" s="9" t="inlineStr">
        <is>
          <t>C5</t>
        </is>
      </c>
      <c r="D118" s="9" t="inlineStr">
        <is>
          <t>ACT</t>
        </is>
      </c>
      <c r="E118" s="9" t="inlineStr">
        <is>
          <t>Suivre l’avancement d’un dossier jusqu’à sa clôture.</t>
        </is>
      </c>
      <c r="F118" s="9" t="inlineStr">
        <is>
          <t>Suivre un dossier depuis son ouverture jusqu’à sa clôture en vérifiant que chaque étape est réalisée.</t>
        </is>
      </c>
      <c r="G118" s="9" t="inlineStr">
        <is>
          <t>MOYENNE</t>
        </is>
      </c>
      <c r="H118" s="9" t="inlineStr">
        <is>
          <t>FAIBLE</t>
        </is>
      </c>
      <c r="I118" s="9" t="inlineStr">
        <is>
          <t>FORTE</t>
        </is>
      </c>
      <c r="J118" s="9" t="inlineStr">
        <is>
          <t>MAINTIEN_REECRIT</t>
        </is>
      </c>
      <c r="K118" s="9" t="inlineStr">
        <is>
          <t>Suivre un dossier depuis son ouverture jusqu’à sa clôture en vérifiant que chaque étape est réalisée.</t>
        </is>
      </c>
      <c r="L118" s="9" t="inlineStr">
        <is>
          <t>Retenu pour couverture de facette et formulation rendue directement concrète.</t>
        </is>
      </c>
      <c r="M118" s="9" t="inlineStr">
        <is>
          <t>PIP-BANK-0.4</t>
        </is>
      </c>
    </row>
    <row r="119">
      <c r="A119" s="9" t="inlineStr">
        <is>
          <t>PIP-ACT-C-C5-018</t>
        </is>
      </c>
      <c r="B119" s="9" t="inlineStr">
        <is>
          <t>C</t>
        </is>
      </c>
      <c r="C119" s="9" t="inlineStr">
        <is>
          <t>C5</t>
        </is>
      </c>
      <c r="D119" s="9" t="inlineStr">
        <is>
          <t>ACT</t>
        </is>
      </c>
      <c r="E119" s="9" t="inlineStr">
        <is>
          <t>Planifier et suivre des échéances pour que plusieurs opérations soient réalisées au bon moment.</t>
        </is>
      </c>
      <c r="F119" s="9" t="inlineStr">
        <is>
          <t>Planifier plusieurs échéances et vérifier régulièrement que les opérations prévues sont réalisées au bon moment.</t>
        </is>
      </c>
      <c r="G119" s="9" t="inlineStr">
        <is>
          <t>MOYENNE</t>
        </is>
      </c>
      <c r="H119" s="9" t="inlineStr">
        <is>
          <t>A_SURVEILLER</t>
        </is>
      </c>
      <c r="I119" s="9" t="inlineStr">
        <is>
          <t>FORTE</t>
        </is>
      </c>
      <c r="J119" s="9" t="inlineStr">
        <is>
          <t>MAINTIEN_REECRIT</t>
        </is>
      </c>
      <c r="K119" s="9" t="inlineStr">
        <is>
          <t>Planifier plusieurs échéances et vérifier régulièrement que les opérations prévues sont réalisées au bon moment.</t>
        </is>
      </c>
      <c r="L119" s="9" t="inlineStr">
        <is>
          <t>Retenu pour couverture de facette et formulation rendue directement concrète.</t>
        </is>
      </c>
      <c r="M119" s="9" t="inlineStr">
        <is>
          <t>PIP-BANK-0.4</t>
        </is>
      </c>
    </row>
    <row r="120">
      <c r="A120" s="9" t="inlineStr">
        <is>
          <t>PIP-SIT-C-C5-019</t>
        </is>
      </c>
      <c r="B120" s="9" t="inlineStr">
        <is>
          <t>C</t>
        </is>
      </c>
      <c r="C120" s="9" t="inlineStr">
        <is>
          <t>C5</t>
        </is>
      </c>
      <c r="D120" s="9" t="inlineStr">
        <is>
          <t>SIT</t>
        </is>
      </c>
      <c r="E120" s="9" t="inlineStr">
        <is>
          <t>Gérer plusieurs dossiers en parallèle en veillant à ce qu’aucune étape ou échéance ne soit oubliée.</t>
        </is>
      </c>
      <c r="F120" s="9" t="inlineStr">
        <is>
          <t>Gérer plusieurs dossiers en parallèle avec un suivi précis des étapes et des dates à respecter.</t>
        </is>
      </c>
      <c r="G120" s="9" t="inlineStr">
        <is>
          <t>FAIBLE_A_MOYENNE</t>
        </is>
      </c>
      <c r="H120" s="9" t="inlineStr">
        <is>
          <t>FAIBLE</t>
        </is>
      </c>
      <c r="I120" s="9" t="inlineStr">
        <is>
          <t>FORTE</t>
        </is>
      </c>
      <c r="J120" s="9" t="inlineStr">
        <is>
          <t>RETRAIT_BANQUE72</t>
        </is>
      </c>
      <c r="K120" s="9" t="inlineStr"/>
      <c r="L120" s="9" t="inlineStr">
        <is>
          <t>Historique conservé ; item non nécessaire pour atteindre 12/dimension et ≥2/facette.</t>
        </is>
      </c>
      <c r="M120" s="9" t="inlineStr">
        <is>
          <t>PIP-BANK-0.3</t>
        </is>
      </c>
    </row>
    <row r="121">
      <c r="A121" s="9" t="inlineStr">
        <is>
          <t>PIP-ENV-C-C5-020</t>
        </is>
      </c>
      <c r="B121" s="9" t="inlineStr">
        <is>
          <t>C</t>
        </is>
      </c>
      <c r="C121" s="9" t="inlineStr">
        <is>
          <t>C5</t>
        </is>
      </c>
      <c r="D121" s="9" t="inlineStr">
        <is>
          <t>ENV</t>
        </is>
      </c>
      <c r="E121" s="9" t="inlineStr">
        <is>
          <t>Travailler dans un contexte où l’on assure un suivi régulier de dossiers, de données ou d’opérations jusqu’à leur aboutissement.</t>
        </is>
      </c>
      <c r="F121" s="9" t="inlineStr">
        <is>
          <t>Travailler dans un contexte où l’on suit méthodiquement dossiers, données ou opérations jusqu’à leur aboutissement.</t>
        </is>
      </c>
      <c r="G121" s="9" t="inlineStr">
        <is>
          <t>FAIBLE_A_MOYENNE</t>
        </is>
      </c>
      <c r="H121" s="9" t="inlineStr">
        <is>
          <t>FAIBLE</t>
        </is>
      </c>
      <c r="I121" s="9" t="inlineStr">
        <is>
          <t>MOYENNE</t>
        </is>
      </c>
      <c r="J121" s="9" t="inlineStr">
        <is>
          <t>RETRAIT_BANQUE72</t>
        </is>
      </c>
      <c r="K121" s="9" t="inlineStr"/>
      <c r="L121" s="9" t="inlineStr">
        <is>
          <t>Historique conservé ; item non nécessaire pour atteindre 12/dimension et ≥2/facette.</t>
        </is>
      </c>
      <c r="M121" s="9" t="inlineStr">
        <is>
          <t>PIP-BANK-0.3</t>
        </is>
      </c>
    </row>
  </sheetData>
  <autoFilter ref="A1:M121"/>
  <pageMargins left="0.75" right="0.75" top="1" bottom="1" header="0.5" footer="0.5"/>
</worksheet>
</file>

<file path=xl/worksheets/sheet8.xml><?xml version="1.0" encoding="utf-8"?>
<worksheet xmlns="http://schemas.openxmlformats.org/spreadsheetml/2006/main">
  <sheetPr>
    <tabColor rgb="FF548235"/>
    <outlinePr summaryBelow="1" summaryRight="1"/>
    <pageSetUpPr fitToPage="1"/>
  </sheetPr>
  <dimension ref="A1:J34"/>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42" customWidth="1" style="34" min="1" max="1"/>
    <col width="11" customWidth="1" style="34" min="2" max="2"/>
    <col width="15" customWidth="1" style="34" min="3" max="3"/>
    <col width="42" customWidth="1" style="34" min="4" max="9"/>
    <col width="10" customWidth="1" style="34" min="10" max="10"/>
  </cols>
  <sheetData>
    <row r="1" ht="25.95" customHeight="1" s="34">
      <c r="A1" s="35" t="inlineStr">
        <is>
          <t>DIMENSIONS &amp; FACETTES RIASEC</t>
        </is>
      </c>
    </row>
    <row r="2" ht="30" customHeight="1" s="34">
      <c r="A2" s="33" t="inlineStr">
        <is>
          <t>6 dimensions / 30 facettes — référentiel V1.0</t>
        </is>
      </c>
    </row>
    <row r="4" ht="30" customHeight="1" s="34">
      <c r="A4" s="1" t="inlineStr">
        <is>
          <t>facette_id</t>
        </is>
      </c>
      <c r="B4" s="1" t="inlineStr">
        <is>
          <t>dimension</t>
        </is>
      </c>
      <c r="C4" s="1" t="inlineStr">
        <is>
          <t>dimension_nom</t>
        </is>
      </c>
      <c r="D4" s="1" t="inlineStr">
        <is>
          <t>facette_nom</t>
        </is>
      </c>
      <c r="E4" s="1" t="inlineStr">
        <is>
          <t>definition_dimension</t>
        </is>
      </c>
      <c r="F4" s="1" t="inlineStr">
        <is>
          <t>noyau_dimension</t>
        </is>
      </c>
      <c r="G4" s="1" t="inlineStr">
        <is>
          <t>ce_que_le_score_ne_mesure_pas</t>
        </is>
      </c>
      <c r="H4" s="1" t="inlineStr">
        <is>
          <t>description_facette</t>
        </is>
      </c>
      <c r="I4" s="1" t="inlineStr">
        <is>
          <t>verbes_indicatifs</t>
        </is>
      </c>
      <c r="J4" s="1" t="inlineStr">
        <is>
          <t>statut</t>
        </is>
      </c>
    </row>
    <row r="5" ht="86.40000000000001" customHeight="1" s="34">
      <c r="A5" s="4" t="inlineStr">
        <is>
          <t>R1</t>
        </is>
      </c>
      <c r="B5" s="4" t="inlineStr">
        <is>
          <t>R</t>
        </is>
      </c>
      <c r="C5" s="4" t="inlineStr">
        <is>
          <t>Réaliste</t>
        </is>
      </c>
      <c r="D5" s="4" t="inlineStr">
        <is>
          <t>Construire / fabriquer / transformer</t>
        </is>
      </c>
      <c r="E5" s="4"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5" s="4" t="inlineStr">
        <is>
          <t>Action concrète sur le réel et résultat tangible.</t>
        </is>
      </c>
      <c r="G5" s="4" t="inlineStr">
        <is>
          <t>Ni dextérité, ni niveau technique, ni goût exclusif pour le travail manuel.</t>
        </is>
      </c>
      <c r="H5" s="4" t="inlineStr">
        <is>
          <t>Création ou transformation concrète d’objets, structures ou matières.</t>
        </is>
      </c>
      <c r="I5" s="4" t="inlineStr">
        <is>
          <t>Assembler, fabriquer, construire, façonner, transformer</t>
        </is>
      </c>
      <c r="J5" s="6" t="inlineStr">
        <is>
          <t>ACTIF</t>
        </is>
      </c>
    </row>
    <row r="6" ht="86.40000000000001" customHeight="1" s="34">
      <c r="A6" s="4" t="inlineStr">
        <is>
          <t>R2</t>
        </is>
      </c>
      <c r="B6" s="4" t="inlineStr">
        <is>
          <t>R</t>
        </is>
      </c>
      <c r="C6" s="4" t="inlineStr">
        <is>
          <t>Réaliste</t>
        </is>
      </c>
      <c r="D6" s="4" t="inlineStr">
        <is>
          <t>Installer / réparer / maintenir</t>
        </is>
      </c>
      <c r="E6" s="4"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6" s="4" t="inlineStr">
        <is>
          <t>Action concrète sur le réel et résultat tangible.</t>
        </is>
      </c>
      <c r="G6" s="4" t="inlineStr">
        <is>
          <t>Ni dextérité, ni niveau technique, ni goût exclusif pour le travail manuel.</t>
        </is>
      </c>
      <c r="H6" s="4" t="inlineStr">
        <is>
          <t>Diagnostic pratique suivi d’une intervention concrète visant le fonctionnement.</t>
        </is>
      </c>
      <c r="I6" s="4" t="inlineStr">
        <is>
          <t>Installer, régler, réparer, entretenir, remettre en service</t>
        </is>
      </c>
      <c r="J6" s="6" t="inlineStr">
        <is>
          <t>ACTIF</t>
        </is>
      </c>
    </row>
    <row r="7" ht="86.40000000000001" customHeight="1" s="34">
      <c r="A7" s="4" t="inlineStr">
        <is>
          <t>R3</t>
        </is>
      </c>
      <c r="B7" s="4" t="inlineStr">
        <is>
          <t>R</t>
        </is>
      </c>
      <c r="C7" s="4" t="inlineStr">
        <is>
          <t>Réaliste</t>
        </is>
      </c>
      <c r="D7" s="4" t="inlineStr">
        <is>
          <t>Outils / machines / équipements</t>
        </is>
      </c>
      <c r="E7" s="4"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7" s="4" t="inlineStr">
        <is>
          <t>Action concrète sur le réel et résultat tangible.</t>
        </is>
      </c>
      <c r="G7" s="4" t="inlineStr">
        <is>
          <t>Ni dextérité, ni niveau technique, ni goût exclusif pour le travail manuel.</t>
        </is>
      </c>
      <c r="H7" s="4" t="inlineStr">
        <is>
          <t>Usage direct d’outils, machines, instruments ou équipements techniques.</t>
        </is>
      </c>
      <c r="I7" s="4" t="inlineStr">
        <is>
          <t>Manipuler, piloter, régler, utiliser un équipement</t>
        </is>
      </c>
      <c r="J7" s="6" t="inlineStr">
        <is>
          <t>ACTIF</t>
        </is>
      </c>
    </row>
    <row r="8" ht="86.40000000000001" customHeight="1" s="34">
      <c r="A8" s="4" t="inlineStr">
        <is>
          <t>R4</t>
        </is>
      </c>
      <c r="B8" s="4" t="inlineStr">
        <is>
          <t>R</t>
        </is>
      </c>
      <c r="C8" s="4" t="inlineStr">
        <is>
          <t>Réaliste</t>
        </is>
      </c>
      <c r="D8" s="4" t="inlineStr">
        <is>
          <t>Terrain / environnement concret</t>
        </is>
      </c>
      <c r="E8" s="4"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8" s="4" t="inlineStr">
        <is>
          <t>Action concrète sur le réel et résultat tangible.</t>
        </is>
      </c>
      <c r="G8" s="4" t="inlineStr">
        <is>
          <t>Ni dextérité, ni niveau technique, ni goût exclusif pour le travail manuel.</t>
        </is>
      </c>
      <c r="H8" s="4" t="inlineStr">
        <is>
          <t>Action dans des contextes physiques, extérieurs ou directement liés à un environnement réel.</t>
        </is>
      </c>
      <c r="I8" s="4" t="inlineStr">
        <is>
          <t>Intervenir sur site, travailler dehors, se déplacer sur le terrain</t>
        </is>
      </c>
      <c r="J8" s="6" t="inlineStr">
        <is>
          <t>ACTIF</t>
        </is>
      </c>
    </row>
    <row r="9" ht="86.40000000000001" customHeight="1" s="34">
      <c r="A9" s="4" t="inlineStr">
        <is>
          <t>R5</t>
        </is>
      </c>
      <c r="B9" s="4" t="inlineStr">
        <is>
          <t>R</t>
        </is>
      </c>
      <c r="C9" s="4" t="inlineStr">
        <is>
          <t>Réaliste</t>
        </is>
      </c>
      <c r="D9" s="4" t="inlineStr">
        <is>
          <t>Vivant / matière / action physique</t>
        </is>
      </c>
      <c r="E9" s="4"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9" s="4" t="inlineStr">
        <is>
          <t>Action concrète sur le réel et résultat tangible.</t>
        </is>
      </c>
      <c r="G9" s="4" t="inlineStr">
        <is>
          <t>Ni dextérité, ni niveau technique, ni goût exclusif pour le travail manuel.</t>
        </is>
      </c>
      <c r="H9" s="4" t="inlineStr">
        <is>
          <t>Activités pratiques impliquant plantes, animaux, matière, effort corporel ou intervention physique finalisée.</t>
        </is>
      </c>
      <c r="I9" s="4" t="inlineStr">
        <is>
          <t>S’occuper d’animaux ou cultures, manipuler des matériaux</t>
        </is>
      </c>
      <c r="J9" s="6" t="inlineStr">
        <is>
          <t>ACTIF</t>
        </is>
      </c>
    </row>
    <row r="10" ht="86.40000000000001" customHeight="1" s="34">
      <c r="A10" s="4" t="inlineStr">
        <is>
          <t>I1</t>
        </is>
      </c>
      <c r="B10" s="4" t="inlineStr">
        <is>
          <t>I</t>
        </is>
      </c>
      <c r="C10" s="4" t="inlineStr">
        <is>
          <t>Investigateur</t>
        </is>
      </c>
      <c r="D10" s="4" t="inlineStr">
        <is>
          <t>Observer / examiner</t>
        </is>
      </c>
      <c r="E10" s="4" t="inlineStr">
        <is>
          <t>Attirance pour des activités où l’on cherche à comprendre, examiner, expliquer ou résoudre des questions en mobilisant observation, analyse, raisonnement, recherche d’informations, expérimentation ou mise en relation d’idées et de faits.</t>
        </is>
      </c>
      <c r="F10" s="4" t="inlineStr">
        <is>
          <t>Comprendre, rechercher, expliquer et résoudre.</t>
        </is>
      </c>
      <c r="G10" s="4" t="inlineStr">
        <is>
          <t>Ni intelligence, ni niveau scolaire, ni étiquette de scientifique.</t>
        </is>
      </c>
      <c r="H10" s="4" t="inlineStr">
        <is>
          <t>Examen attentif de faits, phénomènes, informations ou situations.</t>
        </is>
      </c>
      <c r="I10" s="4" t="inlineStr">
        <is>
          <t>Observer, examiner, comparer, repérer, documenter</t>
        </is>
      </c>
      <c r="J10" s="6" t="inlineStr">
        <is>
          <t>ACTIF</t>
        </is>
      </c>
    </row>
    <row r="11" ht="86.40000000000001" customHeight="1" s="34">
      <c r="A11" s="4" t="inlineStr">
        <is>
          <t>I2</t>
        </is>
      </c>
      <c r="B11" s="4" t="inlineStr">
        <is>
          <t>I</t>
        </is>
      </c>
      <c r="C11" s="4" t="inlineStr">
        <is>
          <t>Investigateur</t>
        </is>
      </c>
      <c r="D11" s="4" t="inlineStr">
        <is>
          <t>Analyser / raisonner</t>
        </is>
      </c>
      <c r="E11" s="4" t="inlineStr">
        <is>
          <t>Attirance pour des activités où l’on cherche à comprendre, examiner, expliquer ou résoudre des questions en mobilisant observation, analyse, raisonnement, recherche d’informations, expérimentation ou mise en relation d’idées et de faits.</t>
        </is>
      </c>
      <c r="F11" s="4" t="inlineStr">
        <is>
          <t>Comprendre, rechercher, expliquer et résoudre.</t>
        </is>
      </c>
      <c r="G11" s="4" t="inlineStr">
        <is>
          <t>Ni intelligence, ni niveau scolaire, ni étiquette de scientifique.</t>
        </is>
      </c>
      <c r="H11" s="4" t="inlineStr">
        <is>
          <t>Décomposition d’un problème et mise en relation d’informations.</t>
        </is>
      </c>
      <c r="I11" s="4" t="inlineStr">
        <is>
          <t>Analyser, relier, déduire, interpréter, modéliser</t>
        </is>
      </c>
      <c r="J11" s="6" t="inlineStr">
        <is>
          <t>ACTIF</t>
        </is>
      </c>
    </row>
    <row r="12" ht="86.40000000000001" customHeight="1" s="34">
      <c r="A12" s="4" t="inlineStr">
        <is>
          <t>I3</t>
        </is>
      </c>
      <c r="B12" s="4" t="inlineStr">
        <is>
          <t>I</t>
        </is>
      </c>
      <c r="C12" s="4" t="inlineStr">
        <is>
          <t>Investigateur</t>
        </is>
      </c>
      <c r="D12" s="4" t="inlineStr">
        <is>
          <t>Rechercher / enquêter</t>
        </is>
      </c>
      <c r="E12" s="4" t="inlineStr">
        <is>
          <t>Attirance pour des activités où l’on cherche à comprendre, examiner, expliquer ou résoudre des questions en mobilisant observation, analyse, raisonnement, recherche d’informations, expérimentation ou mise en relation d’idées et de faits.</t>
        </is>
      </c>
      <c r="F12" s="4" t="inlineStr">
        <is>
          <t>Comprendre, rechercher, expliquer et résoudre.</t>
        </is>
      </c>
      <c r="G12" s="4" t="inlineStr">
        <is>
          <t>Ni intelligence, ni niveau scolaire, ni étiquette de scientifique.</t>
        </is>
      </c>
      <c r="H12" s="4" t="inlineStr">
        <is>
          <t>Recherche d’informations, preuves ou explications lorsqu’une question reste ouverte.</t>
        </is>
      </c>
      <c r="I12" s="4" t="inlineStr">
        <is>
          <t>Rechercher, enquêter, vérifier, approfondir, confronter des sources</t>
        </is>
      </c>
      <c r="J12" s="6" t="inlineStr">
        <is>
          <t>ACTIF</t>
        </is>
      </c>
    </row>
    <row r="13" ht="86.40000000000001" customHeight="1" s="34">
      <c r="A13" s="4" t="inlineStr">
        <is>
          <t>I4</t>
        </is>
      </c>
      <c r="B13" s="4" t="inlineStr">
        <is>
          <t>I</t>
        </is>
      </c>
      <c r="C13" s="4" t="inlineStr">
        <is>
          <t>Investigateur</t>
        </is>
      </c>
      <c r="D13" s="4" t="inlineStr">
        <is>
          <t>Expérimenter / tester</t>
        </is>
      </c>
      <c r="E13" s="4" t="inlineStr">
        <is>
          <t>Attirance pour des activités où l’on cherche à comprendre, examiner, expliquer ou résoudre des questions en mobilisant observation, analyse, raisonnement, recherche d’informations, expérimentation ou mise en relation d’idées et de faits.</t>
        </is>
      </c>
      <c r="F13" s="4" t="inlineStr">
        <is>
          <t>Comprendre, rechercher, expliquer et résoudre.</t>
        </is>
      </c>
      <c r="G13" s="4" t="inlineStr">
        <is>
          <t>Ni intelligence, ni niveau scolaire, ni étiquette de scientifique.</t>
        </is>
      </c>
      <c r="H13" s="4" t="inlineStr">
        <is>
          <t>Mise à l’épreuve d’hypothèses ou solutions afin d’apprendre du résultat.</t>
        </is>
      </c>
      <c r="I13" s="4" t="inlineStr">
        <is>
          <t>Tester, expérimenter, mesurer, essayer</t>
        </is>
      </c>
      <c r="J13" s="6" t="inlineStr">
        <is>
          <t>ACTIF</t>
        </is>
      </c>
    </row>
    <row r="14" ht="86.40000000000001" customHeight="1" s="34">
      <c r="A14" s="4" t="inlineStr">
        <is>
          <t>I5</t>
        </is>
      </c>
      <c r="B14" s="4" t="inlineStr">
        <is>
          <t>I</t>
        </is>
      </c>
      <c r="C14" s="4" t="inlineStr">
        <is>
          <t>Investigateur</t>
        </is>
      </c>
      <c r="D14" s="4" t="inlineStr">
        <is>
          <t>Résoudre / expliquer</t>
        </is>
      </c>
      <c r="E14" s="4" t="inlineStr">
        <is>
          <t>Attirance pour des activités où l’on cherche à comprendre, examiner, expliquer ou résoudre des questions en mobilisant observation, analyse, raisonnement, recherche d’informations, expérimentation ou mise en relation d’idées et de faits.</t>
        </is>
      </c>
      <c r="F14" s="4" t="inlineStr">
        <is>
          <t>Comprendre, rechercher, expliquer et résoudre.</t>
        </is>
      </c>
      <c r="G14" s="4" t="inlineStr">
        <is>
          <t>Ni intelligence, ni niveau scolaire, ni étiquette de scientifique.</t>
        </is>
      </c>
      <c r="H14" s="4" t="inlineStr">
        <is>
          <t>Problèmes intellectuels dont l’enjeu est de comprendre, expliquer ou trouver une solution fondée.</t>
        </is>
      </c>
      <c r="I14" s="4" t="inlineStr">
        <is>
          <t>Résoudre, expliquer, diagnostiquer intellectuellement, conceptualiser</t>
        </is>
      </c>
      <c r="J14" s="6" t="inlineStr">
        <is>
          <t>ACTIF</t>
        </is>
      </c>
    </row>
    <row r="15" ht="57.6" customHeight="1" s="34">
      <c r="A15" s="4" t="inlineStr">
        <is>
          <t>A1</t>
        </is>
      </c>
      <c r="B15" s="4" t="inlineStr">
        <is>
          <t>A</t>
        </is>
      </c>
      <c r="C15" s="4" t="inlineStr">
        <is>
          <t>Artistique</t>
        </is>
      </c>
      <c r="D15" s="4" t="inlineStr">
        <is>
          <t>Imaginer / inventer</t>
        </is>
      </c>
      <c r="E15" s="4" t="inlineStr">
        <is>
          <t>Attirance pour des activités où l’on imagine, crée, compose, conçoit ou exprime quelque chose avec un espace d’originalité, d’interprétation, de sensibilité ou de choix personnel.</t>
        </is>
      </c>
      <c r="F15" s="4" t="inlineStr">
        <is>
          <t>Créer, concevoir ou exprimer avec ouverture.</t>
        </is>
      </c>
      <c r="G15" s="4" t="inlineStr">
        <is>
          <t>Ni talent artistique, ni originalité personnelle mesurée, ni obligation de métier culturel.</t>
        </is>
      </c>
      <c r="H15" s="4" t="inlineStr">
        <is>
          <t>Génération d’idées, concepts, scénarios ou formes nouvelles.</t>
        </is>
      </c>
      <c r="I15" s="4" t="inlineStr">
        <is>
          <t>Imaginer, inventer, proposer, explorer, détourner</t>
        </is>
      </c>
      <c r="J15" s="6" t="inlineStr">
        <is>
          <t>ACTIF</t>
        </is>
      </c>
    </row>
    <row r="16" ht="57.6" customHeight="1" s="34">
      <c r="A16" s="4" t="inlineStr">
        <is>
          <t>A2</t>
        </is>
      </c>
      <c r="B16" s="4" t="inlineStr">
        <is>
          <t>A</t>
        </is>
      </c>
      <c r="C16" s="4" t="inlineStr">
        <is>
          <t>Artistique</t>
        </is>
      </c>
      <c r="D16" s="4" t="inlineStr">
        <is>
          <t>Concevoir / composer</t>
        </is>
      </c>
      <c r="E16" s="4" t="inlineStr">
        <is>
          <t>Attirance pour des activités où l’on imagine, crée, compose, conçoit ou exprime quelque chose avec un espace d’originalité, d’interprétation, de sensibilité ou de choix personnel.</t>
        </is>
      </c>
      <c r="F16" s="4" t="inlineStr">
        <is>
          <t>Créer, concevoir ou exprimer avec ouverture.</t>
        </is>
      </c>
      <c r="G16" s="4" t="inlineStr">
        <is>
          <t>Ni talent artistique, ni originalité personnelle mesurée, ni obligation de métier culturel.</t>
        </is>
      </c>
      <c r="H16" s="4" t="inlineStr">
        <is>
          <t>Organisation créative d’éléments afin de produire une forme cohérente et personnelle.</t>
        </is>
      </c>
      <c r="I16" s="4" t="inlineStr">
        <is>
          <t>Concevoir, composer, agencer, scénariser, designer</t>
        </is>
      </c>
      <c r="J16" s="6" t="inlineStr">
        <is>
          <t>ACTIF</t>
        </is>
      </c>
    </row>
    <row r="17" ht="57.6" customHeight="1" s="34">
      <c r="A17" s="4" t="inlineStr">
        <is>
          <t>A3</t>
        </is>
      </c>
      <c r="B17" s="4" t="inlineStr">
        <is>
          <t>A</t>
        </is>
      </c>
      <c r="C17" s="4" t="inlineStr">
        <is>
          <t>Artistique</t>
        </is>
      </c>
      <c r="D17" s="4" t="inlineStr">
        <is>
          <t>Exprimer / raconter</t>
        </is>
      </c>
      <c r="E17" s="4" t="inlineStr">
        <is>
          <t>Attirance pour des activités où l’on imagine, crée, compose, conçoit ou exprime quelque chose avec un espace d’originalité, d’interprétation, de sensibilité ou de choix personnel.</t>
        </is>
      </c>
      <c r="F17" s="4" t="inlineStr">
        <is>
          <t>Créer, concevoir ou exprimer avec ouverture.</t>
        </is>
      </c>
      <c r="G17" s="4" t="inlineStr">
        <is>
          <t>Ni talent artistique, ni originalité personnelle mesurée, ni obligation de métier culturel.</t>
        </is>
      </c>
      <c r="H17" s="4" t="inlineStr">
        <is>
          <t>Transmission d’une idée, émotion, point de vue ou histoire par une forme expressive.</t>
        </is>
      </c>
      <c r="I17" s="4" t="inlineStr">
        <is>
          <t>Écrire, raconter, interpréter, représenter, mettre en scène</t>
        </is>
      </c>
      <c r="J17" s="6" t="inlineStr">
        <is>
          <t>ACTIF</t>
        </is>
      </c>
    </row>
    <row r="18" ht="57.6" customHeight="1" s="34">
      <c r="A18" s="4" t="inlineStr">
        <is>
          <t>A4</t>
        </is>
      </c>
      <c r="B18" s="4" t="inlineStr">
        <is>
          <t>A</t>
        </is>
      </c>
      <c r="C18" s="4" t="inlineStr">
        <is>
          <t>Artistique</t>
        </is>
      </c>
      <c r="D18" s="4" t="inlineStr">
        <is>
          <t>Créer visuellement / sensoriellement</t>
        </is>
      </c>
      <c r="E18" s="4" t="inlineStr">
        <is>
          <t>Attirance pour des activités où l’on imagine, crée, compose, conçoit ou exprime quelque chose avec un espace d’originalité, d’interprétation, de sensibilité ou de choix personnel.</t>
        </is>
      </c>
      <c r="F18" s="4" t="inlineStr">
        <is>
          <t>Créer, concevoir ou exprimer avec ouverture.</t>
        </is>
      </c>
      <c r="G18" s="4" t="inlineStr">
        <is>
          <t>Ni talent artistique, ni originalité personnelle mesurée, ni obligation de métier culturel.</t>
        </is>
      </c>
      <c r="H18" s="4" t="inlineStr">
        <is>
          <t>Création mobilisant formes, images, sons, mouvements, matières, espaces ou expériences sensibles.</t>
        </is>
      </c>
      <c r="I18" s="4" t="inlineStr">
        <is>
          <t>Dessiner, photographier, filmer, composer, chorégraphier</t>
        </is>
      </c>
      <c r="J18" s="6" t="inlineStr">
        <is>
          <t>ACTIF</t>
        </is>
      </c>
    </row>
    <row r="19" ht="57.6" customHeight="1" s="34">
      <c r="A19" s="4" t="inlineStr">
        <is>
          <t>A5</t>
        </is>
      </c>
      <c r="B19" s="4" t="inlineStr">
        <is>
          <t>A</t>
        </is>
      </c>
      <c r="C19" s="4" t="inlineStr">
        <is>
          <t>Artistique</t>
        </is>
      </c>
      <c r="D19" s="4" t="inlineStr">
        <is>
          <t>Explorer des solutions ouvertes</t>
        </is>
      </c>
      <c r="E19" s="4" t="inlineStr">
        <is>
          <t>Attirance pour des activités où l’on imagine, crée, compose, conçoit ou exprime quelque chose avec un espace d’originalité, d’interprétation, de sensibilité ou de choix personnel.</t>
        </is>
      </c>
      <c r="F19" s="4" t="inlineStr">
        <is>
          <t>Créer, concevoir ou exprimer avec ouverture.</t>
        </is>
      </c>
      <c r="G19" s="4" t="inlineStr">
        <is>
          <t>Ni talent artistique, ni originalité personnelle mesurée, ni obligation de métier culturel.</t>
        </is>
      </c>
      <c r="H19" s="4" t="inlineStr">
        <is>
          <t>Tâches créatives où plusieurs réponses sont possibles et l’originalité a une place réelle.</t>
        </is>
      </c>
      <c r="I19" s="4" t="inlineStr">
        <is>
          <t>Explorer, réinventer, proposer plusieurs pistes</t>
        </is>
      </c>
      <c r="J19" s="6" t="inlineStr">
        <is>
          <t>ACTIF</t>
        </is>
      </c>
    </row>
    <row r="20" ht="57.6" customHeight="1" s="34">
      <c r="A20" s="4" t="inlineStr">
        <is>
          <t>S1</t>
        </is>
      </c>
      <c r="B20" s="4" t="inlineStr">
        <is>
          <t>S</t>
        </is>
      </c>
      <c r="C20" s="4" t="inlineStr">
        <is>
          <t>Social</t>
        </is>
      </c>
      <c r="D20" s="4" t="inlineStr">
        <is>
          <t>Enseigner / transmettre</t>
        </is>
      </c>
      <c r="E20" s="4" t="inlineStr">
        <is>
          <t>Attirance pour des activités où l’on aide, enseigne, conseille, accompagne, soigne, soutient ou rend un service directement utile à d’autres personnes.</t>
        </is>
      </c>
      <c r="F20" s="4" t="inlineStr">
        <is>
          <t>Aider, développer, soutenir ou servir autrui.</t>
        </is>
      </c>
      <c r="G20" s="4" t="inlineStr">
        <is>
          <t>Ni empathie, ni sociabilité, ni bonté, ni obligation d’exercer un métier social.</t>
        </is>
      </c>
      <c r="H20" s="4" t="inlineStr">
        <is>
          <t>Faire apprendre, expliquer et développer des connaissances ou savoir-faire chez autrui.</t>
        </is>
      </c>
      <c r="I20" s="4" t="inlineStr">
        <is>
          <t>Enseigner, expliquer, montrer, former, transmettre</t>
        </is>
      </c>
      <c r="J20" s="6" t="inlineStr">
        <is>
          <t>ACTIF</t>
        </is>
      </c>
    </row>
    <row r="21" ht="57.6" customHeight="1" s="34">
      <c r="A21" s="4" t="inlineStr">
        <is>
          <t>S2</t>
        </is>
      </c>
      <c r="B21" s="4" t="inlineStr">
        <is>
          <t>S</t>
        </is>
      </c>
      <c r="C21" s="4" t="inlineStr">
        <is>
          <t>Social</t>
        </is>
      </c>
      <c r="D21" s="4" t="inlineStr">
        <is>
          <t>Aider / soutenir / accompagner</t>
        </is>
      </c>
      <c r="E21" s="4" t="inlineStr">
        <is>
          <t>Attirance pour des activités où l’on aide, enseigne, conseille, accompagne, soigne, soutient ou rend un service directement utile à d’autres personnes.</t>
        </is>
      </c>
      <c r="F21" s="4" t="inlineStr">
        <is>
          <t>Aider, développer, soutenir ou servir autrui.</t>
        </is>
      </c>
      <c r="G21" s="4" t="inlineStr">
        <is>
          <t>Ni empathie, ni sociabilité, ni bonté, ni obligation d’exercer un métier social.</t>
        </is>
      </c>
      <c r="H21" s="4" t="inlineStr">
        <is>
          <t>Soutenir une personne face à une difficulté, un changement ou un objectif.</t>
        </is>
      </c>
      <c r="I21" s="4" t="inlineStr">
        <is>
          <t>Aider, soutenir, accompagner, encourager, faciliter</t>
        </is>
      </c>
      <c r="J21" s="6" t="inlineStr">
        <is>
          <t>ACTIF</t>
        </is>
      </c>
    </row>
    <row r="22" ht="57.6" customHeight="1" s="34">
      <c r="A22" s="4" t="inlineStr">
        <is>
          <t>S3</t>
        </is>
      </c>
      <c r="B22" s="4" t="inlineStr">
        <is>
          <t>S</t>
        </is>
      </c>
      <c r="C22" s="4" t="inlineStr">
        <is>
          <t>Social</t>
        </is>
      </c>
      <c r="D22" s="4" t="inlineStr">
        <is>
          <t>Conseiller / guider / orienter</t>
        </is>
      </c>
      <c r="E22" s="4" t="inlineStr">
        <is>
          <t>Attirance pour des activités où l’on aide, enseigne, conseille, accompagne, soigne, soutient ou rend un service directement utile à d’autres personnes.</t>
        </is>
      </c>
      <c r="F22" s="4" t="inlineStr">
        <is>
          <t>Aider, développer, soutenir ou servir autrui.</t>
        </is>
      </c>
      <c r="G22" s="4" t="inlineStr">
        <is>
          <t>Ni empathie, ni sociabilité, ni bonté, ni obligation d’exercer un métier social.</t>
        </is>
      </c>
      <c r="H22" s="4" t="inlineStr">
        <is>
          <t>Aider une personne à comprendre ses options ou avancer dans une décision.</t>
        </is>
      </c>
      <c r="I22" s="4" t="inlineStr">
        <is>
          <t>Conseiller, guider, orienter, informer, recommander</t>
        </is>
      </c>
      <c r="J22" s="6" t="inlineStr">
        <is>
          <t>ACTIF</t>
        </is>
      </c>
    </row>
    <row r="23" ht="57.6" customHeight="1" s="34">
      <c r="A23" s="4" t="inlineStr">
        <is>
          <t>S4</t>
        </is>
      </c>
      <c r="B23" s="4" t="inlineStr">
        <is>
          <t>S</t>
        </is>
      </c>
      <c r="C23" s="4" t="inlineStr">
        <is>
          <t>Social</t>
        </is>
      </c>
      <c r="D23" s="4" t="inlineStr">
        <is>
          <t>Soigner / prendre soin</t>
        </is>
      </c>
      <c r="E23" s="4" t="inlineStr">
        <is>
          <t>Attirance pour des activités où l’on aide, enseigne, conseille, accompagne, soigne, soutient ou rend un service directement utile à d’autres personnes.</t>
        </is>
      </c>
      <c r="F23" s="4" t="inlineStr">
        <is>
          <t>Aider, développer, soutenir ou servir autrui.</t>
        </is>
      </c>
      <c r="G23" s="4" t="inlineStr">
        <is>
          <t>Ni empathie, ni sociabilité, ni bonté, ni obligation d’exercer un métier social.</t>
        </is>
      </c>
      <c r="H23" s="4" t="inlineStr">
        <is>
          <t>Contribuer directement à la santé, au bien-être, à la sécurité ou au rétablissement d’une personne.</t>
        </is>
      </c>
      <c r="I23" s="4" t="inlineStr">
        <is>
          <t>Soigner, prendre en charge, assister, rééduquer, protéger</t>
        </is>
      </c>
      <c r="J23" s="6" t="inlineStr">
        <is>
          <t>ACTIF</t>
        </is>
      </c>
    </row>
    <row r="24" ht="57.6" customHeight="1" s="34">
      <c r="A24" s="4" t="inlineStr">
        <is>
          <t>S5</t>
        </is>
      </c>
      <c r="B24" s="4" t="inlineStr">
        <is>
          <t>S</t>
        </is>
      </c>
      <c r="C24" s="4" t="inlineStr">
        <is>
          <t>Social</t>
        </is>
      </c>
      <c r="D24" s="4" t="inlineStr">
        <is>
          <t>Servir / assister directement</t>
        </is>
      </c>
      <c r="E24" s="4" t="inlineStr">
        <is>
          <t>Attirance pour des activités où l’on aide, enseigne, conseille, accompagne, soigne, soutient ou rend un service directement utile à d’autres personnes.</t>
        </is>
      </c>
      <c r="F24" s="4" t="inlineStr">
        <is>
          <t>Aider, développer, soutenir ou servir autrui.</t>
        </is>
      </c>
      <c r="G24" s="4" t="inlineStr">
        <is>
          <t>Ni empathie, ni sociabilité, ni bonté, ni obligation d’exercer un métier social.</t>
        </is>
      </c>
      <c r="H24" s="4" t="inlineStr">
        <is>
          <t>Rendre un service concret ou personnalisé répondant à un besoin d’autrui.</t>
        </is>
      </c>
      <c r="I24" s="4" t="inlineStr">
        <is>
          <t>Accueillir, assister, renseigner, faciliter le quotidien</t>
        </is>
      </c>
      <c r="J24" s="6" t="inlineStr">
        <is>
          <t>ACTIF</t>
        </is>
      </c>
    </row>
    <row r="25" ht="57.6" customHeight="1" s="34">
      <c r="A25" s="4" t="inlineStr">
        <is>
          <t>E1</t>
        </is>
      </c>
      <c r="B25" s="4" t="inlineStr">
        <is>
          <t>E</t>
        </is>
      </c>
      <c r="C25" s="4" t="inlineStr">
        <is>
          <t>Entreprenant</t>
        </is>
      </c>
      <c r="D25" s="4" t="inlineStr">
        <is>
          <t>Initier / entreprendre / développer</t>
        </is>
      </c>
      <c r="E25" s="4" t="inlineStr">
        <is>
          <t>Attirance pour des activités où l’on initie, développe, dirige, négocie, convainc, représente ou mobilise des personnes et des ressources afin de faire avancer un projet ou obtenir un résultat.</t>
        </is>
      </c>
      <c r="F25" s="4" t="inlineStr">
        <is>
          <t>Initier, influencer, décider et faire avancer.</t>
        </is>
      </c>
      <c r="G25" s="4" t="inlineStr">
        <is>
          <t>Ni ambition, ni domination, ni extraversion, ni réussite commerciale.</t>
        </is>
      </c>
      <c r="H25" s="4" t="inlineStr">
        <is>
          <t>Lancer, faire croître ou transformer une activité, un projet ou une opportunité.</t>
        </is>
      </c>
      <c r="I25" s="4" t="inlineStr">
        <is>
          <t>Initier, entreprendre, lancer, développer, saisir une opportunité</t>
        </is>
      </c>
      <c r="J25" s="6" t="inlineStr">
        <is>
          <t>ACTIF</t>
        </is>
      </c>
    </row>
    <row r="26" ht="57.6" customHeight="1" s="34">
      <c r="A26" s="4" t="inlineStr">
        <is>
          <t>E2</t>
        </is>
      </c>
      <c r="B26" s="4" t="inlineStr">
        <is>
          <t>E</t>
        </is>
      </c>
      <c r="C26" s="4" t="inlineStr">
        <is>
          <t>Entreprenant</t>
        </is>
      </c>
      <c r="D26" s="4" t="inlineStr">
        <is>
          <t>Convaincre / vendre / promouvoir</t>
        </is>
      </c>
      <c r="E26" s="4" t="inlineStr">
        <is>
          <t>Attirance pour des activités où l’on initie, développe, dirige, négocie, convainc, représente ou mobilise des personnes et des ressources afin de faire avancer un projet ou obtenir un résultat.</t>
        </is>
      </c>
      <c r="F26" s="4" t="inlineStr">
        <is>
          <t>Initier, influencer, décider et faire avancer.</t>
        </is>
      </c>
      <c r="G26" s="4" t="inlineStr">
        <is>
          <t>Ni ambition, ni domination, ni extraversion, ni réussite commerciale.</t>
        </is>
      </c>
      <c r="H26" s="4" t="inlineStr">
        <is>
          <t>Présenter une proposition et obtenir l’adhésion d’un client, public ou partenaire.</t>
        </is>
      </c>
      <c r="I26" s="4" t="inlineStr">
        <is>
          <t>Convaincre, vendre, promouvoir, argumenter, présenter</t>
        </is>
      </c>
      <c r="J26" s="6" t="inlineStr">
        <is>
          <t>ACTIF</t>
        </is>
      </c>
    </row>
    <row r="27" ht="57.6" customHeight="1" s="34">
      <c r="A27" s="4" t="inlineStr">
        <is>
          <t>E3</t>
        </is>
      </c>
      <c r="B27" s="4" t="inlineStr">
        <is>
          <t>E</t>
        </is>
      </c>
      <c r="C27" s="4" t="inlineStr">
        <is>
          <t>Entreprenant</t>
        </is>
      </c>
      <c r="D27" s="4" t="inlineStr">
        <is>
          <t>Négocier / obtenir un accord</t>
        </is>
      </c>
      <c r="E27" s="4" t="inlineStr">
        <is>
          <t>Attirance pour des activités où l’on initie, développe, dirige, négocie, convainc, représente ou mobilise des personnes et des ressources afin de faire avancer un projet ou obtenir un résultat.</t>
        </is>
      </c>
      <c r="F27" s="4" t="inlineStr">
        <is>
          <t>Initier, influencer, décider et faire avancer.</t>
        </is>
      </c>
      <c r="G27" s="4" t="inlineStr">
        <is>
          <t>Ni ambition, ni domination, ni extraversion, ni réussite commerciale.</t>
        </is>
      </c>
      <c r="H27" s="4" t="inlineStr">
        <is>
          <t>Confronter des intérêts, rechercher des compromis et conclure des accords.</t>
        </is>
      </c>
      <c r="I27" s="4" t="inlineStr">
        <is>
          <t>Négocier, défendre, arbitrer, conclure, obtenir</t>
        </is>
      </c>
      <c r="J27" s="6" t="inlineStr">
        <is>
          <t>ACTIF</t>
        </is>
      </c>
    </row>
    <row r="28" ht="57.6" customHeight="1" s="34">
      <c r="A28" s="4" t="inlineStr">
        <is>
          <t>E4</t>
        </is>
      </c>
      <c r="B28" s="4" t="inlineStr">
        <is>
          <t>E</t>
        </is>
      </c>
      <c r="C28" s="4" t="inlineStr">
        <is>
          <t>Entreprenant</t>
        </is>
      </c>
      <c r="D28" s="4" t="inlineStr">
        <is>
          <t>Diriger / manager / décider</t>
        </is>
      </c>
      <c r="E28" s="4" t="inlineStr">
        <is>
          <t>Attirance pour des activités où l’on initie, développe, dirige, négocie, convainc, représente ou mobilise des personnes et des ressources afin de faire avancer un projet ou obtenir un résultat.</t>
        </is>
      </c>
      <c r="F28" s="4" t="inlineStr">
        <is>
          <t>Initier, influencer, décider et faire avancer.</t>
        </is>
      </c>
      <c r="G28" s="4" t="inlineStr">
        <is>
          <t>Ni ambition, ni domination, ni extraversion, ni réussite commerciale.</t>
        </is>
      </c>
      <c r="H28" s="4" t="inlineStr">
        <is>
          <t>Assumer la conduite d’un projet ou collectif, décider et orienter l’action.</t>
        </is>
      </c>
      <c r="I28" s="4" t="inlineStr">
        <is>
          <t>Diriger, manager, superviser, décider, coordonner</t>
        </is>
      </c>
      <c r="J28" s="6" t="inlineStr">
        <is>
          <t>ACTIF</t>
        </is>
      </c>
    </row>
    <row r="29" ht="57.6" customHeight="1" s="34">
      <c r="A29" s="4" t="inlineStr">
        <is>
          <t>E5</t>
        </is>
      </c>
      <c r="B29" s="4" t="inlineStr">
        <is>
          <t>E</t>
        </is>
      </c>
      <c r="C29" s="4" t="inlineStr">
        <is>
          <t>Entreprenant</t>
        </is>
      </c>
      <c r="D29" s="4" t="inlineStr">
        <is>
          <t>Influencer / représenter / mobiliser</t>
        </is>
      </c>
      <c r="E29" s="4" t="inlineStr">
        <is>
          <t>Attirance pour des activités où l’on initie, développe, dirige, négocie, convainc, représente ou mobilise des personnes et des ressources afin de faire avancer un projet ou obtenir un résultat.</t>
        </is>
      </c>
      <c r="F29" s="4" t="inlineStr">
        <is>
          <t>Initier, influencer, décider et faire avancer.</t>
        </is>
      </c>
      <c r="G29" s="4" t="inlineStr">
        <is>
          <t>Ni ambition, ni domination, ni extraversion, ni réussite commerciale.</t>
        </is>
      </c>
      <c r="H29" s="4" t="inlineStr">
        <is>
          <t>Prendre la parole, représenter une position, créer de l’adhésion ou mobiliser.</t>
        </is>
      </c>
      <c r="I29" s="4" t="inlineStr">
        <is>
          <t>Influencer, mobiliser, représenter, plaider, prendre la parole</t>
        </is>
      </c>
      <c r="J29" s="6" t="inlineStr">
        <is>
          <t>ACTIF</t>
        </is>
      </c>
    </row>
    <row r="30" ht="57.6" customHeight="1" s="34">
      <c r="A30" s="4" t="inlineStr">
        <is>
          <t>C1</t>
        </is>
      </c>
      <c r="B30" s="4" t="inlineStr">
        <is>
          <t>C</t>
        </is>
      </c>
      <c r="C30" s="4" t="inlineStr">
        <is>
          <t>Conventionnel</t>
        </is>
      </c>
      <c r="D30" s="4" t="inlineStr">
        <is>
          <t>Organiser / classer / structurer</t>
        </is>
      </c>
      <c r="E30" s="4" t="inlineStr">
        <is>
          <t>Attirance pour des activités où l’on organise, enregistre, classe, traite, vérifie ou suit des informations, données, dossiers, transactions ou ressources dans un cadre structuré.</t>
        </is>
      </c>
      <c r="F30" s="4" t="inlineStr">
        <is>
          <t>Structurer, fiabiliser et suivre méthodiquement.</t>
        </is>
      </c>
      <c r="G30" s="4" t="inlineStr">
        <is>
          <t>Ni rigidité, ni conscienciosité, ni routine, ni compétence administrative.</t>
        </is>
      </c>
      <c r="H30" s="4" t="inlineStr">
        <is>
          <t>Mettre de l’ordre dans des informations, documents, ressources ou données.</t>
        </is>
      </c>
      <c r="I30" s="4" t="inlineStr">
        <is>
          <t>Organiser, classer, trier, structurer, ordonner</t>
        </is>
      </c>
      <c r="J30" s="6" t="inlineStr">
        <is>
          <t>ACTIF</t>
        </is>
      </c>
    </row>
    <row r="31" ht="57.6" customHeight="1" s="34">
      <c r="A31" s="4" t="inlineStr">
        <is>
          <t>C2</t>
        </is>
      </c>
      <c r="B31" s="4" t="inlineStr">
        <is>
          <t>C</t>
        </is>
      </c>
      <c r="C31" s="4" t="inlineStr">
        <is>
          <t>Conventionnel</t>
        </is>
      </c>
      <c r="D31" s="4" t="inlineStr">
        <is>
          <t>Enregistrer / saisir / tenir à jour</t>
        </is>
      </c>
      <c r="E31" s="4" t="inlineStr">
        <is>
          <t>Attirance pour des activités où l’on organise, enregistre, classe, traite, vérifie ou suit des informations, données, dossiers, transactions ou ressources dans un cadre structuré.</t>
        </is>
      </c>
      <c r="F31" s="4" t="inlineStr">
        <is>
          <t>Structurer, fiabiliser et suivre méthodiquement.</t>
        </is>
      </c>
      <c r="G31" s="4" t="inlineStr">
        <is>
          <t>Ni rigidité, ni conscienciosité, ni routine, ni compétence administrative.</t>
        </is>
      </c>
      <c r="H31" s="4" t="inlineStr">
        <is>
          <t>Consigner, actualiser et maintenir des informations ou enregistrements.</t>
        </is>
      </c>
      <c r="I31" s="4" t="inlineStr">
        <is>
          <t>Saisir, enregistrer, renseigner, mettre à jour, documenter</t>
        </is>
      </c>
      <c r="J31" s="6" t="inlineStr">
        <is>
          <t>ACTIF</t>
        </is>
      </c>
    </row>
    <row r="32" ht="57.6" customHeight="1" s="34">
      <c r="A32" s="4" t="inlineStr">
        <is>
          <t>C3</t>
        </is>
      </c>
      <c r="B32" s="4" t="inlineStr">
        <is>
          <t>C</t>
        </is>
      </c>
      <c r="C32" s="4" t="inlineStr">
        <is>
          <t>Conventionnel</t>
        </is>
      </c>
      <c r="D32" s="4" t="inlineStr">
        <is>
          <t>Vérifier / contrôler / fiabiliser</t>
        </is>
      </c>
      <c r="E32" s="4" t="inlineStr">
        <is>
          <t>Attirance pour des activités où l’on organise, enregistre, classe, traite, vérifie ou suit des informations, données, dossiers, transactions ou ressources dans un cadre structuré.</t>
        </is>
      </c>
      <c r="F32" s="4" t="inlineStr">
        <is>
          <t>Structurer, fiabiliser et suivre méthodiquement.</t>
        </is>
      </c>
      <c r="G32" s="4" t="inlineStr">
        <is>
          <t>Ni rigidité, ni conscienciosité, ni routine, ni compétence administrative.</t>
        </is>
      </c>
      <c r="H32" s="4" t="inlineStr">
        <is>
          <t>Contrôler exactitude, complétude ou conformité et repérer les écarts.</t>
        </is>
      </c>
      <c r="I32" s="4" t="inlineStr">
        <is>
          <t>Vérifier, contrôler, rapprocher, inspecter, valider</t>
        </is>
      </c>
      <c r="J32" s="6" t="inlineStr">
        <is>
          <t>ACTIF</t>
        </is>
      </c>
    </row>
    <row r="33" ht="57.6" customHeight="1" s="34">
      <c r="A33" s="4" t="inlineStr">
        <is>
          <t>C4</t>
        </is>
      </c>
      <c r="B33" s="4" t="inlineStr">
        <is>
          <t>C</t>
        </is>
      </c>
      <c r="C33" s="4" t="inlineStr">
        <is>
          <t>Conventionnel</t>
        </is>
      </c>
      <c r="D33" s="4" t="inlineStr">
        <is>
          <t>Appliquer règles / procédures / conformité</t>
        </is>
      </c>
      <c r="E33" s="4" t="inlineStr">
        <is>
          <t>Attirance pour des activités où l’on organise, enregistre, classe, traite, vérifie ou suit des informations, données, dossiers, transactions ou ressources dans un cadre structuré.</t>
        </is>
      </c>
      <c r="F33" s="4" t="inlineStr">
        <is>
          <t>Structurer, fiabiliser et suivre méthodiquement.</t>
        </is>
      </c>
      <c r="G33" s="4" t="inlineStr">
        <is>
          <t>Ni rigidité, ni conscienciosité, ni routine, ni compétence administrative.</t>
        </is>
      </c>
      <c r="H33" s="4" t="inlineStr">
        <is>
          <t>Travailler dans un cadre explicite où règles, procédures ou normes sécurisent le résultat.</t>
        </is>
      </c>
      <c r="I33" s="4" t="inlineStr">
        <is>
          <t>Appliquer, respecter, suivre une procédure, contrôler la conformité</t>
        </is>
      </c>
      <c r="J33" s="6" t="inlineStr">
        <is>
          <t>ACTIF</t>
        </is>
      </c>
    </row>
    <row r="34" ht="57.6" customHeight="1" s="34">
      <c r="A34" s="4" t="inlineStr">
        <is>
          <t>C5</t>
        </is>
      </c>
      <c r="B34" s="4" t="inlineStr">
        <is>
          <t>C</t>
        </is>
      </c>
      <c r="C34" s="4" t="inlineStr">
        <is>
          <t>Conventionnel</t>
        </is>
      </c>
      <c r="D34" s="4" t="inlineStr">
        <is>
          <t>Traiter / suivre dossiers, données et opérations</t>
        </is>
      </c>
      <c r="E34" s="4" t="inlineStr">
        <is>
          <t>Attirance pour des activités où l’on organise, enregistre, classe, traite, vérifie ou suit des informations, données, dossiers, transactions ou ressources dans un cadre structuré.</t>
        </is>
      </c>
      <c r="F34" s="4" t="inlineStr">
        <is>
          <t>Structurer, fiabiliser et suivre méthodiquement.</t>
        </is>
      </c>
      <c r="G34" s="4" t="inlineStr">
        <is>
          <t>Ni rigidité, ni conscienciosité, ni routine, ni compétence administrative.</t>
        </is>
      </c>
      <c r="H34" s="4" t="inlineStr">
        <is>
          <t>Faire avancer méthodiquement dossiers, données, opérations ou transactions en assurant leur suivi.</t>
        </is>
      </c>
      <c r="I34" s="4" t="inlineStr">
        <is>
          <t>Traiter, suivre, planifier des échéances, rapprocher, clôturer</t>
        </is>
      </c>
      <c r="J34" s="6" t="inlineStr">
        <is>
          <t>ACTIF</t>
        </is>
      </c>
    </row>
  </sheetData>
  <autoFilter ref="A4:J34"/>
  <mergeCells count="2">
    <mergeCell ref="A1:J1"/>
    <mergeCell ref="A2:J2"/>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9.xml><?xml version="1.0" encoding="utf-8"?>
<worksheet xmlns="http://schemas.openxmlformats.org/spreadsheetml/2006/main">
  <sheetPr>
    <tabColor rgb="FF548235"/>
    <outlinePr summaryBelow="1" summaryRight="1"/>
    <pageSetUpPr fitToPage="1"/>
  </sheetPr>
  <dimension ref="A1:AP124"/>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24" customWidth="1" style="34" min="1" max="1"/>
    <col width="12" customWidth="1" style="34" min="2" max="3"/>
    <col width="9" customWidth="1" style="34" min="6" max="6"/>
    <col width="28" customWidth="1" style="34" min="7" max="7"/>
    <col width="10" customWidth="1" style="34" min="8" max="9"/>
    <col width="20" customWidth="1" style="34" min="10" max="10"/>
    <col width="55" customWidth="1" style="34" min="11" max="11"/>
    <col width="32" customWidth="1" style="34" min="12" max="12"/>
    <col width="28" customWidth="1" style="34" min="13" max="13"/>
    <col width="38" customWidth="1" style="34" min="14" max="14"/>
    <col width="24" customWidth="1" style="34" min="15" max="15"/>
    <col width="30" customWidth="1" style="34" min="16" max="16"/>
    <col width="45" customWidth="1" style="34" min="22" max="24"/>
    <col width="12" customWidth="1" style="34" min="36" max="36"/>
    <col width="35" customWidth="1" style="34" min="37" max="37"/>
    <col width="20" customWidth="1" style="34" min="38" max="38"/>
    <col width="35" customWidth="1" style="34" min="39" max="39"/>
    <col width="22" customWidth="1" style="34" min="40" max="41"/>
    <col width="16" customWidth="1" style="34" min="42" max="42"/>
  </cols>
  <sheetData>
    <row r="1" ht="25.95" customHeight="1" s="34">
      <c r="A1" s="35" t="inlineStr">
        <is>
          <t>BANQUE EXPÉRIMENTALE PIP — QUESTIONS</t>
        </is>
      </c>
    </row>
    <row r="2" ht="30" customHeight="1" s="34">
      <c r="A2" s="33" t="inlineStr">
        <is>
          <t>120 items historiques conservés. V0.5 : décision documentée de passage à 72 items ; les formulations V0.4 restent intactes dans cette feuille.</t>
        </is>
      </c>
    </row>
    <row r="4" ht="30" customHeight="1" s="34">
      <c r="A4" s="1" t="inlineStr">
        <is>
          <t>item_id</t>
        </is>
      </c>
      <c r="B4" s="1" t="inlineStr">
        <is>
          <t>item_version</t>
        </is>
      </c>
      <c r="C4" s="1" t="inlineStr">
        <is>
          <t>statut</t>
        </is>
      </c>
      <c r="D4" s="1" t="inlineStr">
        <is>
          <t>date_creation</t>
        </is>
      </c>
      <c r="E4" s="1" t="inlineStr">
        <is>
          <t>date_modification</t>
        </is>
      </c>
      <c r="F4" s="1" t="inlineStr">
        <is>
          <t>bloc</t>
        </is>
      </c>
      <c r="G4" s="1" t="inlineStr">
        <is>
          <t>famille_formulation</t>
        </is>
      </c>
      <c r="H4" s="1" t="inlineStr">
        <is>
          <t>dimension</t>
        </is>
      </c>
      <c r="I4" s="1" t="inlineStr">
        <is>
          <t>facette</t>
        </is>
      </c>
      <c r="J4" s="1" t="inlineStr">
        <is>
          <t>dimensions_concurrentes</t>
        </is>
      </c>
      <c r="K4" s="1" t="inlineStr">
        <is>
          <t>texte_fr</t>
        </is>
      </c>
      <c r="L4" s="1" t="inlineStr">
        <is>
          <t>reponse_1</t>
        </is>
      </c>
      <c r="M4" s="1" t="inlineStr">
        <is>
          <t>reponse_2</t>
        </is>
      </c>
      <c r="N4" s="1" t="inlineStr">
        <is>
          <t>reponse_3</t>
        </is>
      </c>
      <c r="O4" s="1" t="inlineStr">
        <is>
          <t>reponse_4</t>
        </is>
      </c>
      <c r="P4" s="1" t="inlineStr">
        <is>
          <t>reponse_5</t>
        </is>
      </c>
      <c r="Q4" s="1" t="inlineStr">
        <is>
          <t>score_1</t>
        </is>
      </c>
      <c r="R4" s="1" t="inlineStr">
        <is>
          <t>score_2</t>
        </is>
      </c>
      <c r="S4" s="1" t="inlineStr">
        <is>
          <t>score_3</t>
        </is>
      </c>
      <c r="T4" s="1" t="inlineStr">
        <is>
          <t>score_4</t>
        </is>
      </c>
      <c r="U4" s="1" t="inlineStr">
        <is>
          <t>score_5</t>
        </is>
      </c>
      <c r="V4" s="1" t="inlineStr">
        <is>
          <t>justification_dimension</t>
        </is>
      </c>
      <c r="W4" s="1" t="inlineStr">
        <is>
          <t>justification_facette</t>
        </is>
      </c>
      <c r="X4" s="1" t="inlineStr">
        <is>
          <t>commentaire_concepteur</t>
        </is>
      </c>
      <c r="Y4" s="1" t="inlineStr">
        <is>
          <t>risque_genre</t>
        </is>
      </c>
      <c r="Z4" s="1" t="inlineStr">
        <is>
          <t>risque_age_generation</t>
        </is>
      </c>
      <c r="AA4" s="1" t="inlineStr">
        <is>
          <t>risque_origine_culturelle_sociale</t>
        </is>
      </c>
      <c r="AB4" s="1" t="inlineStr">
        <is>
          <t>risque_niveau_etudes</t>
        </is>
      </c>
      <c r="AC4" s="1" t="inlineStr">
        <is>
          <t>risque_langue_litteratie</t>
        </is>
      </c>
      <c r="AD4" s="1" t="inlineStr">
        <is>
          <t>risque_accessibilite</t>
        </is>
      </c>
      <c r="AE4" s="1" t="inlineStr">
        <is>
          <t>risque_familiarite_numerique</t>
        </is>
      </c>
      <c r="AF4" s="1" t="inlineStr">
        <is>
          <t>risque_prestige</t>
        </is>
      </c>
      <c r="AG4" s="1" t="inlineStr">
        <is>
          <t>risque_familiarite_sectorielle</t>
        </is>
      </c>
      <c r="AH4" s="1" t="inlineStr">
        <is>
          <t>risque_desirabilite</t>
        </is>
      </c>
      <c r="AI4" s="1" t="inlineStr">
        <is>
          <t>risque_hybridite</t>
        </is>
      </c>
      <c r="AJ4" s="1" t="inlineStr">
        <is>
          <t>n_passations</t>
        </is>
      </c>
      <c r="AK4" s="1" t="inlineStr">
        <is>
          <t>indicateurs_item</t>
        </is>
      </c>
      <c r="AL4" s="1" t="inlineStr">
        <is>
          <t>decision_validation</t>
        </is>
      </c>
      <c r="AM4" s="1" t="inlineStr">
        <is>
          <t>motif_retrait</t>
        </is>
      </c>
      <c r="AN4" s="1" t="inlineStr">
        <is>
          <t>version_questionnaire_entree</t>
        </is>
      </c>
      <c r="AO4" s="1" t="inlineStr">
        <is>
          <t>version_questionnaire_sortie</t>
        </is>
      </c>
      <c r="AP4" s="1" t="inlineStr">
        <is>
          <t>controle_ligne</t>
        </is>
      </c>
    </row>
    <row r="5" ht="72" customHeight="1" s="34">
      <c r="A5" s="4" t="inlineStr">
        <is>
          <t>PIP-ACT-R-R1-001</t>
        </is>
      </c>
      <c r="B5" s="4" t="inlineStr">
        <is>
          <t>0.2</t>
        </is>
      </c>
      <c r="C5" s="4" t="inlineStr">
        <is>
          <t>PILOTE</t>
        </is>
      </c>
      <c r="D5" s="4" t="inlineStr">
        <is>
          <t>08/09/2026</t>
        </is>
      </c>
      <c r="E5" s="4" t="inlineStr">
        <is>
          <t>08/09/2026</t>
        </is>
      </c>
      <c r="F5" s="4" t="inlineStr">
        <is>
          <t>ACT</t>
        </is>
      </c>
      <c r="G5" s="4" t="inlineStr">
        <is>
          <t>Verbe d’action + objet/contexte</t>
        </is>
      </c>
      <c r="H5" s="4" t="inlineStr">
        <is>
          <t>R</t>
        </is>
      </c>
      <c r="I5" s="4" t="inlineStr">
        <is>
          <t>R1</t>
        </is>
      </c>
      <c r="J5" s="6" t="inlineStr">
        <is>
          <t>A</t>
        </is>
      </c>
      <c r="K5" s="6" t="inlineStr">
        <is>
          <t>Assembler des éléments pour fabriquer un objet fonctionnel.</t>
        </is>
      </c>
      <c r="L5" s="4" t="inlineStr">
        <is>
          <t>Cela ne m’attire pas du tout</t>
        </is>
      </c>
      <c r="M5" s="4" t="inlineStr">
        <is>
          <t>Cela m’attire peu</t>
        </is>
      </c>
      <c r="N5" s="4" t="inlineStr">
        <is>
          <t>Je suis partagé(e) / sans préférence marquée</t>
        </is>
      </c>
      <c r="O5" s="4" t="inlineStr">
        <is>
          <t>Cela m’attire</t>
        </is>
      </c>
      <c r="P5" s="4" t="inlineStr">
        <is>
          <t>Cela m’attire beaucoup</t>
        </is>
      </c>
      <c r="Q5" s="4" t="n">
        <v>1</v>
      </c>
      <c r="R5" s="4" t="n">
        <v>2</v>
      </c>
      <c r="S5" s="4" t="n">
        <v>3</v>
      </c>
      <c r="T5" s="4" t="n">
        <v>4</v>
      </c>
      <c r="U5" s="4" t="n">
        <v>5</v>
      </c>
      <c r="V5" s="6" t="inlineStr">
        <is>
          <t>La formulation cible l’intérêt pour action concrète sur le réel et résultat tangible. Elle mobilise un comportement caractéristique de la dimension R (Réaliste) sans demander un niveau de compétence préalable.</t>
        </is>
      </c>
      <c r="W5" s="6" t="inlineStr">
        <is>
          <t>L’item relève de R1 — Construire / fabriquer / transformer : Création ou transformation concrète d’objets, structures ou matières.</t>
        </is>
      </c>
      <c r="X5" s="6" t="inlineStr">
        <is>
          <t>Revue méthodologique V0.3 : surveiller projection en cas de limitation physique ou sensorielle, familiarité avec le contexte professionnel au pilote.</t>
        </is>
      </c>
      <c r="Y5" s="6" t="inlineStr">
        <is>
          <t>FAIBLE</t>
        </is>
      </c>
      <c r="Z5" s="6" t="inlineStr">
        <is>
          <t>FAIBLE</t>
        </is>
      </c>
      <c r="AA5" s="6" t="inlineStr">
        <is>
          <t>FAIBLE</t>
        </is>
      </c>
      <c r="AB5" s="6" t="inlineStr">
        <is>
          <t>FAIBLE</t>
        </is>
      </c>
      <c r="AC5" s="6" t="inlineStr">
        <is>
          <t>FAIBLE</t>
        </is>
      </c>
      <c r="AD5" s="6" t="inlineStr">
        <is>
          <t>MOYEN</t>
        </is>
      </c>
      <c r="AE5" s="6" t="inlineStr">
        <is>
          <t>FAIBLE</t>
        </is>
      </c>
      <c r="AF5" s="6" t="inlineStr">
        <is>
          <t>FAIBLE</t>
        </is>
      </c>
      <c r="AG5" s="6" t="inlineStr">
        <is>
          <t>MOYEN</t>
        </is>
      </c>
      <c r="AH5" s="6" t="inlineStr">
        <is>
          <t>FAIBLE</t>
        </is>
      </c>
      <c r="AI5" s="6" t="inlineStr">
        <is>
          <t>FAIBLE</t>
        </is>
      </c>
      <c r="AJ5" s="4" t="n">
        <v>0</v>
      </c>
      <c r="AK5" s="4" t="n"/>
      <c r="AL5" s="6" t="inlineStr">
        <is>
          <t>RETENU_V0.5_REECRIT_CONCRET</t>
        </is>
      </c>
      <c r="AM5" s="6" t="n"/>
      <c r="AN5" s="4" t="inlineStr">
        <is>
          <t>PIP-BANK-0.3</t>
        </is>
      </c>
      <c r="AO5" s="6" t="inlineStr">
        <is>
          <t>PIP-BANK-0.4</t>
        </is>
      </c>
      <c r="AP5" s="8">
        <f>IF(OR(C5="PILOTE",C5="ACTIF"),IF(AND(A5&lt;&gt;"",H5&lt;&gt;"",I5&lt;&gt;"",K5&lt;&gt;"",V5&lt;&gt;"",W5&lt;&gt;""),"OK","A_COMPLETER"),"OK_STRUCTURE")</f>
        <v/>
      </c>
    </row>
    <row r="6" ht="72" customHeight="1" s="34">
      <c r="A6" s="4" t="inlineStr">
        <is>
          <t>PIP-ACT-R-R1-002</t>
        </is>
      </c>
      <c r="B6" s="4" t="inlineStr">
        <is>
          <t>0.2</t>
        </is>
      </c>
      <c r="C6" s="4" t="inlineStr">
        <is>
          <t>PILOTE</t>
        </is>
      </c>
      <c r="D6" s="4" t="inlineStr">
        <is>
          <t>08/09/2026</t>
        </is>
      </c>
      <c r="E6" s="4" t="inlineStr">
        <is>
          <t>08/09/2026</t>
        </is>
      </c>
      <c r="F6" s="4" t="inlineStr">
        <is>
          <t>ACT</t>
        </is>
      </c>
      <c r="G6" s="4" t="inlineStr">
        <is>
          <t>Verbe d’action + objet/contexte</t>
        </is>
      </c>
      <c r="H6" s="4" t="inlineStr">
        <is>
          <t>R</t>
        </is>
      </c>
      <c r="I6" s="4" t="inlineStr">
        <is>
          <t>R1</t>
        </is>
      </c>
      <c r="J6" s="6" t="inlineStr">
        <is>
          <t>A</t>
        </is>
      </c>
      <c r="K6" s="6" t="inlineStr">
        <is>
          <t>Transformer une matière ou un matériau pour lui donner une forme utile.</t>
        </is>
      </c>
      <c r="L6" s="4" t="inlineStr">
        <is>
          <t>Cela ne m’attire pas du tout</t>
        </is>
      </c>
      <c r="M6" s="4" t="inlineStr">
        <is>
          <t>Cela m’attire peu</t>
        </is>
      </c>
      <c r="N6" s="4" t="inlineStr">
        <is>
          <t>Je suis partagé(e) / sans préférence marquée</t>
        </is>
      </c>
      <c r="O6" s="4" t="inlineStr">
        <is>
          <t>Cela m’attire</t>
        </is>
      </c>
      <c r="P6" s="4" t="inlineStr">
        <is>
          <t>Cela m’attire beaucoup</t>
        </is>
      </c>
      <c r="Q6" s="4" t="n">
        <v>1</v>
      </c>
      <c r="R6" s="4" t="n">
        <v>2</v>
      </c>
      <c r="S6" s="4" t="n">
        <v>3</v>
      </c>
      <c r="T6" s="4" t="n">
        <v>4</v>
      </c>
      <c r="U6" s="4" t="n">
        <v>5</v>
      </c>
      <c r="V6" s="6" t="inlineStr">
        <is>
          <t>La formulation cible l’intérêt pour action concrète sur le réel et résultat tangible. Elle mobilise un comportement caractéristique de la dimension R (Réaliste) sans demander un niveau de compétence préalable.</t>
        </is>
      </c>
      <c r="W6" s="6" t="inlineStr">
        <is>
          <t>L’item relève de R1 — Construire / fabriquer / transformer : Création ou transformation concrète d’objets, structures ou matières.</t>
        </is>
      </c>
      <c r="X6" s="6" t="inlineStr">
        <is>
          <t>Revue méthodologique V0.3 : surveiller projection en cas de limitation physique ou sensorielle, familiarité avec le contexte professionnel au pilote.</t>
        </is>
      </c>
      <c r="Y6" s="6" t="inlineStr">
        <is>
          <t>FAIBLE</t>
        </is>
      </c>
      <c r="Z6" s="6" t="inlineStr">
        <is>
          <t>FAIBLE</t>
        </is>
      </c>
      <c r="AA6" s="6" t="inlineStr">
        <is>
          <t>FAIBLE</t>
        </is>
      </c>
      <c r="AB6" s="6" t="inlineStr">
        <is>
          <t>FAIBLE</t>
        </is>
      </c>
      <c r="AC6" s="6" t="inlineStr">
        <is>
          <t>FAIBLE</t>
        </is>
      </c>
      <c r="AD6" s="6" t="inlineStr">
        <is>
          <t>MOYEN</t>
        </is>
      </c>
      <c r="AE6" s="6" t="inlineStr">
        <is>
          <t>FAIBLE</t>
        </is>
      </c>
      <c r="AF6" s="6" t="inlineStr">
        <is>
          <t>FAIBLE</t>
        </is>
      </c>
      <c r="AG6" s="6" t="inlineStr">
        <is>
          <t>MOYEN</t>
        </is>
      </c>
      <c r="AH6" s="6" t="inlineStr">
        <is>
          <t>FAIBLE</t>
        </is>
      </c>
      <c r="AI6" s="6" t="inlineStr">
        <is>
          <t>FAIBLE</t>
        </is>
      </c>
      <c r="AJ6" s="4" t="n">
        <v>0</v>
      </c>
      <c r="AK6" s="4" t="n"/>
      <c r="AL6" s="6" t="inlineStr">
        <is>
          <t>RETENU_V0.5_REECRIT_CONCRET</t>
        </is>
      </c>
      <c r="AM6" s="6" t="n"/>
      <c r="AN6" s="4" t="inlineStr">
        <is>
          <t>PIP-BANK-0.3</t>
        </is>
      </c>
      <c r="AO6" s="6" t="inlineStr">
        <is>
          <t>PIP-BANK-0.4</t>
        </is>
      </c>
      <c r="AP6" s="8">
        <f>IF(OR(C6="PILOTE",C6="ACTIF"),IF(AND(A6&lt;&gt;"",H6&lt;&gt;"",I6&lt;&gt;"",K6&lt;&gt;"",V6&lt;&gt;"",W6&lt;&gt;""),"OK","A_COMPLETER"),"OK_STRUCTURE")</f>
        <v/>
      </c>
    </row>
    <row r="7" ht="72" customHeight="1" s="34">
      <c r="A7" s="4" t="inlineStr">
        <is>
          <t>PIP-SIT-R-R1-003</t>
        </is>
      </c>
      <c r="B7" s="4" t="inlineStr">
        <is>
          <t>0.2</t>
        </is>
      </c>
      <c r="C7" s="4" t="inlineStr">
        <is>
          <t>PILOTE</t>
        </is>
      </c>
      <c r="D7" s="4" t="inlineStr">
        <is>
          <t>08/09/2026</t>
        </is>
      </c>
      <c r="E7" s="4" t="inlineStr">
        <is>
          <t>08/09/2026</t>
        </is>
      </c>
      <c r="F7" s="4" t="inlineStr">
        <is>
          <t>SIT</t>
        </is>
      </c>
      <c r="G7" s="4" t="inlineStr">
        <is>
          <t>Situation courte avec enjeu central</t>
        </is>
      </c>
      <c r="H7" s="4" t="inlineStr">
        <is>
          <t>R</t>
        </is>
      </c>
      <c r="I7" s="4" t="inlineStr">
        <is>
          <t>R1</t>
        </is>
      </c>
      <c r="J7" s="6" t="inlineStr">
        <is>
          <t>A</t>
        </is>
      </c>
      <c r="K7" s="6" t="inlineStr">
        <is>
          <t>Prendre en charge la réalisation concrète d’un objet ou d’une structure à partir d’éléments séparés.</t>
        </is>
      </c>
      <c r="L7" s="4" t="inlineStr">
        <is>
          <t>Cela ne m’attire pas du tout</t>
        </is>
      </c>
      <c r="M7" s="4" t="inlineStr">
        <is>
          <t>Cela m’attire peu</t>
        </is>
      </c>
      <c r="N7" s="4" t="inlineStr">
        <is>
          <t>Je suis partagé(e) / sans préférence marquée</t>
        </is>
      </c>
      <c r="O7" s="4" t="inlineStr">
        <is>
          <t>Cela m’attire</t>
        </is>
      </c>
      <c r="P7" s="4" t="inlineStr">
        <is>
          <t>Cela m’attire beaucoup</t>
        </is>
      </c>
      <c r="Q7" s="4" t="n">
        <v>1</v>
      </c>
      <c r="R7" s="4" t="n">
        <v>2</v>
      </c>
      <c r="S7" s="4" t="n">
        <v>3</v>
      </c>
      <c r="T7" s="4" t="n">
        <v>4</v>
      </c>
      <c r="U7" s="4" t="n">
        <v>5</v>
      </c>
      <c r="V7" s="6" t="inlineStr">
        <is>
          <t>La formulation cible l’intérêt pour action concrète sur le réel et résultat tangible. Elle mobilise un comportement caractéristique de la dimension R (Réaliste) sans demander un niveau de compétence préalable.</t>
        </is>
      </c>
      <c r="W7" s="6" t="inlineStr">
        <is>
          <t>L’item relève de R1 — Construire / fabriquer / transformer : Création ou transformation concrète d’objets, structures ou matières.</t>
        </is>
      </c>
      <c r="X7" s="6" t="inlineStr">
        <is>
          <t>Revue méthodologique V0.3 : surveiller projection en cas de limitation physique ou sensorielle, familiarité avec le contexte professionnel au pilote.</t>
        </is>
      </c>
      <c r="Y7" s="6" t="inlineStr">
        <is>
          <t>FAIBLE</t>
        </is>
      </c>
      <c r="Z7" s="6" t="inlineStr">
        <is>
          <t>FAIBLE</t>
        </is>
      </c>
      <c r="AA7" s="6" t="inlineStr">
        <is>
          <t>FAIBLE</t>
        </is>
      </c>
      <c r="AB7" s="6" t="inlineStr">
        <is>
          <t>FAIBLE</t>
        </is>
      </c>
      <c r="AC7" s="6" t="inlineStr">
        <is>
          <t>FAIBLE</t>
        </is>
      </c>
      <c r="AD7" s="6" t="inlineStr">
        <is>
          <t>MOYEN</t>
        </is>
      </c>
      <c r="AE7" s="6" t="inlineStr">
        <is>
          <t>FAIBLE</t>
        </is>
      </c>
      <c r="AF7" s="6" t="inlineStr">
        <is>
          <t>FAIBLE</t>
        </is>
      </c>
      <c r="AG7" s="6" t="inlineStr">
        <is>
          <t>MOYEN</t>
        </is>
      </c>
      <c r="AH7" s="6" t="inlineStr">
        <is>
          <t>FAIBLE</t>
        </is>
      </c>
      <c r="AI7" s="6" t="inlineStr">
        <is>
          <t>FAIBLE</t>
        </is>
      </c>
      <c r="AJ7" s="4" t="n">
        <v>0</v>
      </c>
      <c r="AK7" s="4" t="n"/>
      <c r="AL7" s="6" t="inlineStr">
        <is>
          <t>RETENU_V0.5_REECRIT_CONCRET</t>
        </is>
      </c>
      <c r="AM7" s="6" t="n"/>
      <c r="AN7" s="4" t="inlineStr">
        <is>
          <t>PIP-BANK-0.3</t>
        </is>
      </c>
      <c r="AO7" s="6" t="inlineStr">
        <is>
          <t>PIP-BANK-0.4</t>
        </is>
      </c>
      <c r="AP7" s="8">
        <f>IF(OR(C7="PILOTE",C7="ACTIF"),IF(AND(A7&lt;&gt;"",H7&lt;&gt;"",I7&lt;&gt;"",K7&lt;&gt;"",V7&lt;&gt;"",W7&lt;&gt;""),"OK","A_COMPLETER"),"OK_STRUCTURE")</f>
        <v/>
      </c>
    </row>
    <row r="8" ht="72" customHeight="1" s="34">
      <c r="A8" s="4" t="inlineStr">
        <is>
          <t>PIP-ENV-R-R1-004</t>
        </is>
      </c>
      <c r="B8" s="4" t="inlineStr">
        <is>
          <t>0.2</t>
        </is>
      </c>
      <c r="C8" s="4" t="inlineStr">
        <is>
          <t>PILOTE</t>
        </is>
      </c>
      <c r="D8" s="4" t="inlineStr">
        <is>
          <t>08/09/2026</t>
        </is>
      </c>
      <c r="E8" s="4" t="inlineStr">
        <is>
          <t>08/09/2026</t>
        </is>
      </c>
      <c r="F8" s="4" t="inlineStr">
        <is>
          <t>ENV</t>
        </is>
      </c>
      <c r="G8" s="4" t="inlineStr">
        <is>
          <t>Contexte décrit par ce qu’il permet de faire</t>
        </is>
      </c>
      <c r="H8" s="4" t="inlineStr">
        <is>
          <t>R</t>
        </is>
      </c>
      <c r="I8" s="4" t="inlineStr">
        <is>
          <t>R1</t>
        </is>
      </c>
      <c r="J8" s="6" t="inlineStr">
        <is>
          <t>A</t>
        </is>
      </c>
      <c r="K8" s="6" t="inlineStr">
        <is>
          <t>Travailler dans un contexte où l’on voit directement le résultat matériel de ce que l’on fabrique ou transforme.</t>
        </is>
      </c>
      <c r="L8" s="4" t="inlineStr">
        <is>
          <t>Cela ne m’attire pas du tout</t>
        </is>
      </c>
      <c r="M8" s="4" t="inlineStr">
        <is>
          <t>Cela m’attire peu</t>
        </is>
      </c>
      <c r="N8" s="4" t="inlineStr">
        <is>
          <t>Je suis partagé(e) / sans préférence marquée</t>
        </is>
      </c>
      <c r="O8" s="4" t="inlineStr">
        <is>
          <t>Cela m’attire</t>
        </is>
      </c>
      <c r="P8" s="4" t="inlineStr">
        <is>
          <t>Cela m’attire beaucoup</t>
        </is>
      </c>
      <c r="Q8" s="4" t="n">
        <v>1</v>
      </c>
      <c r="R8" s="4" t="n">
        <v>2</v>
      </c>
      <c r="S8" s="4" t="n">
        <v>3</v>
      </c>
      <c r="T8" s="4" t="n">
        <v>4</v>
      </c>
      <c r="U8" s="4" t="n">
        <v>5</v>
      </c>
      <c r="V8" s="6" t="inlineStr">
        <is>
          <t>La formulation cible l’intérêt pour action concrète sur le réel et résultat tangible. Elle mobilise un comportement caractéristique de la dimension R (Réaliste) sans demander un niveau de compétence préalable.</t>
        </is>
      </c>
      <c r="W8" s="6" t="inlineStr">
        <is>
          <t>L’item relève de R1 — Construire / fabriquer / transformer : Création ou transformation concrète d’objets, structures ou matières.</t>
        </is>
      </c>
      <c r="X8" s="6" t="inlineStr">
        <is>
          <t>Revue méthodologique V0.3 : surveiller projection en cas de limitation physique ou sensorielle, familiarité avec le contexte professionnel au pilote.</t>
        </is>
      </c>
      <c r="Y8" s="6" t="inlineStr">
        <is>
          <t>FAIBLE</t>
        </is>
      </c>
      <c r="Z8" s="6" t="inlineStr">
        <is>
          <t>FAIBLE</t>
        </is>
      </c>
      <c r="AA8" s="6" t="inlineStr">
        <is>
          <t>FAIBLE</t>
        </is>
      </c>
      <c r="AB8" s="6" t="inlineStr">
        <is>
          <t>FAIBLE</t>
        </is>
      </c>
      <c r="AC8" s="6" t="inlineStr">
        <is>
          <t>FAIBLE</t>
        </is>
      </c>
      <c r="AD8" s="6" t="inlineStr">
        <is>
          <t>MOYEN</t>
        </is>
      </c>
      <c r="AE8" s="6" t="inlineStr">
        <is>
          <t>FAIBLE</t>
        </is>
      </c>
      <c r="AF8" s="6" t="inlineStr">
        <is>
          <t>FAIBLE</t>
        </is>
      </c>
      <c r="AG8" s="6" t="inlineStr">
        <is>
          <t>MOYEN</t>
        </is>
      </c>
      <c r="AH8" s="6" t="inlineStr">
        <is>
          <t>FAIBLE</t>
        </is>
      </c>
      <c r="AI8" s="6" t="inlineStr">
        <is>
          <t>FAIBLE</t>
        </is>
      </c>
      <c r="AJ8" s="4" t="n">
        <v>0</v>
      </c>
      <c r="AK8" s="4" t="n"/>
      <c r="AL8" s="6" t="inlineStr">
        <is>
          <t>RETIRE_BANQUE72_HISTORIQUE_CONSERVE</t>
        </is>
      </c>
      <c r="AM8" s="6" t="inlineStr">
        <is>
          <t>Réduction méthodologique 120→72 : doublon de facette / priorité aux activités professionnelles observables et aux items à plus faible risque.</t>
        </is>
      </c>
      <c r="AN8" s="4" t="inlineStr">
        <is>
          <t>PIP-BANK-0.3</t>
        </is>
      </c>
      <c r="AO8" s="6" t="inlineStr">
        <is>
          <t>PIP-BANK-0.3</t>
        </is>
      </c>
      <c r="AP8" s="8">
        <f>IF(OR(C8="PILOTE",C8="ACTIF"),IF(AND(A8&lt;&gt;"",H8&lt;&gt;"",I8&lt;&gt;"",K8&lt;&gt;"",V8&lt;&gt;"",W8&lt;&gt;""),"OK","A_COMPLETER"),"OK_STRUCTURE")</f>
        <v/>
      </c>
    </row>
    <row r="9" ht="72" customHeight="1" s="34">
      <c r="A9" s="4" t="inlineStr">
        <is>
          <t>PIP-ACT-R-R2-005</t>
        </is>
      </c>
      <c r="B9" s="4" t="inlineStr">
        <is>
          <t>0.2</t>
        </is>
      </c>
      <c r="C9" s="4" t="inlineStr">
        <is>
          <t>PILOTE</t>
        </is>
      </c>
      <c r="D9" s="4" t="inlineStr">
        <is>
          <t>08/09/2026</t>
        </is>
      </c>
      <c r="E9" s="4" t="inlineStr">
        <is>
          <t>08/09/2026</t>
        </is>
      </c>
      <c r="F9" s="4" t="inlineStr">
        <is>
          <t>ACT</t>
        </is>
      </c>
      <c r="G9" s="4" t="inlineStr">
        <is>
          <t>Verbe d’action + objet/contexte</t>
        </is>
      </c>
      <c r="H9" s="4" t="inlineStr">
        <is>
          <t>R</t>
        </is>
      </c>
      <c r="I9" s="4" t="inlineStr">
        <is>
          <t>R2</t>
        </is>
      </c>
      <c r="J9" s="6" t="inlineStr">
        <is>
          <t>I</t>
        </is>
      </c>
      <c r="K9" s="6" t="inlineStr">
        <is>
          <t>Installer un équipement pour qu’il soit prêt à fonctionner.</t>
        </is>
      </c>
      <c r="L9" s="4" t="inlineStr">
        <is>
          <t>Cela ne m’attire pas du tout</t>
        </is>
      </c>
      <c r="M9" s="4" t="inlineStr">
        <is>
          <t>Cela m’attire peu</t>
        </is>
      </c>
      <c r="N9" s="4" t="inlineStr">
        <is>
          <t>Je suis partagé(e) / sans préférence marquée</t>
        </is>
      </c>
      <c r="O9" s="4" t="inlineStr">
        <is>
          <t>Cela m’attire</t>
        </is>
      </c>
      <c r="P9" s="4" t="inlineStr">
        <is>
          <t>Cela m’attire beaucoup</t>
        </is>
      </c>
      <c r="Q9" s="4" t="n">
        <v>1</v>
      </c>
      <c r="R9" s="4" t="n">
        <v>2</v>
      </c>
      <c r="S9" s="4" t="n">
        <v>3</v>
      </c>
      <c r="T9" s="4" t="n">
        <v>4</v>
      </c>
      <c r="U9" s="4" t="n">
        <v>5</v>
      </c>
      <c r="V9" s="6" t="inlineStr">
        <is>
          <t>La formulation cible l’intérêt pour action concrète sur le réel et résultat tangible. Elle mobilise un comportement caractéristique de la dimension R (Réaliste) sans demander un niveau de compétence préalable.</t>
        </is>
      </c>
      <c r="W9" s="6" t="inlineStr">
        <is>
          <t>L’item relève de R2 — Installer / réparer / maintenir : Diagnostic pratique suivi d’une intervention concrète visant le fonctionnement.</t>
        </is>
      </c>
      <c r="X9" s="6" t="inlineStr">
        <is>
          <t>Revue méthodologique V0.3 : surveiller projection en cas de limitation physique ou sensorielle, familiarité avec le contexte professionnel au pilote.</t>
        </is>
      </c>
      <c r="Y9" s="6" t="inlineStr">
        <is>
          <t>FAIBLE</t>
        </is>
      </c>
      <c r="Z9" s="6" t="inlineStr">
        <is>
          <t>FAIBLE</t>
        </is>
      </c>
      <c r="AA9" s="6" t="inlineStr">
        <is>
          <t>FAIBLE</t>
        </is>
      </c>
      <c r="AB9" s="6" t="inlineStr">
        <is>
          <t>FAIBLE</t>
        </is>
      </c>
      <c r="AC9" s="6" t="inlineStr">
        <is>
          <t>FAIBLE</t>
        </is>
      </c>
      <c r="AD9" s="6" t="inlineStr">
        <is>
          <t>MOYEN</t>
        </is>
      </c>
      <c r="AE9" s="6" t="inlineStr">
        <is>
          <t>FAIBLE</t>
        </is>
      </c>
      <c r="AF9" s="6" t="inlineStr">
        <is>
          <t>FAIBLE</t>
        </is>
      </c>
      <c r="AG9" s="6" t="inlineStr">
        <is>
          <t>MOYEN</t>
        </is>
      </c>
      <c r="AH9" s="6" t="inlineStr">
        <is>
          <t>FAIBLE</t>
        </is>
      </c>
      <c r="AI9" s="6" t="inlineStr">
        <is>
          <t>FAIBLE</t>
        </is>
      </c>
      <c r="AJ9" s="4" t="n">
        <v>0</v>
      </c>
      <c r="AK9" s="4" t="n"/>
      <c r="AL9" s="6" t="inlineStr">
        <is>
          <t>RETENU_V0.5_REECRIT_CONCRET</t>
        </is>
      </c>
      <c r="AM9" s="6" t="n"/>
      <c r="AN9" s="4" t="inlineStr">
        <is>
          <t>PIP-BANK-0.3</t>
        </is>
      </c>
      <c r="AO9" s="6" t="inlineStr">
        <is>
          <t>PIP-BANK-0.4</t>
        </is>
      </c>
      <c r="AP9" s="8">
        <f>IF(OR(C9="PILOTE",C9="ACTIF"),IF(AND(A9&lt;&gt;"",H9&lt;&gt;"",I9&lt;&gt;"",K9&lt;&gt;"",V9&lt;&gt;"",W9&lt;&gt;""),"OK","A_COMPLETER"),"OK_STRUCTURE")</f>
        <v/>
      </c>
    </row>
    <row r="10" ht="72" customHeight="1" s="34">
      <c r="A10" s="4" t="inlineStr">
        <is>
          <t>PIP-ACT-R-R2-006</t>
        </is>
      </c>
      <c r="B10" s="4" t="inlineStr">
        <is>
          <t>0.2</t>
        </is>
      </c>
      <c r="C10" s="4" t="inlineStr">
        <is>
          <t>PILOTE</t>
        </is>
      </c>
      <c r="D10" s="4" t="inlineStr">
        <is>
          <t>08/09/2026</t>
        </is>
      </c>
      <c r="E10" s="4" t="inlineStr">
        <is>
          <t>08/09/2026</t>
        </is>
      </c>
      <c r="F10" s="4" t="inlineStr">
        <is>
          <t>ACT</t>
        </is>
      </c>
      <c r="G10" s="4" t="inlineStr">
        <is>
          <t>Verbe d’action + objet/contexte</t>
        </is>
      </c>
      <c r="H10" s="4" t="inlineStr">
        <is>
          <t>R</t>
        </is>
      </c>
      <c r="I10" s="4" t="inlineStr">
        <is>
          <t>R2</t>
        </is>
      </c>
      <c r="J10" s="6" t="inlineStr">
        <is>
          <t>I</t>
        </is>
      </c>
      <c r="K10" s="6" t="inlineStr">
        <is>
          <t>Réparer un matériel qui ne fonctionne plus correctement.</t>
        </is>
      </c>
      <c r="L10" s="4" t="inlineStr">
        <is>
          <t>Cela ne m’attire pas du tout</t>
        </is>
      </c>
      <c r="M10" s="4" t="inlineStr">
        <is>
          <t>Cela m’attire peu</t>
        </is>
      </c>
      <c r="N10" s="4" t="inlineStr">
        <is>
          <t>Je suis partagé(e) / sans préférence marquée</t>
        </is>
      </c>
      <c r="O10" s="4" t="inlineStr">
        <is>
          <t>Cela m’attire</t>
        </is>
      </c>
      <c r="P10" s="4" t="inlineStr">
        <is>
          <t>Cela m’attire beaucoup</t>
        </is>
      </c>
      <c r="Q10" s="4" t="n">
        <v>1</v>
      </c>
      <c r="R10" s="4" t="n">
        <v>2</v>
      </c>
      <c r="S10" s="4" t="n">
        <v>3</v>
      </c>
      <c r="T10" s="4" t="n">
        <v>4</v>
      </c>
      <c r="U10" s="4" t="n">
        <v>5</v>
      </c>
      <c r="V10" s="6" t="inlineStr">
        <is>
          <t>La formulation cible l’intérêt pour action concrète sur le réel et résultat tangible. Elle mobilise un comportement caractéristique de la dimension R (Réaliste) sans demander un niveau de compétence préalable.</t>
        </is>
      </c>
      <c r="W10" s="6" t="inlineStr">
        <is>
          <t>L’item relève de R2 — Installer / réparer / maintenir : Diagnostic pratique suivi d’une intervention concrète visant le fonctionnement.</t>
        </is>
      </c>
      <c r="X10" s="6" t="inlineStr">
        <is>
          <t>Revue méthodologique V0.3 : surveiller projection en cas de limitation physique ou sensorielle, familiarité avec le contexte professionnel, frontière avec I au pilote.</t>
        </is>
      </c>
      <c r="Y10" s="6" t="inlineStr">
        <is>
          <t>FAIBLE</t>
        </is>
      </c>
      <c r="Z10" s="6" t="inlineStr">
        <is>
          <t>FAIBLE</t>
        </is>
      </c>
      <c r="AA10" s="6" t="inlineStr">
        <is>
          <t>FAIBLE</t>
        </is>
      </c>
      <c r="AB10" s="6" t="inlineStr">
        <is>
          <t>FAIBLE</t>
        </is>
      </c>
      <c r="AC10" s="6" t="inlineStr">
        <is>
          <t>FAIBLE</t>
        </is>
      </c>
      <c r="AD10" s="6" t="inlineStr">
        <is>
          <t>MOYEN</t>
        </is>
      </c>
      <c r="AE10" s="6" t="inlineStr">
        <is>
          <t>FAIBLE</t>
        </is>
      </c>
      <c r="AF10" s="6" t="inlineStr">
        <is>
          <t>FAIBLE</t>
        </is>
      </c>
      <c r="AG10" s="6" t="inlineStr">
        <is>
          <t>MOYEN</t>
        </is>
      </c>
      <c r="AH10" s="6" t="inlineStr">
        <is>
          <t>FAIBLE</t>
        </is>
      </c>
      <c r="AI10" s="6" t="inlineStr">
        <is>
          <t>MOYEN</t>
        </is>
      </c>
      <c r="AJ10" s="4" t="n">
        <v>0</v>
      </c>
      <c r="AK10" s="4" t="n"/>
      <c r="AL10" s="6" t="inlineStr">
        <is>
          <t>RETENU_V0.5_REECRIT_CONCRET</t>
        </is>
      </c>
      <c r="AM10" s="6" t="n"/>
      <c r="AN10" s="4" t="inlineStr">
        <is>
          <t>PIP-BANK-0.3</t>
        </is>
      </c>
      <c r="AO10" s="6" t="inlineStr">
        <is>
          <t>PIP-BANK-0.4</t>
        </is>
      </c>
      <c r="AP10" s="8">
        <f>IF(OR(C10="PILOTE",C10="ACTIF"),IF(AND(A10&lt;&gt;"",H10&lt;&gt;"",I10&lt;&gt;"",K10&lt;&gt;"",V10&lt;&gt;"",W10&lt;&gt;""),"OK","A_COMPLETER"),"OK_STRUCTURE")</f>
        <v/>
      </c>
    </row>
    <row r="11" ht="72" customHeight="1" s="34">
      <c r="A11" s="4" t="inlineStr">
        <is>
          <t>PIP-SIT-R-R2-007</t>
        </is>
      </c>
      <c r="B11" s="4" t="inlineStr">
        <is>
          <t>0.2</t>
        </is>
      </c>
      <c r="C11" s="4" t="inlineStr">
        <is>
          <t>PILOTE</t>
        </is>
      </c>
      <c r="D11" s="4" t="inlineStr">
        <is>
          <t>08/09/2026</t>
        </is>
      </c>
      <c r="E11" s="4" t="inlineStr">
        <is>
          <t>08/09/2026</t>
        </is>
      </c>
      <c r="F11" s="4" t="inlineStr">
        <is>
          <t>SIT</t>
        </is>
      </c>
      <c r="G11" s="4" t="inlineStr">
        <is>
          <t>Situation courte avec enjeu central</t>
        </is>
      </c>
      <c r="H11" s="4" t="inlineStr">
        <is>
          <t>R</t>
        </is>
      </c>
      <c r="I11" s="4" t="inlineStr">
        <is>
          <t>R2</t>
        </is>
      </c>
      <c r="J11" s="6" t="inlineStr">
        <is>
          <t>I</t>
        </is>
      </c>
      <c r="K11" s="6" t="inlineStr">
        <is>
          <t>Intervenir lorsqu’un équipement doit être réglé ou remis en service.</t>
        </is>
      </c>
      <c r="L11" s="4" t="inlineStr">
        <is>
          <t>Cela ne m’attire pas du tout</t>
        </is>
      </c>
      <c r="M11" s="4" t="inlineStr">
        <is>
          <t>Cela m’attire peu</t>
        </is>
      </c>
      <c r="N11" s="4" t="inlineStr">
        <is>
          <t>Je suis partagé(e) / sans préférence marquée</t>
        </is>
      </c>
      <c r="O11" s="4" t="inlineStr">
        <is>
          <t>Cela m’attire</t>
        </is>
      </c>
      <c r="P11" s="4" t="inlineStr">
        <is>
          <t>Cela m’attire beaucoup</t>
        </is>
      </c>
      <c r="Q11" s="4" t="n">
        <v>1</v>
      </c>
      <c r="R11" s="4" t="n">
        <v>2</v>
      </c>
      <c r="S11" s="4" t="n">
        <v>3</v>
      </c>
      <c r="T11" s="4" t="n">
        <v>4</v>
      </c>
      <c r="U11" s="4" t="n">
        <v>5</v>
      </c>
      <c r="V11" s="6" t="inlineStr">
        <is>
          <t>La formulation cible l’intérêt pour action concrète sur le réel et résultat tangible. Elle mobilise un comportement caractéristique de la dimension R (Réaliste) sans demander un niveau de compétence préalable.</t>
        </is>
      </c>
      <c r="W11" s="6" t="inlineStr">
        <is>
          <t>L’item relève de R2 — Installer / réparer / maintenir : Diagnostic pratique suivi d’une intervention concrète visant le fonctionnement.</t>
        </is>
      </c>
      <c r="X11" s="6" t="inlineStr">
        <is>
          <t>Revue méthodologique V0.3 : surveiller projection en cas de limitation physique ou sensorielle, familiarité avec le contexte professionnel, frontière avec I au pilote.</t>
        </is>
      </c>
      <c r="Y11" s="6" t="inlineStr">
        <is>
          <t>FAIBLE</t>
        </is>
      </c>
      <c r="Z11" s="6" t="inlineStr">
        <is>
          <t>FAIBLE</t>
        </is>
      </c>
      <c r="AA11" s="6" t="inlineStr">
        <is>
          <t>FAIBLE</t>
        </is>
      </c>
      <c r="AB11" s="6" t="inlineStr">
        <is>
          <t>FAIBLE</t>
        </is>
      </c>
      <c r="AC11" s="6" t="inlineStr">
        <is>
          <t>FAIBLE</t>
        </is>
      </c>
      <c r="AD11" s="6" t="inlineStr">
        <is>
          <t>MOYEN</t>
        </is>
      </c>
      <c r="AE11" s="6" t="inlineStr">
        <is>
          <t>FAIBLE</t>
        </is>
      </c>
      <c r="AF11" s="6" t="inlineStr">
        <is>
          <t>FAIBLE</t>
        </is>
      </c>
      <c r="AG11" s="6" t="inlineStr">
        <is>
          <t>MOYEN</t>
        </is>
      </c>
      <c r="AH11" s="6" t="inlineStr">
        <is>
          <t>FAIBLE</t>
        </is>
      </c>
      <c r="AI11" s="6" t="inlineStr">
        <is>
          <t>MOYEN</t>
        </is>
      </c>
      <c r="AJ11" s="4" t="n">
        <v>0</v>
      </c>
      <c r="AK11" s="4" t="n"/>
      <c r="AL11" s="6" t="inlineStr">
        <is>
          <t>RETIRE_BANQUE72_HISTORIQUE_CONSERVE</t>
        </is>
      </c>
      <c r="AM11" s="6" t="inlineStr">
        <is>
          <t>Réduction méthodologique 120→72 : doublon de facette / priorité aux activités professionnelles observables et aux items à plus faible risque.</t>
        </is>
      </c>
      <c r="AN11" s="4" t="inlineStr">
        <is>
          <t>PIP-BANK-0.3</t>
        </is>
      </c>
      <c r="AO11" s="6" t="inlineStr">
        <is>
          <t>PIP-BANK-0.3</t>
        </is>
      </c>
      <c r="AP11" s="8">
        <f>IF(OR(C11="PILOTE",C11="ACTIF"),IF(AND(A11&lt;&gt;"",H11&lt;&gt;"",I11&lt;&gt;"",K11&lt;&gt;"",V11&lt;&gt;"",W11&lt;&gt;""),"OK","A_COMPLETER"),"OK_STRUCTURE")</f>
        <v/>
      </c>
    </row>
    <row r="12" ht="72" customHeight="1" s="34">
      <c r="A12" s="4" t="inlineStr">
        <is>
          <t>PIP-ENV-R-R2-008</t>
        </is>
      </c>
      <c r="B12" s="4" t="inlineStr">
        <is>
          <t>0.2</t>
        </is>
      </c>
      <c r="C12" s="4" t="inlineStr">
        <is>
          <t>PILOTE</t>
        </is>
      </c>
      <c r="D12" s="4" t="inlineStr">
        <is>
          <t>08/09/2026</t>
        </is>
      </c>
      <c r="E12" s="4" t="inlineStr">
        <is>
          <t>08/09/2026</t>
        </is>
      </c>
      <c r="F12" s="4" t="inlineStr">
        <is>
          <t>ENV</t>
        </is>
      </c>
      <c r="G12" s="4" t="inlineStr">
        <is>
          <t>Contexte décrit par ce qu’il permet de faire</t>
        </is>
      </c>
      <c r="H12" s="4" t="inlineStr">
        <is>
          <t>R</t>
        </is>
      </c>
      <c r="I12" s="4" t="inlineStr">
        <is>
          <t>R2</t>
        </is>
      </c>
      <c r="J12" s="6" t="inlineStr">
        <is>
          <t>I</t>
        </is>
      </c>
      <c r="K12" s="6" t="inlineStr">
        <is>
          <t>Évoluer dans un contexte où une part importante du travail consiste à entretenir et remettre en fonctionnement des équipements.</t>
        </is>
      </c>
      <c r="L12" s="4" t="inlineStr">
        <is>
          <t>Cela ne m’attire pas du tout</t>
        </is>
      </c>
      <c r="M12" s="4" t="inlineStr">
        <is>
          <t>Cela m’attire peu</t>
        </is>
      </c>
      <c r="N12" s="4" t="inlineStr">
        <is>
          <t>Je suis partagé(e) / sans préférence marquée</t>
        </is>
      </c>
      <c r="O12" s="4" t="inlineStr">
        <is>
          <t>Cela m’attire</t>
        </is>
      </c>
      <c r="P12" s="4" t="inlineStr">
        <is>
          <t>Cela m’attire beaucoup</t>
        </is>
      </c>
      <c r="Q12" s="4" t="n">
        <v>1</v>
      </c>
      <c r="R12" s="4" t="n">
        <v>2</v>
      </c>
      <c r="S12" s="4" t="n">
        <v>3</v>
      </c>
      <c r="T12" s="4" t="n">
        <v>4</v>
      </c>
      <c r="U12" s="4" t="n">
        <v>5</v>
      </c>
      <c r="V12" s="6" t="inlineStr">
        <is>
          <t>La formulation cible l’intérêt pour action concrète sur le réel et résultat tangible. Elle mobilise un comportement caractéristique de la dimension R (Réaliste) sans demander un niveau de compétence préalable.</t>
        </is>
      </c>
      <c r="W12" s="6" t="inlineStr">
        <is>
          <t>L’item relève de R2 — Installer / réparer / maintenir : Diagnostic pratique suivi d’une intervention concrète visant le fonctionnement.</t>
        </is>
      </c>
      <c r="X12" s="6" t="inlineStr">
        <is>
          <t>Revue méthodologique V0.3 : surveiller projection en cas de limitation physique ou sensorielle, familiarité avec le contexte professionnel au pilote.</t>
        </is>
      </c>
      <c r="Y12" s="6" t="inlineStr">
        <is>
          <t>FAIBLE</t>
        </is>
      </c>
      <c r="Z12" s="6" t="inlineStr">
        <is>
          <t>FAIBLE</t>
        </is>
      </c>
      <c r="AA12" s="6" t="inlineStr">
        <is>
          <t>FAIBLE</t>
        </is>
      </c>
      <c r="AB12" s="6" t="inlineStr">
        <is>
          <t>FAIBLE</t>
        </is>
      </c>
      <c r="AC12" s="6" t="inlineStr">
        <is>
          <t>FAIBLE</t>
        </is>
      </c>
      <c r="AD12" s="6" t="inlineStr">
        <is>
          <t>MOYEN</t>
        </is>
      </c>
      <c r="AE12" s="6" t="inlineStr">
        <is>
          <t>FAIBLE</t>
        </is>
      </c>
      <c r="AF12" s="6" t="inlineStr">
        <is>
          <t>FAIBLE</t>
        </is>
      </c>
      <c r="AG12" s="6" t="inlineStr">
        <is>
          <t>MOYEN</t>
        </is>
      </c>
      <c r="AH12" s="6" t="inlineStr">
        <is>
          <t>FAIBLE</t>
        </is>
      </c>
      <c r="AI12" s="6" t="inlineStr">
        <is>
          <t>FAIBLE</t>
        </is>
      </c>
      <c r="AJ12" s="4" t="n">
        <v>0</v>
      </c>
      <c r="AK12" s="4" t="n"/>
      <c r="AL12" s="6" t="inlineStr">
        <is>
          <t>RETIRE_BANQUE72_HISTORIQUE_CONSERVE</t>
        </is>
      </c>
      <c r="AM12" s="6" t="inlineStr">
        <is>
          <t>Réduction méthodologique 120→72 : doublon de facette / priorité aux activités professionnelles observables et aux items à plus faible risque.</t>
        </is>
      </c>
      <c r="AN12" s="4" t="inlineStr">
        <is>
          <t>PIP-BANK-0.3</t>
        </is>
      </c>
      <c r="AO12" s="6" t="inlineStr">
        <is>
          <t>PIP-BANK-0.3</t>
        </is>
      </c>
      <c r="AP12" s="8">
        <f>IF(OR(C12="PILOTE",C12="ACTIF"),IF(AND(A12&lt;&gt;"",H12&lt;&gt;"",I12&lt;&gt;"",K12&lt;&gt;"",V12&lt;&gt;"",W12&lt;&gt;""),"OK","A_COMPLETER"),"OK_STRUCTURE")</f>
        <v/>
      </c>
    </row>
    <row r="13" ht="72" customHeight="1" s="34">
      <c r="A13" s="4" t="inlineStr">
        <is>
          <t>PIP-ACT-R-R3-009</t>
        </is>
      </c>
      <c r="B13" s="4" t="inlineStr">
        <is>
          <t>0.2</t>
        </is>
      </c>
      <c r="C13" s="4" t="inlineStr">
        <is>
          <t>PILOTE</t>
        </is>
      </c>
      <c r="D13" s="4" t="inlineStr">
        <is>
          <t>08/09/2026</t>
        </is>
      </c>
      <c r="E13" s="4" t="inlineStr">
        <is>
          <t>08/09/2026</t>
        </is>
      </c>
      <c r="F13" s="4" t="inlineStr">
        <is>
          <t>ACT</t>
        </is>
      </c>
      <c r="G13" s="4" t="inlineStr">
        <is>
          <t>Verbe d’action + objet/contexte</t>
        </is>
      </c>
      <c r="H13" s="4" t="inlineStr">
        <is>
          <t>R</t>
        </is>
      </c>
      <c r="I13" s="4" t="inlineStr">
        <is>
          <t>R3</t>
        </is>
      </c>
      <c r="J13" s="6" t="inlineStr">
        <is>
          <t>I</t>
        </is>
      </c>
      <c r="K13" s="6" t="inlineStr">
        <is>
          <t>Utiliser des outils pour réaliser une tâche concrète avec précision.</t>
        </is>
      </c>
      <c r="L13" s="4" t="inlineStr">
        <is>
          <t>Cela ne m’attire pas du tout</t>
        </is>
      </c>
      <c r="M13" s="4" t="inlineStr">
        <is>
          <t>Cela m’attire peu</t>
        </is>
      </c>
      <c r="N13" s="4" t="inlineStr">
        <is>
          <t>Je suis partagé(e) / sans préférence marquée</t>
        </is>
      </c>
      <c r="O13" s="4" t="inlineStr">
        <is>
          <t>Cela m’attire</t>
        </is>
      </c>
      <c r="P13" s="4" t="inlineStr">
        <is>
          <t>Cela m’attire beaucoup</t>
        </is>
      </c>
      <c r="Q13" s="4" t="n">
        <v>1</v>
      </c>
      <c r="R13" s="4" t="n">
        <v>2</v>
      </c>
      <c r="S13" s="4" t="n">
        <v>3</v>
      </c>
      <c r="T13" s="4" t="n">
        <v>4</v>
      </c>
      <c r="U13" s="4" t="n">
        <v>5</v>
      </c>
      <c r="V13" s="6" t="inlineStr">
        <is>
          <t>La formulation cible l’intérêt pour action concrète sur le réel et résultat tangible. Elle mobilise un comportement caractéristique de la dimension R (Réaliste) sans demander un niveau de compétence préalable.</t>
        </is>
      </c>
      <c r="W13" s="6" t="inlineStr">
        <is>
          <t>L’item relève de R3 — Outils / machines / équipements : Usage direct d’outils, machines, instruments ou équipements techniques.</t>
        </is>
      </c>
      <c r="X13" s="6" t="inlineStr">
        <is>
          <t>Revue méthodologique V0.3 : surveiller projection en cas de limitation physique ou sensorielle, familiarité avec le contexte professionnel au pilote.</t>
        </is>
      </c>
      <c r="Y13" s="6" t="inlineStr">
        <is>
          <t>FAIBLE</t>
        </is>
      </c>
      <c r="Z13" s="6" t="inlineStr">
        <is>
          <t>FAIBLE</t>
        </is>
      </c>
      <c r="AA13" s="6" t="inlineStr">
        <is>
          <t>FAIBLE</t>
        </is>
      </c>
      <c r="AB13" s="6" t="inlineStr">
        <is>
          <t>FAIBLE</t>
        </is>
      </c>
      <c r="AC13" s="6" t="inlineStr">
        <is>
          <t>FAIBLE</t>
        </is>
      </c>
      <c r="AD13" s="6" t="inlineStr">
        <is>
          <t>MOYEN</t>
        </is>
      </c>
      <c r="AE13" s="6" t="inlineStr">
        <is>
          <t>FAIBLE</t>
        </is>
      </c>
      <c r="AF13" s="6" t="inlineStr">
        <is>
          <t>FAIBLE</t>
        </is>
      </c>
      <c r="AG13" s="6" t="inlineStr">
        <is>
          <t>MOYEN</t>
        </is>
      </c>
      <c r="AH13" s="6" t="inlineStr">
        <is>
          <t>FAIBLE</t>
        </is>
      </c>
      <c r="AI13" s="6" t="inlineStr">
        <is>
          <t>FAIBLE</t>
        </is>
      </c>
      <c r="AJ13" s="4" t="n">
        <v>0</v>
      </c>
      <c r="AK13" s="4" t="n"/>
      <c r="AL13" s="6" t="inlineStr">
        <is>
          <t>RETENU_V0.5_REECRIT_CONCRET</t>
        </is>
      </c>
      <c r="AM13" s="6" t="n"/>
      <c r="AN13" s="4" t="inlineStr">
        <is>
          <t>PIP-BANK-0.3</t>
        </is>
      </c>
      <c r="AO13" s="6" t="inlineStr">
        <is>
          <t>PIP-BANK-0.4</t>
        </is>
      </c>
      <c r="AP13" s="8">
        <f>IF(OR(C13="PILOTE",C13="ACTIF"),IF(AND(A13&lt;&gt;"",H13&lt;&gt;"",I13&lt;&gt;"",K13&lt;&gt;"",V13&lt;&gt;"",W13&lt;&gt;""),"OK","A_COMPLETER"),"OK_STRUCTURE")</f>
        <v/>
      </c>
    </row>
    <row r="14" ht="72" customHeight="1" s="34">
      <c r="A14" s="4" t="inlineStr">
        <is>
          <t>PIP-ACT-R-R3-010</t>
        </is>
      </c>
      <c r="B14" s="4" t="inlineStr">
        <is>
          <t>0.2</t>
        </is>
      </c>
      <c r="C14" s="4" t="inlineStr">
        <is>
          <t>PILOTE</t>
        </is>
      </c>
      <c r="D14" s="4" t="inlineStr">
        <is>
          <t>08/09/2026</t>
        </is>
      </c>
      <c r="E14" s="4" t="inlineStr">
        <is>
          <t>08/09/2026</t>
        </is>
      </c>
      <c r="F14" s="4" t="inlineStr">
        <is>
          <t>ACT</t>
        </is>
      </c>
      <c r="G14" s="4" t="inlineStr">
        <is>
          <t>Verbe d’action + objet/contexte</t>
        </is>
      </c>
      <c r="H14" s="4" t="inlineStr">
        <is>
          <t>R</t>
        </is>
      </c>
      <c r="I14" s="4" t="inlineStr">
        <is>
          <t>R3</t>
        </is>
      </c>
      <c r="J14" s="6" t="inlineStr">
        <is>
          <t>I</t>
        </is>
      </c>
      <c r="K14" s="6" t="inlineStr">
        <is>
          <t>Piloter ou régler une machine pour obtenir le résultat attendu.</t>
        </is>
      </c>
      <c r="L14" s="4" t="inlineStr">
        <is>
          <t>Cela ne m’attire pas du tout</t>
        </is>
      </c>
      <c r="M14" s="4" t="inlineStr">
        <is>
          <t>Cela m’attire peu</t>
        </is>
      </c>
      <c r="N14" s="4" t="inlineStr">
        <is>
          <t>Je suis partagé(e) / sans préférence marquée</t>
        </is>
      </c>
      <c r="O14" s="4" t="inlineStr">
        <is>
          <t>Cela m’attire</t>
        </is>
      </c>
      <c r="P14" s="4" t="inlineStr">
        <is>
          <t>Cela m’attire beaucoup</t>
        </is>
      </c>
      <c r="Q14" s="4" t="n">
        <v>1</v>
      </c>
      <c r="R14" s="4" t="n">
        <v>2</v>
      </c>
      <c r="S14" s="4" t="n">
        <v>3</v>
      </c>
      <c r="T14" s="4" t="n">
        <v>4</v>
      </c>
      <c r="U14" s="4" t="n">
        <v>5</v>
      </c>
      <c r="V14" s="6" t="inlineStr">
        <is>
          <t>La formulation cible l’intérêt pour action concrète sur le réel et résultat tangible. Elle mobilise un comportement caractéristique de la dimension R (Réaliste) sans demander un niveau de compétence préalable.</t>
        </is>
      </c>
      <c r="W14" s="6" t="inlineStr">
        <is>
          <t>L’item relève de R3 — Outils / machines / équipements : Usage direct d’outils, machines, instruments ou équipements techniques.</t>
        </is>
      </c>
      <c r="X14" s="6" t="inlineStr">
        <is>
          <t>Revue méthodologique V0.3 : surveiller projection en cas de limitation physique ou sensorielle, familiarité avec le contexte professionnel au pilote.</t>
        </is>
      </c>
      <c r="Y14" s="6" t="inlineStr">
        <is>
          <t>FAIBLE</t>
        </is>
      </c>
      <c r="Z14" s="6" t="inlineStr">
        <is>
          <t>FAIBLE</t>
        </is>
      </c>
      <c r="AA14" s="6" t="inlineStr">
        <is>
          <t>FAIBLE</t>
        </is>
      </c>
      <c r="AB14" s="6" t="inlineStr">
        <is>
          <t>FAIBLE</t>
        </is>
      </c>
      <c r="AC14" s="6" t="inlineStr">
        <is>
          <t>FAIBLE</t>
        </is>
      </c>
      <c r="AD14" s="6" t="inlineStr">
        <is>
          <t>MOYEN</t>
        </is>
      </c>
      <c r="AE14" s="6" t="inlineStr">
        <is>
          <t>FAIBLE</t>
        </is>
      </c>
      <c r="AF14" s="6" t="inlineStr">
        <is>
          <t>FAIBLE</t>
        </is>
      </c>
      <c r="AG14" s="6" t="inlineStr">
        <is>
          <t>MOYEN</t>
        </is>
      </c>
      <c r="AH14" s="6" t="inlineStr">
        <is>
          <t>FAIBLE</t>
        </is>
      </c>
      <c r="AI14" s="6" t="inlineStr">
        <is>
          <t>FAIBLE</t>
        </is>
      </c>
      <c r="AJ14" s="4" t="n">
        <v>0</v>
      </c>
      <c r="AK14" s="4" t="n"/>
      <c r="AL14" s="6" t="inlineStr">
        <is>
          <t>RETENU_V0.5_REECRIT_CONCRET</t>
        </is>
      </c>
      <c r="AM14" s="6" t="n"/>
      <c r="AN14" s="4" t="inlineStr">
        <is>
          <t>PIP-BANK-0.3</t>
        </is>
      </c>
      <c r="AO14" s="6" t="inlineStr">
        <is>
          <t>PIP-BANK-0.4</t>
        </is>
      </c>
      <c r="AP14" s="8">
        <f>IF(OR(C14="PILOTE",C14="ACTIF"),IF(AND(A14&lt;&gt;"",H14&lt;&gt;"",I14&lt;&gt;"",K14&lt;&gt;"",V14&lt;&gt;"",W14&lt;&gt;""),"OK","A_COMPLETER"),"OK_STRUCTURE")</f>
        <v/>
      </c>
    </row>
    <row r="15" ht="72" customHeight="1" s="34">
      <c r="A15" s="4" t="inlineStr">
        <is>
          <t>PIP-SIT-R-R3-011</t>
        </is>
      </c>
      <c r="B15" s="4" t="inlineStr">
        <is>
          <t>0.2</t>
        </is>
      </c>
      <c r="C15" s="4" t="inlineStr">
        <is>
          <t>PILOTE</t>
        </is>
      </c>
      <c r="D15" s="4" t="inlineStr">
        <is>
          <t>08/09/2026</t>
        </is>
      </c>
      <c r="E15" s="4" t="inlineStr">
        <is>
          <t>08/09/2026</t>
        </is>
      </c>
      <c r="F15" s="4" t="inlineStr">
        <is>
          <t>SIT</t>
        </is>
      </c>
      <c r="G15" s="4" t="inlineStr">
        <is>
          <t>Situation courte avec enjeu central</t>
        </is>
      </c>
      <c r="H15" s="4" t="inlineStr">
        <is>
          <t>R</t>
        </is>
      </c>
      <c r="I15" s="4" t="inlineStr">
        <is>
          <t>R3</t>
        </is>
      </c>
      <c r="J15" s="6" t="inlineStr">
        <is>
          <t>I</t>
        </is>
      </c>
      <c r="K15" s="6" t="inlineStr">
        <is>
          <t>Prendre en charge une tâche qui nécessite de manipuler directement un appareil ou un équipement.</t>
        </is>
      </c>
      <c r="L15" s="4" t="inlineStr">
        <is>
          <t>Cela ne m’attire pas du tout</t>
        </is>
      </c>
      <c r="M15" s="4" t="inlineStr">
        <is>
          <t>Cela m’attire peu</t>
        </is>
      </c>
      <c r="N15" s="4" t="inlineStr">
        <is>
          <t>Je suis partagé(e) / sans préférence marquée</t>
        </is>
      </c>
      <c r="O15" s="4" t="inlineStr">
        <is>
          <t>Cela m’attire</t>
        </is>
      </c>
      <c r="P15" s="4" t="inlineStr">
        <is>
          <t>Cela m’attire beaucoup</t>
        </is>
      </c>
      <c r="Q15" s="4" t="n">
        <v>1</v>
      </c>
      <c r="R15" s="4" t="n">
        <v>2</v>
      </c>
      <c r="S15" s="4" t="n">
        <v>3</v>
      </c>
      <c r="T15" s="4" t="n">
        <v>4</v>
      </c>
      <c r="U15" s="4" t="n">
        <v>5</v>
      </c>
      <c r="V15" s="6" t="inlineStr">
        <is>
          <t>La formulation cible l’intérêt pour action concrète sur le réel et résultat tangible. Elle mobilise un comportement caractéristique de la dimension R (Réaliste) sans demander un niveau de compétence préalable.</t>
        </is>
      </c>
      <c r="W15" s="6" t="inlineStr">
        <is>
          <t>L’item relève de R3 — Outils / machines / équipements : Usage direct d’outils, machines, instruments ou équipements techniques.</t>
        </is>
      </c>
      <c r="X15" s="6" t="inlineStr">
        <is>
          <t>Revue méthodologique V0.3 : surveiller projection en cas de limitation physique ou sensorielle, familiarité avec le contexte professionnel au pilote.</t>
        </is>
      </c>
      <c r="Y15" s="6" t="inlineStr">
        <is>
          <t>FAIBLE</t>
        </is>
      </c>
      <c r="Z15" s="6" t="inlineStr">
        <is>
          <t>FAIBLE</t>
        </is>
      </c>
      <c r="AA15" s="6" t="inlineStr">
        <is>
          <t>FAIBLE</t>
        </is>
      </c>
      <c r="AB15" s="6" t="inlineStr">
        <is>
          <t>FAIBLE</t>
        </is>
      </c>
      <c r="AC15" s="6" t="inlineStr">
        <is>
          <t>FAIBLE</t>
        </is>
      </c>
      <c r="AD15" s="6" t="inlineStr">
        <is>
          <t>MOYEN</t>
        </is>
      </c>
      <c r="AE15" s="6" t="inlineStr">
        <is>
          <t>FAIBLE</t>
        </is>
      </c>
      <c r="AF15" s="6" t="inlineStr">
        <is>
          <t>FAIBLE</t>
        </is>
      </c>
      <c r="AG15" s="6" t="inlineStr">
        <is>
          <t>MOYEN</t>
        </is>
      </c>
      <c r="AH15" s="6" t="inlineStr">
        <is>
          <t>FAIBLE</t>
        </is>
      </c>
      <c r="AI15" s="6" t="inlineStr">
        <is>
          <t>FAIBLE</t>
        </is>
      </c>
      <c r="AJ15" s="4" t="n">
        <v>0</v>
      </c>
      <c r="AK15" s="4" t="n"/>
      <c r="AL15" s="6" t="inlineStr">
        <is>
          <t>RETENU_V0.5_REECRIT_CONCRET</t>
        </is>
      </c>
      <c r="AM15" s="6" t="n"/>
      <c r="AN15" s="4" t="inlineStr">
        <is>
          <t>PIP-BANK-0.3</t>
        </is>
      </c>
      <c r="AO15" s="6" t="inlineStr">
        <is>
          <t>PIP-BANK-0.4</t>
        </is>
      </c>
      <c r="AP15" s="8">
        <f>IF(OR(C15="PILOTE",C15="ACTIF"),IF(AND(A15&lt;&gt;"",H15&lt;&gt;"",I15&lt;&gt;"",K15&lt;&gt;"",V15&lt;&gt;"",W15&lt;&gt;""),"OK","A_COMPLETER"),"OK_STRUCTURE")</f>
        <v/>
      </c>
    </row>
    <row r="16" ht="72" customHeight="1" s="34">
      <c r="A16" s="4" t="inlineStr">
        <is>
          <t>PIP-ENV-R-R3-012</t>
        </is>
      </c>
      <c r="B16" s="4" t="inlineStr">
        <is>
          <t>0.2</t>
        </is>
      </c>
      <c r="C16" s="4" t="inlineStr">
        <is>
          <t>PILOTE</t>
        </is>
      </c>
      <c r="D16" s="4" t="inlineStr">
        <is>
          <t>08/09/2026</t>
        </is>
      </c>
      <c r="E16" s="4" t="inlineStr">
        <is>
          <t>08/09/2026</t>
        </is>
      </c>
      <c r="F16" s="4" t="inlineStr">
        <is>
          <t>ENV</t>
        </is>
      </c>
      <c r="G16" s="4" t="inlineStr">
        <is>
          <t>Contexte décrit par ce qu’il permet de faire</t>
        </is>
      </c>
      <c r="H16" s="4" t="inlineStr">
        <is>
          <t>R</t>
        </is>
      </c>
      <c r="I16" s="4" t="inlineStr">
        <is>
          <t>R3</t>
        </is>
      </c>
      <c r="J16" s="6" t="inlineStr">
        <is>
          <t>I</t>
        </is>
      </c>
      <c r="K16" s="6" t="inlineStr">
        <is>
          <t>Travailler dans un environnement où l’on utilise régulièrement des outils, des instruments ou des machines pour agir sur le réel.</t>
        </is>
      </c>
      <c r="L16" s="4" t="inlineStr">
        <is>
          <t>Cela ne m’attire pas du tout</t>
        </is>
      </c>
      <c r="M16" s="4" t="inlineStr">
        <is>
          <t>Cela m’attire peu</t>
        </is>
      </c>
      <c r="N16" s="4" t="inlineStr">
        <is>
          <t>Je suis partagé(e) / sans préférence marquée</t>
        </is>
      </c>
      <c r="O16" s="4" t="inlineStr">
        <is>
          <t>Cela m’attire</t>
        </is>
      </c>
      <c r="P16" s="4" t="inlineStr">
        <is>
          <t>Cela m’attire beaucoup</t>
        </is>
      </c>
      <c r="Q16" s="4" t="n">
        <v>1</v>
      </c>
      <c r="R16" s="4" t="n">
        <v>2</v>
      </c>
      <c r="S16" s="4" t="n">
        <v>3</v>
      </c>
      <c r="T16" s="4" t="n">
        <v>4</v>
      </c>
      <c r="U16" s="4" t="n">
        <v>5</v>
      </c>
      <c r="V16" s="6" t="inlineStr">
        <is>
          <t>La formulation cible l’intérêt pour action concrète sur le réel et résultat tangible. Elle mobilise un comportement caractéristique de la dimension R (Réaliste) sans demander un niveau de compétence préalable.</t>
        </is>
      </c>
      <c r="W16" s="6" t="inlineStr">
        <is>
          <t>L’item relève de R3 — Outils / machines / équipements : Usage direct d’outils, machines, instruments ou équipements techniques.</t>
        </is>
      </c>
      <c r="X16" s="6" t="inlineStr">
        <is>
          <t>Revue méthodologique V0.3 : surveiller projection en cas de limitation physique ou sensorielle, familiarité avec le contexte professionnel au pilote.</t>
        </is>
      </c>
      <c r="Y16" s="6" t="inlineStr">
        <is>
          <t>FAIBLE</t>
        </is>
      </c>
      <c r="Z16" s="6" t="inlineStr">
        <is>
          <t>FAIBLE</t>
        </is>
      </c>
      <c r="AA16" s="6" t="inlineStr">
        <is>
          <t>FAIBLE</t>
        </is>
      </c>
      <c r="AB16" s="6" t="inlineStr">
        <is>
          <t>FAIBLE</t>
        </is>
      </c>
      <c r="AC16" s="6" t="inlineStr">
        <is>
          <t>FAIBLE</t>
        </is>
      </c>
      <c r="AD16" s="6" t="inlineStr">
        <is>
          <t>MOYEN</t>
        </is>
      </c>
      <c r="AE16" s="6" t="inlineStr">
        <is>
          <t>FAIBLE</t>
        </is>
      </c>
      <c r="AF16" s="6" t="inlineStr">
        <is>
          <t>FAIBLE</t>
        </is>
      </c>
      <c r="AG16" s="6" t="inlineStr">
        <is>
          <t>MOYEN</t>
        </is>
      </c>
      <c r="AH16" s="6" t="inlineStr">
        <is>
          <t>FAIBLE</t>
        </is>
      </c>
      <c r="AI16" s="6" t="inlineStr">
        <is>
          <t>FAIBLE</t>
        </is>
      </c>
      <c r="AJ16" s="4" t="n">
        <v>0</v>
      </c>
      <c r="AK16" s="4" t="n"/>
      <c r="AL16" s="6" t="inlineStr">
        <is>
          <t>RETIRE_BANQUE72_HISTORIQUE_CONSERVE</t>
        </is>
      </c>
      <c r="AM16" s="6" t="inlineStr">
        <is>
          <t>Réduction méthodologique 120→72 : doublon de facette / priorité aux activités professionnelles observables et aux items à plus faible risque.</t>
        </is>
      </c>
      <c r="AN16" s="4" t="inlineStr">
        <is>
          <t>PIP-BANK-0.3</t>
        </is>
      </c>
      <c r="AO16" s="6" t="inlineStr">
        <is>
          <t>PIP-BANK-0.3</t>
        </is>
      </c>
      <c r="AP16" s="8">
        <f>IF(OR(C16="PILOTE",C16="ACTIF"),IF(AND(A16&lt;&gt;"",H16&lt;&gt;"",I16&lt;&gt;"",K16&lt;&gt;"",V16&lt;&gt;"",W16&lt;&gt;""),"OK","A_COMPLETER"),"OK_STRUCTURE")</f>
        <v/>
      </c>
    </row>
    <row r="17" ht="72" customHeight="1" s="34">
      <c r="A17" s="4" t="inlineStr">
        <is>
          <t>PIP-ACT-R-R4-013</t>
        </is>
      </c>
      <c r="B17" s="4" t="inlineStr">
        <is>
          <t>0.2</t>
        </is>
      </c>
      <c r="C17" s="4" t="inlineStr">
        <is>
          <t>PILOTE</t>
        </is>
      </c>
      <c r="D17" s="4" t="inlineStr">
        <is>
          <t>08/09/2026</t>
        </is>
      </c>
      <c r="E17" s="4" t="inlineStr">
        <is>
          <t>08/09/2026</t>
        </is>
      </c>
      <c r="F17" s="4" t="inlineStr">
        <is>
          <t>ACT</t>
        </is>
      </c>
      <c r="G17" s="4" t="inlineStr">
        <is>
          <t>Verbe d’action + objet/contexte</t>
        </is>
      </c>
      <c r="H17" s="4" t="inlineStr">
        <is>
          <t>R</t>
        </is>
      </c>
      <c r="I17" s="4" t="inlineStr">
        <is>
          <t>R4</t>
        </is>
      </c>
      <c r="J17" s="6" t="inlineStr">
        <is>
          <t>I</t>
        </is>
      </c>
      <c r="K17" s="6" t="inlineStr">
        <is>
          <t>Se rendre sur différents sites pour intervenir directement sur le terrain.</t>
        </is>
      </c>
      <c r="L17" s="4" t="inlineStr">
        <is>
          <t>Cela ne m’attire pas du tout</t>
        </is>
      </c>
      <c r="M17" s="4" t="inlineStr">
        <is>
          <t>Cela m’attire peu</t>
        </is>
      </c>
      <c r="N17" s="4" t="inlineStr">
        <is>
          <t>Je suis partagé(e) / sans préférence marquée</t>
        </is>
      </c>
      <c r="O17" s="4" t="inlineStr">
        <is>
          <t>Cela m’attire</t>
        </is>
      </c>
      <c r="P17" s="4" t="inlineStr">
        <is>
          <t>Cela m’attire beaucoup</t>
        </is>
      </c>
      <c r="Q17" s="4" t="n">
        <v>1</v>
      </c>
      <c r="R17" s="4" t="n">
        <v>2</v>
      </c>
      <c r="S17" s="4" t="n">
        <v>3</v>
      </c>
      <c r="T17" s="4" t="n">
        <v>4</v>
      </c>
      <c r="U17" s="4" t="n">
        <v>5</v>
      </c>
      <c r="V17" s="6" t="inlineStr">
        <is>
          <t>La formulation cible l’intérêt pour action concrète sur le réel et résultat tangible. Elle mobilise un comportement caractéristique de la dimension R (Réaliste) sans demander un niveau de compétence préalable.</t>
        </is>
      </c>
      <c r="W17" s="6" t="inlineStr">
        <is>
          <t>L’item relève de R4 — Terrain / environnement concret : Action dans des contextes physiques, extérieurs ou directement liés à un environnement réel.</t>
        </is>
      </c>
      <c r="X17" s="6" t="inlineStr">
        <is>
          <t>Revue méthodologique V0.3 : surveiller projection en cas de limitation physique ou sensorielle, familiarité avec le contexte professionnel au pilote.</t>
        </is>
      </c>
      <c r="Y17" s="6" t="inlineStr">
        <is>
          <t>FAIBLE</t>
        </is>
      </c>
      <c r="Z17" s="6" t="inlineStr">
        <is>
          <t>FAIBLE</t>
        </is>
      </c>
      <c r="AA17" s="6" t="inlineStr">
        <is>
          <t>FAIBLE</t>
        </is>
      </c>
      <c r="AB17" s="6" t="inlineStr">
        <is>
          <t>FAIBLE</t>
        </is>
      </c>
      <c r="AC17" s="6" t="inlineStr">
        <is>
          <t>FAIBLE</t>
        </is>
      </c>
      <c r="AD17" s="6" t="inlineStr">
        <is>
          <t>MOYEN</t>
        </is>
      </c>
      <c r="AE17" s="6" t="inlineStr">
        <is>
          <t>FAIBLE</t>
        </is>
      </c>
      <c r="AF17" s="6" t="inlineStr">
        <is>
          <t>FAIBLE</t>
        </is>
      </c>
      <c r="AG17" s="6" t="inlineStr">
        <is>
          <t>MOYEN</t>
        </is>
      </c>
      <c r="AH17" s="6" t="inlineStr">
        <is>
          <t>FAIBLE</t>
        </is>
      </c>
      <c r="AI17" s="6" t="inlineStr">
        <is>
          <t>FAIBLE</t>
        </is>
      </c>
      <c r="AJ17" s="4" t="n">
        <v>0</v>
      </c>
      <c r="AK17" s="4" t="n"/>
      <c r="AL17" s="6" t="inlineStr">
        <is>
          <t>RETENU_V0.5_REECRIT_CONCRET</t>
        </is>
      </c>
      <c r="AM17" s="6" t="n"/>
      <c r="AN17" s="4" t="inlineStr">
        <is>
          <t>PIP-BANK-0.3</t>
        </is>
      </c>
      <c r="AO17" s="6" t="inlineStr">
        <is>
          <t>PIP-BANK-0.4</t>
        </is>
      </c>
      <c r="AP17" s="8">
        <f>IF(OR(C17="PILOTE",C17="ACTIF"),IF(AND(A17&lt;&gt;"",H17&lt;&gt;"",I17&lt;&gt;"",K17&lt;&gt;"",V17&lt;&gt;"",W17&lt;&gt;""),"OK","A_COMPLETER"),"OK_STRUCTURE")</f>
        <v/>
      </c>
    </row>
    <row r="18" ht="72" customHeight="1" s="34">
      <c r="A18" s="4" t="inlineStr">
        <is>
          <t>PIP-ACT-R-R4-014</t>
        </is>
      </c>
      <c r="B18" s="4" t="inlineStr">
        <is>
          <t>0.2</t>
        </is>
      </c>
      <c r="C18" s="4" t="inlineStr">
        <is>
          <t>PILOTE</t>
        </is>
      </c>
      <c r="D18" s="4" t="inlineStr">
        <is>
          <t>08/09/2026</t>
        </is>
      </c>
      <c r="E18" s="4" t="inlineStr">
        <is>
          <t>08/09/2026</t>
        </is>
      </c>
      <c r="F18" s="4" t="inlineStr">
        <is>
          <t>ACT</t>
        </is>
      </c>
      <c r="G18" s="4" t="inlineStr">
        <is>
          <t>Verbe d’action + objet/contexte</t>
        </is>
      </c>
      <c r="H18" s="4" t="inlineStr">
        <is>
          <t>R</t>
        </is>
      </c>
      <c r="I18" s="4" t="inlineStr">
        <is>
          <t>R4</t>
        </is>
      </c>
      <c r="J18" s="6" t="inlineStr">
        <is>
          <t>I</t>
        </is>
      </c>
      <c r="K18" s="6" t="inlineStr">
        <is>
          <t>Réaliser une activité professionnelle principalement en extérieur.</t>
        </is>
      </c>
      <c r="L18" s="4" t="inlineStr">
        <is>
          <t>Cela ne m’attire pas du tout</t>
        </is>
      </c>
      <c r="M18" s="4" t="inlineStr">
        <is>
          <t>Cela m’attire peu</t>
        </is>
      </c>
      <c r="N18" s="4" t="inlineStr">
        <is>
          <t>Je suis partagé(e) / sans préférence marquée</t>
        </is>
      </c>
      <c r="O18" s="4" t="inlineStr">
        <is>
          <t>Cela m’attire</t>
        </is>
      </c>
      <c r="P18" s="4" t="inlineStr">
        <is>
          <t>Cela m’attire beaucoup</t>
        </is>
      </c>
      <c r="Q18" s="4" t="n">
        <v>1</v>
      </c>
      <c r="R18" s="4" t="n">
        <v>2</v>
      </c>
      <c r="S18" s="4" t="n">
        <v>3</v>
      </c>
      <c r="T18" s="4" t="n">
        <v>4</v>
      </c>
      <c r="U18" s="4" t="n">
        <v>5</v>
      </c>
      <c r="V18" s="6" t="inlineStr">
        <is>
          <t>La formulation cible l’intérêt pour action concrète sur le réel et résultat tangible. Elle mobilise un comportement caractéristique de la dimension R (Réaliste) sans demander un niveau de compétence préalable.</t>
        </is>
      </c>
      <c r="W18" s="6" t="inlineStr">
        <is>
          <t>L’item relève de R4 — Terrain / environnement concret : Action dans des contextes physiques, extérieurs ou directement liés à un environnement réel.</t>
        </is>
      </c>
      <c r="X18" s="6" t="inlineStr">
        <is>
          <t>Revue méthodologique V0.3 : surveiller projection en cas de limitation physique ou sensorielle, familiarité avec le contexte professionnel au pilote.</t>
        </is>
      </c>
      <c r="Y18" s="6" t="inlineStr">
        <is>
          <t>FAIBLE</t>
        </is>
      </c>
      <c r="Z18" s="6" t="inlineStr">
        <is>
          <t>FAIBLE</t>
        </is>
      </c>
      <c r="AA18" s="6" t="inlineStr">
        <is>
          <t>FAIBLE</t>
        </is>
      </c>
      <c r="AB18" s="6" t="inlineStr">
        <is>
          <t>FAIBLE</t>
        </is>
      </c>
      <c r="AC18" s="6" t="inlineStr">
        <is>
          <t>FAIBLE</t>
        </is>
      </c>
      <c r="AD18" s="6" t="inlineStr">
        <is>
          <t>MOYEN</t>
        </is>
      </c>
      <c r="AE18" s="6" t="inlineStr">
        <is>
          <t>FAIBLE</t>
        </is>
      </c>
      <c r="AF18" s="6" t="inlineStr">
        <is>
          <t>FAIBLE</t>
        </is>
      </c>
      <c r="AG18" s="6" t="inlineStr">
        <is>
          <t>MOYEN</t>
        </is>
      </c>
      <c r="AH18" s="6" t="inlineStr">
        <is>
          <t>FAIBLE</t>
        </is>
      </c>
      <c r="AI18" s="6" t="inlineStr">
        <is>
          <t>FAIBLE</t>
        </is>
      </c>
      <c r="AJ18" s="4" t="n">
        <v>0</v>
      </c>
      <c r="AK18" s="4" t="n"/>
      <c r="AL18" s="6" t="inlineStr">
        <is>
          <t>RETENU_V0.5_REECRIT_CONCRET</t>
        </is>
      </c>
      <c r="AM18" s="6" t="n"/>
      <c r="AN18" s="4" t="inlineStr">
        <is>
          <t>PIP-BANK-0.3</t>
        </is>
      </c>
      <c r="AO18" s="6" t="inlineStr">
        <is>
          <t>PIP-BANK-0.4</t>
        </is>
      </c>
      <c r="AP18" s="8">
        <f>IF(OR(C18="PILOTE",C18="ACTIF"),IF(AND(A18&lt;&gt;"",H18&lt;&gt;"",I18&lt;&gt;"",K18&lt;&gt;"",V18&lt;&gt;"",W18&lt;&gt;""),"OK","A_COMPLETER"),"OK_STRUCTURE")</f>
        <v/>
      </c>
    </row>
    <row r="19" ht="72" customHeight="1" s="34">
      <c r="A19" s="4" t="inlineStr">
        <is>
          <t>PIP-SIT-R-R4-015</t>
        </is>
      </c>
      <c r="B19" s="4" t="inlineStr">
        <is>
          <t>0.2</t>
        </is>
      </c>
      <c r="C19" s="4" t="inlineStr">
        <is>
          <t>PILOTE</t>
        </is>
      </c>
      <c r="D19" s="4" t="inlineStr">
        <is>
          <t>08/09/2026</t>
        </is>
      </c>
      <c r="E19" s="4" t="inlineStr">
        <is>
          <t>08/09/2026</t>
        </is>
      </c>
      <c r="F19" s="4" t="inlineStr">
        <is>
          <t>SIT</t>
        </is>
      </c>
      <c r="G19" s="4" t="inlineStr">
        <is>
          <t>Situation courte avec enjeu central</t>
        </is>
      </c>
      <c r="H19" s="4" t="inlineStr">
        <is>
          <t>R</t>
        </is>
      </c>
      <c r="I19" s="4" t="inlineStr">
        <is>
          <t>R4</t>
        </is>
      </c>
      <c r="J19" s="6" t="inlineStr">
        <is>
          <t>I</t>
        </is>
      </c>
      <c r="K19" s="6" t="inlineStr">
        <is>
          <t>Intervenir sur place lorsqu’une situation concrète doit être traitée directement plutôt qu’à distance.</t>
        </is>
      </c>
      <c r="L19" s="4" t="inlineStr">
        <is>
          <t>Cela ne m’attire pas du tout</t>
        </is>
      </c>
      <c r="M19" s="4" t="inlineStr">
        <is>
          <t>Cela m’attire peu</t>
        </is>
      </c>
      <c r="N19" s="4" t="inlineStr">
        <is>
          <t>Je suis partagé(e) / sans préférence marquée</t>
        </is>
      </c>
      <c r="O19" s="4" t="inlineStr">
        <is>
          <t>Cela m’attire</t>
        </is>
      </c>
      <c r="P19" s="4" t="inlineStr">
        <is>
          <t>Cela m’attire beaucoup</t>
        </is>
      </c>
      <c r="Q19" s="4" t="n">
        <v>1</v>
      </c>
      <c r="R19" s="4" t="n">
        <v>2</v>
      </c>
      <c r="S19" s="4" t="n">
        <v>3</v>
      </c>
      <c r="T19" s="4" t="n">
        <v>4</v>
      </c>
      <c r="U19" s="4" t="n">
        <v>5</v>
      </c>
      <c r="V19" s="6" t="inlineStr">
        <is>
          <t>La formulation cible l’intérêt pour action concrète sur le réel et résultat tangible. Elle mobilise un comportement caractéristique de la dimension R (Réaliste) sans demander un niveau de compétence préalable.</t>
        </is>
      </c>
      <c r="W19" s="6" t="inlineStr">
        <is>
          <t>L’item relève de R4 — Terrain / environnement concret : Action dans des contextes physiques, extérieurs ou directement liés à un environnement réel.</t>
        </is>
      </c>
      <c r="X19" s="6" t="inlineStr">
        <is>
          <t>Revue méthodologique V0.3 : surveiller projection en cas de limitation physique ou sensorielle, familiarité avec le contexte professionnel au pilote.</t>
        </is>
      </c>
      <c r="Y19" s="6" t="inlineStr">
        <is>
          <t>FAIBLE</t>
        </is>
      </c>
      <c r="Z19" s="6" t="inlineStr">
        <is>
          <t>FAIBLE</t>
        </is>
      </c>
      <c r="AA19" s="6" t="inlineStr">
        <is>
          <t>FAIBLE</t>
        </is>
      </c>
      <c r="AB19" s="6" t="inlineStr">
        <is>
          <t>FAIBLE</t>
        </is>
      </c>
      <c r="AC19" s="6" t="inlineStr">
        <is>
          <t>FAIBLE</t>
        </is>
      </c>
      <c r="AD19" s="6" t="inlineStr">
        <is>
          <t>MOYEN</t>
        </is>
      </c>
      <c r="AE19" s="6" t="inlineStr">
        <is>
          <t>FAIBLE</t>
        </is>
      </c>
      <c r="AF19" s="6" t="inlineStr">
        <is>
          <t>FAIBLE</t>
        </is>
      </c>
      <c r="AG19" s="6" t="inlineStr">
        <is>
          <t>MOYEN</t>
        </is>
      </c>
      <c r="AH19" s="6" t="inlineStr">
        <is>
          <t>FAIBLE</t>
        </is>
      </c>
      <c r="AI19" s="6" t="inlineStr">
        <is>
          <t>FAIBLE</t>
        </is>
      </c>
      <c r="AJ19" s="4" t="n">
        <v>0</v>
      </c>
      <c r="AK19" s="4" t="n"/>
      <c r="AL19" s="6" t="inlineStr">
        <is>
          <t>RETIRE_BANQUE72_HISTORIQUE_CONSERVE</t>
        </is>
      </c>
      <c r="AM19" s="6" t="inlineStr">
        <is>
          <t>Réduction méthodologique 120→72 : doublon de facette / priorité aux activités professionnelles observables et aux items à plus faible risque.</t>
        </is>
      </c>
      <c r="AN19" s="4" t="inlineStr">
        <is>
          <t>PIP-BANK-0.3</t>
        </is>
      </c>
      <c r="AO19" s="6" t="inlineStr">
        <is>
          <t>PIP-BANK-0.3</t>
        </is>
      </c>
      <c r="AP19" s="8">
        <f>IF(OR(C19="PILOTE",C19="ACTIF"),IF(AND(A19&lt;&gt;"",H19&lt;&gt;"",I19&lt;&gt;"",K19&lt;&gt;"",V19&lt;&gt;"",W19&lt;&gt;""),"OK","A_COMPLETER"),"OK_STRUCTURE")</f>
        <v/>
      </c>
    </row>
    <row r="20" ht="72" customHeight="1" s="34">
      <c r="A20" s="4" t="inlineStr">
        <is>
          <t>PIP-ENV-R-R4-016</t>
        </is>
      </c>
      <c r="B20" s="4" t="inlineStr">
        <is>
          <t>0.2</t>
        </is>
      </c>
      <c r="C20" s="4" t="inlineStr">
        <is>
          <t>PILOTE</t>
        </is>
      </c>
      <c r="D20" s="4" t="inlineStr">
        <is>
          <t>08/09/2026</t>
        </is>
      </c>
      <c r="E20" s="4" t="inlineStr">
        <is>
          <t>08/09/2026</t>
        </is>
      </c>
      <c r="F20" s="4" t="inlineStr">
        <is>
          <t>ENV</t>
        </is>
      </c>
      <c r="G20" s="4" t="inlineStr">
        <is>
          <t>Contexte décrit par ce qu’il permet de faire</t>
        </is>
      </c>
      <c r="H20" s="4" t="inlineStr">
        <is>
          <t>R</t>
        </is>
      </c>
      <c r="I20" s="4" t="inlineStr">
        <is>
          <t>R4</t>
        </is>
      </c>
      <c r="J20" s="6" t="inlineStr">
        <is>
          <t>I</t>
        </is>
      </c>
      <c r="K20" s="6" t="inlineStr">
        <is>
          <t>Travailler dans un contexte où l’activité se déroule souvent sur le terrain, au contact direct de l’environnement réel.</t>
        </is>
      </c>
      <c r="L20" s="4" t="inlineStr">
        <is>
          <t>Cela ne m’attire pas du tout</t>
        </is>
      </c>
      <c r="M20" s="4" t="inlineStr">
        <is>
          <t>Cela m’attire peu</t>
        </is>
      </c>
      <c r="N20" s="4" t="inlineStr">
        <is>
          <t>Je suis partagé(e) / sans préférence marquée</t>
        </is>
      </c>
      <c r="O20" s="4" t="inlineStr">
        <is>
          <t>Cela m’attire</t>
        </is>
      </c>
      <c r="P20" s="4" t="inlineStr">
        <is>
          <t>Cela m’attire beaucoup</t>
        </is>
      </c>
      <c r="Q20" s="4" t="n">
        <v>1</v>
      </c>
      <c r="R20" s="4" t="n">
        <v>2</v>
      </c>
      <c r="S20" s="4" t="n">
        <v>3</v>
      </c>
      <c r="T20" s="4" t="n">
        <v>4</v>
      </c>
      <c r="U20" s="4" t="n">
        <v>5</v>
      </c>
      <c r="V20" s="6" t="inlineStr">
        <is>
          <t>La formulation cible l’intérêt pour action concrète sur le réel et résultat tangible. Elle mobilise un comportement caractéristique de la dimension R (Réaliste) sans demander un niveau de compétence préalable.</t>
        </is>
      </c>
      <c r="W20" s="6" t="inlineStr">
        <is>
          <t>L’item relève de R4 — Terrain / environnement concret : Action dans des contextes physiques, extérieurs ou directement liés à un environnement réel.</t>
        </is>
      </c>
      <c r="X20" s="6" t="inlineStr">
        <is>
          <t>Revue méthodologique V0.3 : surveiller projection en cas de limitation physique ou sensorielle, familiarité avec le contexte professionnel au pilote.</t>
        </is>
      </c>
      <c r="Y20" s="6" t="inlineStr">
        <is>
          <t>FAIBLE</t>
        </is>
      </c>
      <c r="Z20" s="6" t="inlineStr">
        <is>
          <t>FAIBLE</t>
        </is>
      </c>
      <c r="AA20" s="6" t="inlineStr">
        <is>
          <t>FAIBLE</t>
        </is>
      </c>
      <c r="AB20" s="6" t="inlineStr">
        <is>
          <t>FAIBLE</t>
        </is>
      </c>
      <c r="AC20" s="6" t="inlineStr">
        <is>
          <t>FAIBLE</t>
        </is>
      </c>
      <c r="AD20" s="6" t="inlineStr">
        <is>
          <t>MOYEN</t>
        </is>
      </c>
      <c r="AE20" s="6" t="inlineStr">
        <is>
          <t>FAIBLE</t>
        </is>
      </c>
      <c r="AF20" s="6" t="inlineStr">
        <is>
          <t>FAIBLE</t>
        </is>
      </c>
      <c r="AG20" s="6" t="inlineStr">
        <is>
          <t>MOYEN</t>
        </is>
      </c>
      <c r="AH20" s="6" t="inlineStr">
        <is>
          <t>FAIBLE</t>
        </is>
      </c>
      <c r="AI20" s="6" t="inlineStr">
        <is>
          <t>FAIBLE</t>
        </is>
      </c>
      <c r="AJ20" s="4" t="n">
        <v>0</v>
      </c>
      <c r="AK20" s="4" t="n"/>
      <c r="AL20" s="6" t="inlineStr">
        <is>
          <t>RETIRE_BANQUE72_HISTORIQUE_CONSERVE</t>
        </is>
      </c>
      <c r="AM20" s="6" t="inlineStr">
        <is>
          <t>Réduction méthodologique 120→72 : doublon de facette / priorité aux activités professionnelles observables et aux items à plus faible risque.</t>
        </is>
      </c>
      <c r="AN20" s="4" t="inlineStr">
        <is>
          <t>PIP-BANK-0.3</t>
        </is>
      </c>
      <c r="AO20" s="6" t="inlineStr">
        <is>
          <t>PIP-BANK-0.3</t>
        </is>
      </c>
      <c r="AP20" s="8">
        <f>IF(OR(C20="PILOTE",C20="ACTIF"),IF(AND(A20&lt;&gt;"",H20&lt;&gt;"",I20&lt;&gt;"",K20&lt;&gt;"",V20&lt;&gt;"",W20&lt;&gt;""),"OK","A_COMPLETER"),"OK_STRUCTURE")</f>
        <v/>
      </c>
    </row>
    <row r="21" ht="72" customHeight="1" s="34">
      <c r="A21" s="4" t="inlineStr">
        <is>
          <t>PIP-ACT-R-R5-017</t>
        </is>
      </c>
      <c r="B21" s="4" t="inlineStr">
        <is>
          <t>0.2</t>
        </is>
      </c>
      <c r="C21" s="4" t="inlineStr">
        <is>
          <t>PILOTE</t>
        </is>
      </c>
      <c r="D21" s="4" t="inlineStr">
        <is>
          <t>08/09/2026</t>
        </is>
      </c>
      <c r="E21" s="4" t="inlineStr">
        <is>
          <t>08/09/2026</t>
        </is>
      </c>
      <c r="F21" s="4" t="inlineStr">
        <is>
          <t>ACT</t>
        </is>
      </c>
      <c r="G21" s="4" t="inlineStr">
        <is>
          <t>Verbe d’action + objet/contexte</t>
        </is>
      </c>
      <c r="H21" s="4" t="inlineStr">
        <is>
          <t>R</t>
        </is>
      </c>
      <c r="I21" s="4" t="inlineStr">
        <is>
          <t>R5</t>
        </is>
      </c>
      <c r="J21" s="6" t="inlineStr">
        <is>
          <t>S,I</t>
        </is>
      </c>
      <c r="K21" s="6" t="inlineStr">
        <is>
          <t>S’occuper concrètement de plantes ou d’animaux dans le cadre du travail.</t>
        </is>
      </c>
      <c r="L21" s="4" t="inlineStr">
        <is>
          <t>Cela ne m’attire pas du tout</t>
        </is>
      </c>
      <c r="M21" s="4" t="inlineStr">
        <is>
          <t>Cela m’attire peu</t>
        </is>
      </c>
      <c r="N21" s="4" t="inlineStr">
        <is>
          <t>Je suis partagé(e) / sans préférence marquée</t>
        </is>
      </c>
      <c r="O21" s="4" t="inlineStr">
        <is>
          <t>Cela m’attire</t>
        </is>
      </c>
      <c r="P21" s="4" t="inlineStr">
        <is>
          <t>Cela m’attire beaucoup</t>
        </is>
      </c>
      <c r="Q21" s="4" t="n">
        <v>1</v>
      </c>
      <c r="R21" s="4" t="n">
        <v>2</v>
      </c>
      <c r="S21" s="4" t="n">
        <v>3</v>
      </c>
      <c r="T21" s="4" t="n">
        <v>4</v>
      </c>
      <c r="U21" s="4" t="n">
        <v>5</v>
      </c>
      <c r="V21" s="6" t="inlineStr">
        <is>
          <t>La formulation cible l’intérêt pour action concrète sur le réel et résultat tangible. Elle mobilise un comportement caractéristique de la dimension R (Réaliste) sans demander un niveau de compétence préalable.</t>
        </is>
      </c>
      <c r="W21" s="6" t="inlineStr">
        <is>
          <t>L’item relève de R5 — Vivant / matière / action physique : Activités pratiques impliquant plantes, animaux, matière, effort corporel ou intervention physique finalisée.</t>
        </is>
      </c>
      <c r="X21" s="6" t="inlineStr">
        <is>
          <t>Revue méthodologique V0.3 : surveiller projection en cas de limitation physique ou sensorielle, familiarité avec le contexte professionnel, frontière avec S au pilote.</t>
        </is>
      </c>
      <c r="Y21" s="6" t="inlineStr">
        <is>
          <t>FAIBLE</t>
        </is>
      </c>
      <c r="Z21" s="6" t="inlineStr">
        <is>
          <t>FAIBLE</t>
        </is>
      </c>
      <c r="AA21" s="6" t="inlineStr">
        <is>
          <t>FAIBLE</t>
        </is>
      </c>
      <c r="AB21" s="6" t="inlineStr">
        <is>
          <t>FAIBLE</t>
        </is>
      </c>
      <c r="AC21" s="6" t="inlineStr">
        <is>
          <t>FAIBLE</t>
        </is>
      </c>
      <c r="AD21" s="6" t="inlineStr">
        <is>
          <t>MOYEN</t>
        </is>
      </c>
      <c r="AE21" s="6" t="inlineStr">
        <is>
          <t>FAIBLE</t>
        </is>
      </c>
      <c r="AF21" s="6" t="inlineStr">
        <is>
          <t>FAIBLE</t>
        </is>
      </c>
      <c r="AG21" s="6" t="inlineStr">
        <is>
          <t>MOYEN</t>
        </is>
      </c>
      <c r="AH21" s="6" t="inlineStr">
        <is>
          <t>FAIBLE</t>
        </is>
      </c>
      <c r="AI21" s="6" t="inlineStr">
        <is>
          <t>MOYEN</t>
        </is>
      </c>
      <c r="AJ21" s="4" t="n">
        <v>0</v>
      </c>
      <c r="AK21" s="4" t="n"/>
      <c r="AL21" s="6" t="inlineStr">
        <is>
          <t>RETENU_V0.5_REECRIT_CONCRET</t>
        </is>
      </c>
      <c r="AM21" s="6" t="n"/>
      <c r="AN21" s="4" t="inlineStr">
        <is>
          <t>PIP-BANK-0.3</t>
        </is>
      </c>
      <c r="AO21" s="6" t="inlineStr">
        <is>
          <t>PIP-BANK-0.4</t>
        </is>
      </c>
      <c r="AP21" s="8">
        <f>IF(OR(C21="PILOTE",C21="ACTIF"),IF(AND(A21&lt;&gt;"",H21&lt;&gt;"",I21&lt;&gt;"",K21&lt;&gt;"",V21&lt;&gt;"",W21&lt;&gt;""),"OK","A_COMPLETER"),"OK_STRUCTURE")</f>
        <v/>
      </c>
    </row>
    <row r="22" ht="72" customHeight="1" s="34">
      <c r="A22" s="4" t="inlineStr">
        <is>
          <t>PIP-ACT-R-R5-018</t>
        </is>
      </c>
      <c r="B22" s="4" t="inlineStr">
        <is>
          <t>0.2</t>
        </is>
      </c>
      <c r="C22" s="4" t="inlineStr">
        <is>
          <t>PILOTE</t>
        </is>
      </c>
      <c r="D22" s="4" t="inlineStr">
        <is>
          <t>08/09/2026</t>
        </is>
      </c>
      <c r="E22" s="4" t="inlineStr">
        <is>
          <t>08/09/2026</t>
        </is>
      </c>
      <c r="F22" s="4" t="inlineStr">
        <is>
          <t>ACT</t>
        </is>
      </c>
      <c r="G22" s="4" t="inlineStr">
        <is>
          <t>Verbe d’action + objet/contexte</t>
        </is>
      </c>
      <c r="H22" s="4" t="inlineStr">
        <is>
          <t>R</t>
        </is>
      </c>
      <c r="I22" s="4" t="inlineStr">
        <is>
          <t>R5</t>
        </is>
      </c>
      <c r="J22" s="6" t="inlineStr">
        <is>
          <t>S,I</t>
        </is>
      </c>
      <c r="K22" s="6" t="inlineStr">
        <is>
          <t>Manipuler des matériaux ou des produits pour réaliser une tâche physique utile.</t>
        </is>
      </c>
      <c r="L22" s="4" t="inlineStr">
        <is>
          <t>Cela ne m’attire pas du tout</t>
        </is>
      </c>
      <c r="M22" s="4" t="inlineStr">
        <is>
          <t>Cela m’attire peu</t>
        </is>
      </c>
      <c r="N22" s="4" t="inlineStr">
        <is>
          <t>Je suis partagé(e) / sans préférence marquée</t>
        </is>
      </c>
      <c r="O22" s="4" t="inlineStr">
        <is>
          <t>Cela m’attire</t>
        </is>
      </c>
      <c r="P22" s="4" t="inlineStr">
        <is>
          <t>Cela m’attire beaucoup</t>
        </is>
      </c>
      <c r="Q22" s="4" t="n">
        <v>1</v>
      </c>
      <c r="R22" s="4" t="n">
        <v>2</v>
      </c>
      <c r="S22" s="4" t="n">
        <v>3</v>
      </c>
      <c r="T22" s="4" t="n">
        <v>4</v>
      </c>
      <c r="U22" s="4" t="n">
        <v>5</v>
      </c>
      <c r="V22" s="6" t="inlineStr">
        <is>
          <t>La formulation cible l’intérêt pour action concrète sur le réel et résultat tangible. Elle mobilise un comportement caractéristique de la dimension R (Réaliste) sans demander un niveau de compétence préalable.</t>
        </is>
      </c>
      <c r="W22" s="6" t="inlineStr">
        <is>
          <t>L’item relève de R5 — Vivant / matière / action physique : Activités pratiques impliquant plantes, animaux, matière, effort corporel ou intervention physique finalisée.</t>
        </is>
      </c>
      <c r="X22" s="6" t="inlineStr">
        <is>
          <t>Revue méthodologique V0.3 : surveiller projection en cas de limitation physique ou sensorielle, familiarité avec le contexte professionnel au pilote.</t>
        </is>
      </c>
      <c r="Y22" s="6" t="inlineStr">
        <is>
          <t>FAIBLE</t>
        </is>
      </c>
      <c r="Z22" s="6" t="inlineStr">
        <is>
          <t>FAIBLE</t>
        </is>
      </c>
      <c r="AA22" s="6" t="inlineStr">
        <is>
          <t>FAIBLE</t>
        </is>
      </c>
      <c r="AB22" s="6" t="inlineStr">
        <is>
          <t>FAIBLE</t>
        </is>
      </c>
      <c r="AC22" s="6" t="inlineStr">
        <is>
          <t>FAIBLE</t>
        </is>
      </c>
      <c r="AD22" s="6" t="inlineStr">
        <is>
          <t>MOYEN</t>
        </is>
      </c>
      <c r="AE22" s="6" t="inlineStr">
        <is>
          <t>FAIBLE</t>
        </is>
      </c>
      <c r="AF22" s="6" t="inlineStr">
        <is>
          <t>FAIBLE</t>
        </is>
      </c>
      <c r="AG22" s="6" t="inlineStr">
        <is>
          <t>MOYEN</t>
        </is>
      </c>
      <c r="AH22" s="6" t="inlineStr">
        <is>
          <t>FAIBLE</t>
        </is>
      </c>
      <c r="AI22" s="6" t="inlineStr">
        <is>
          <t>FAIBLE</t>
        </is>
      </c>
      <c r="AJ22" s="4" t="n">
        <v>0</v>
      </c>
      <c r="AK22" s="4" t="n"/>
      <c r="AL22" s="6" t="inlineStr">
        <is>
          <t>RETENU_V0.5_REECRIT_CONCRET</t>
        </is>
      </c>
      <c r="AM22" s="6" t="n"/>
      <c r="AN22" s="4" t="inlineStr">
        <is>
          <t>PIP-BANK-0.3</t>
        </is>
      </c>
      <c r="AO22" s="6" t="inlineStr">
        <is>
          <t>PIP-BANK-0.4</t>
        </is>
      </c>
      <c r="AP22" s="8">
        <f>IF(OR(C22="PILOTE",C22="ACTIF"),IF(AND(A22&lt;&gt;"",H22&lt;&gt;"",I22&lt;&gt;"",K22&lt;&gt;"",V22&lt;&gt;"",W22&lt;&gt;""),"OK","A_COMPLETER"),"OK_STRUCTURE")</f>
        <v/>
      </c>
    </row>
    <row r="23" ht="72" customHeight="1" s="34">
      <c r="A23" s="4" t="inlineStr">
        <is>
          <t>PIP-SIT-R-R5-019</t>
        </is>
      </c>
      <c r="B23" s="4" t="inlineStr">
        <is>
          <t>0.2</t>
        </is>
      </c>
      <c r="C23" s="4" t="inlineStr">
        <is>
          <t>PILOTE</t>
        </is>
      </c>
      <c r="D23" s="4" t="inlineStr">
        <is>
          <t>08/09/2026</t>
        </is>
      </c>
      <c r="E23" s="4" t="inlineStr">
        <is>
          <t>08/09/2026</t>
        </is>
      </c>
      <c r="F23" s="4" t="inlineStr">
        <is>
          <t>SIT</t>
        </is>
      </c>
      <c r="G23" s="4" t="inlineStr">
        <is>
          <t>Situation courte avec enjeu central</t>
        </is>
      </c>
      <c r="H23" s="4" t="inlineStr">
        <is>
          <t>R</t>
        </is>
      </c>
      <c r="I23" s="4" t="inlineStr">
        <is>
          <t>R5</t>
        </is>
      </c>
      <c r="J23" s="6" t="inlineStr">
        <is>
          <t>S,I</t>
        </is>
      </c>
      <c r="K23" s="6" t="inlineStr">
        <is>
          <t>Prendre en charge une activité où il faut agir directement sur du vivant, de la matière ou un environnement physique.</t>
        </is>
      </c>
      <c r="L23" s="4" t="inlineStr">
        <is>
          <t>Cela ne m’attire pas du tout</t>
        </is>
      </c>
      <c r="M23" s="4" t="inlineStr">
        <is>
          <t>Cela m’attire peu</t>
        </is>
      </c>
      <c r="N23" s="4" t="inlineStr">
        <is>
          <t>Je suis partagé(e) / sans préférence marquée</t>
        </is>
      </c>
      <c r="O23" s="4" t="inlineStr">
        <is>
          <t>Cela m’attire</t>
        </is>
      </c>
      <c r="P23" s="4" t="inlineStr">
        <is>
          <t>Cela m’attire beaucoup</t>
        </is>
      </c>
      <c r="Q23" s="4" t="n">
        <v>1</v>
      </c>
      <c r="R23" s="4" t="n">
        <v>2</v>
      </c>
      <c r="S23" s="4" t="n">
        <v>3</v>
      </c>
      <c r="T23" s="4" t="n">
        <v>4</v>
      </c>
      <c r="U23" s="4" t="n">
        <v>5</v>
      </c>
      <c r="V23" s="6" t="inlineStr">
        <is>
          <t>La formulation cible l’intérêt pour action concrète sur le réel et résultat tangible. Elle mobilise un comportement caractéristique de la dimension R (Réaliste) sans demander un niveau de compétence préalable.</t>
        </is>
      </c>
      <c r="W23" s="6" t="inlineStr">
        <is>
          <t>L’item relève de R5 — Vivant / matière / action physique : Activités pratiques impliquant plantes, animaux, matière, effort corporel ou intervention physique finalisée.</t>
        </is>
      </c>
      <c r="X23" s="6" t="inlineStr">
        <is>
          <t>Revue méthodologique V0.3 : surveiller projection en cas de limitation physique ou sensorielle, familiarité avec le contexte professionnel au pilote.</t>
        </is>
      </c>
      <c r="Y23" s="6" t="inlineStr">
        <is>
          <t>FAIBLE</t>
        </is>
      </c>
      <c r="Z23" s="6" t="inlineStr">
        <is>
          <t>FAIBLE</t>
        </is>
      </c>
      <c r="AA23" s="6" t="inlineStr">
        <is>
          <t>FAIBLE</t>
        </is>
      </c>
      <c r="AB23" s="6" t="inlineStr">
        <is>
          <t>FAIBLE</t>
        </is>
      </c>
      <c r="AC23" s="6" t="inlineStr">
        <is>
          <t>FAIBLE</t>
        </is>
      </c>
      <c r="AD23" s="6" t="inlineStr">
        <is>
          <t>MOYEN</t>
        </is>
      </c>
      <c r="AE23" s="6" t="inlineStr">
        <is>
          <t>FAIBLE</t>
        </is>
      </c>
      <c r="AF23" s="6" t="inlineStr">
        <is>
          <t>FAIBLE</t>
        </is>
      </c>
      <c r="AG23" s="6" t="inlineStr">
        <is>
          <t>MOYEN</t>
        </is>
      </c>
      <c r="AH23" s="6" t="inlineStr">
        <is>
          <t>FAIBLE</t>
        </is>
      </c>
      <c r="AI23" s="6" t="inlineStr">
        <is>
          <t>FAIBLE</t>
        </is>
      </c>
      <c r="AJ23" s="4" t="n">
        <v>0</v>
      </c>
      <c r="AK23" s="4" t="n"/>
      <c r="AL23" s="6" t="inlineStr">
        <is>
          <t>RETIRE_BANQUE72_HISTORIQUE_CONSERVE</t>
        </is>
      </c>
      <c r="AM23" s="6" t="inlineStr">
        <is>
          <t>Réduction méthodologique 120→72 : doublon de facette / priorité aux activités professionnelles observables et aux items à plus faible risque.</t>
        </is>
      </c>
      <c r="AN23" s="4" t="inlineStr">
        <is>
          <t>PIP-BANK-0.3</t>
        </is>
      </c>
      <c r="AO23" s="6" t="inlineStr">
        <is>
          <t>PIP-BANK-0.3</t>
        </is>
      </c>
      <c r="AP23" s="8">
        <f>IF(OR(C23="PILOTE",C23="ACTIF"),IF(AND(A23&lt;&gt;"",H23&lt;&gt;"",I23&lt;&gt;"",K23&lt;&gt;"",V23&lt;&gt;"",W23&lt;&gt;""),"OK","A_COMPLETER"),"OK_STRUCTURE")</f>
        <v/>
      </c>
    </row>
    <row r="24" ht="72" customHeight="1" s="34">
      <c r="A24" s="4" t="inlineStr">
        <is>
          <t>PIP-ENV-R-R5-020</t>
        </is>
      </c>
      <c r="B24" s="4" t="inlineStr">
        <is>
          <t>0.2</t>
        </is>
      </c>
      <c r="C24" s="4" t="inlineStr">
        <is>
          <t>PILOTE</t>
        </is>
      </c>
      <c r="D24" s="4" t="inlineStr">
        <is>
          <t>08/09/2026</t>
        </is>
      </c>
      <c r="E24" s="4" t="inlineStr">
        <is>
          <t>08/09/2026</t>
        </is>
      </c>
      <c r="F24" s="4" t="inlineStr">
        <is>
          <t>ENV</t>
        </is>
      </c>
      <c r="G24" s="4" t="inlineStr">
        <is>
          <t>Contexte décrit par ce qu’il permet de faire</t>
        </is>
      </c>
      <c r="H24" s="4" t="inlineStr">
        <is>
          <t>R</t>
        </is>
      </c>
      <c r="I24" s="4" t="inlineStr">
        <is>
          <t>R5</t>
        </is>
      </c>
      <c r="J24" s="6" t="inlineStr">
        <is>
          <t>S,I</t>
        </is>
      </c>
      <c r="K24" s="6" t="inlineStr">
        <is>
          <t>Évoluer dans un environnement où le travail implique régulièrement une action physique concrète sur des matières, des plantes, des animaux ou des objets.</t>
        </is>
      </c>
      <c r="L24" s="4" t="inlineStr">
        <is>
          <t>Cela ne m’attire pas du tout</t>
        </is>
      </c>
      <c r="M24" s="4" t="inlineStr">
        <is>
          <t>Cela m’attire peu</t>
        </is>
      </c>
      <c r="N24" s="4" t="inlineStr">
        <is>
          <t>Je suis partagé(e) / sans préférence marquée</t>
        </is>
      </c>
      <c r="O24" s="4" t="inlineStr">
        <is>
          <t>Cela m’attire</t>
        </is>
      </c>
      <c r="P24" s="4" t="inlineStr">
        <is>
          <t>Cela m’attire beaucoup</t>
        </is>
      </c>
      <c r="Q24" s="4" t="n">
        <v>1</v>
      </c>
      <c r="R24" s="4" t="n">
        <v>2</v>
      </c>
      <c r="S24" s="4" t="n">
        <v>3</v>
      </c>
      <c r="T24" s="4" t="n">
        <v>4</v>
      </c>
      <c r="U24" s="4" t="n">
        <v>5</v>
      </c>
      <c r="V24" s="6" t="inlineStr">
        <is>
          <t>La formulation cible l’intérêt pour action concrète sur le réel et résultat tangible. Elle mobilise un comportement caractéristique de la dimension R (Réaliste) sans demander un niveau de compétence préalable.</t>
        </is>
      </c>
      <c r="W24" s="6" t="inlineStr">
        <is>
          <t>L’item relève de R5 — Vivant / matière / action physique : Activités pratiques impliquant plantes, animaux, matière, effort corporel ou intervention physique finalisée.</t>
        </is>
      </c>
      <c r="X24" s="6" t="inlineStr">
        <is>
          <t>Revue méthodologique V0.3 : surveiller projection en cas de limitation physique ou sensorielle, familiarité avec le contexte professionnel au pilote.</t>
        </is>
      </c>
      <c r="Y24" s="6" t="inlineStr">
        <is>
          <t>FAIBLE</t>
        </is>
      </c>
      <c r="Z24" s="6" t="inlineStr">
        <is>
          <t>FAIBLE</t>
        </is>
      </c>
      <c r="AA24" s="6" t="inlineStr">
        <is>
          <t>FAIBLE</t>
        </is>
      </c>
      <c r="AB24" s="6" t="inlineStr">
        <is>
          <t>FAIBLE</t>
        </is>
      </c>
      <c r="AC24" s="6" t="inlineStr">
        <is>
          <t>FAIBLE</t>
        </is>
      </c>
      <c r="AD24" s="6" t="inlineStr">
        <is>
          <t>MOYEN</t>
        </is>
      </c>
      <c r="AE24" s="6" t="inlineStr">
        <is>
          <t>FAIBLE</t>
        </is>
      </c>
      <c r="AF24" s="6" t="inlineStr">
        <is>
          <t>FAIBLE</t>
        </is>
      </c>
      <c r="AG24" s="6" t="inlineStr">
        <is>
          <t>MOYEN</t>
        </is>
      </c>
      <c r="AH24" s="6" t="inlineStr">
        <is>
          <t>FAIBLE</t>
        </is>
      </c>
      <c r="AI24" s="6" t="inlineStr">
        <is>
          <t>FAIBLE</t>
        </is>
      </c>
      <c r="AJ24" s="4" t="n">
        <v>0</v>
      </c>
      <c r="AK24" s="4" t="n"/>
      <c r="AL24" s="6" t="inlineStr">
        <is>
          <t>RETIRE_BANQUE72_HISTORIQUE_CONSERVE</t>
        </is>
      </c>
      <c r="AM24" s="6" t="inlineStr">
        <is>
          <t>Réduction méthodologique 120→72 : doublon de facette / priorité aux activités professionnelles observables et aux items à plus faible risque.</t>
        </is>
      </c>
      <c r="AN24" s="4" t="inlineStr">
        <is>
          <t>PIP-BANK-0.3</t>
        </is>
      </c>
      <c r="AO24" s="6" t="inlineStr">
        <is>
          <t>PIP-BANK-0.3</t>
        </is>
      </c>
      <c r="AP24" s="8">
        <f>IF(OR(C24="PILOTE",C24="ACTIF"),IF(AND(A24&lt;&gt;"",H24&lt;&gt;"",I24&lt;&gt;"",K24&lt;&gt;"",V24&lt;&gt;"",W24&lt;&gt;""),"OK","A_COMPLETER"),"OK_STRUCTURE")</f>
        <v/>
      </c>
    </row>
    <row r="25" ht="72" customHeight="1" s="34">
      <c r="A25" s="4" t="inlineStr">
        <is>
          <t>PIP-ACT-I-I1-001</t>
        </is>
      </c>
      <c r="B25" s="4" t="inlineStr">
        <is>
          <t>0.2</t>
        </is>
      </c>
      <c r="C25" s="4" t="inlineStr">
        <is>
          <t>PILOTE</t>
        </is>
      </c>
      <c r="D25" s="4" t="inlineStr">
        <is>
          <t>08/09/2026</t>
        </is>
      </c>
      <c r="E25" s="4" t="inlineStr">
        <is>
          <t>08/09/2026</t>
        </is>
      </c>
      <c r="F25" s="4" t="inlineStr">
        <is>
          <t>ACT</t>
        </is>
      </c>
      <c r="G25" s="4" t="inlineStr">
        <is>
          <t>Verbe d’action + objet/contexte</t>
        </is>
      </c>
      <c r="H25" s="4" t="inlineStr">
        <is>
          <t>I</t>
        </is>
      </c>
      <c r="I25" s="4" t="inlineStr">
        <is>
          <t>I1</t>
        </is>
      </c>
      <c r="J25" s="6" t="inlineStr">
        <is>
          <t>C</t>
        </is>
      </c>
      <c r="K25" s="6" t="inlineStr">
        <is>
          <t>Observer attentivement une situation pour en repérer les caractéristiques importantes.</t>
        </is>
      </c>
      <c r="L25" s="4" t="inlineStr">
        <is>
          <t>Cela ne m’attire pas du tout</t>
        </is>
      </c>
      <c r="M25" s="4" t="inlineStr">
        <is>
          <t>Cela m’attire peu</t>
        </is>
      </c>
      <c r="N25" s="4" t="inlineStr">
        <is>
          <t>Je suis partagé(e) / sans préférence marquée</t>
        </is>
      </c>
      <c r="O25" s="4" t="inlineStr">
        <is>
          <t>Cela m’attire</t>
        </is>
      </c>
      <c r="P25" s="4" t="inlineStr">
        <is>
          <t>Cela m’attire beaucoup</t>
        </is>
      </c>
      <c r="Q25" s="4" t="n">
        <v>1</v>
      </c>
      <c r="R25" s="4" t="n">
        <v>2</v>
      </c>
      <c r="S25" s="4" t="n">
        <v>3</v>
      </c>
      <c r="T25" s="4" t="n">
        <v>4</v>
      </c>
      <c r="U25" s="4" t="n">
        <v>5</v>
      </c>
      <c r="V25" s="6" t="inlineStr">
        <is>
          <t>La formulation cible l’intérêt pour comprendre, rechercher, expliquer et résoudre. Elle mobilise un comportement caractéristique de la dimension I (Investigateur) sans demander un niveau de compétence préalable.</t>
        </is>
      </c>
      <c r="W25" s="6" t="inlineStr">
        <is>
          <t>L’item relève de I1 — Observer / examiner : Examen attentif de faits, phénomènes, informations ou situations.</t>
        </is>
      </c>
      <c r="X25" s="6" t="inlineStr">
        <is>
          <t>Revue méthodologique V0.3 : surveiller compréhension du vocabulaire au pilote.</t>
        </is>
      </c>
      <c r="Y25" s="6" t="inlineStr">
        <is>
          <t>FAIBLE</t>
        </is>
      </c>
      <c r="Z25" s="6" t="inlineStr">
        <is>
          <t>FAIBLE</t>
        </is>
      </c>
      <c r="AA25" s="6" t="inlineStr">
        <is>
          <t>FAIBLE</t>
        </is>
      </c>
      <c r="AB25" s="6" t="inlineStr">
        <is>
          <t>MOYEN</t>
        </is>
      </c>
      <c r="AC25" s="6" t="inlineStr">
        <is>
          <t>MOYEN</t>
        </is>
      </c>
      <c r="AD25" s="6" t="inlineStr">
        <is>
          <t>FAIBLE</t>
        </is>
      </c>
      <c r="AE25" s="6" t="inlineStr">
        <is>
          <t>FAIBLE</t>
        </is>
      </c>
      <c r="AF25" s="6" t="inlineStr">
        <is>
          <t>FAIBLE</t>
        </is>
      </c>
      <c r="AG25" s="6" t="inlineStr">
        <is>
          <t>FAIBLE</t>
        </is>
      </c>
      <c r="AH25" s="6" t="inlineStr">
        <is>
          <t>FAIBLE</t>
        </is>
      </c>
      <c r="AI25" s="6" t="inlineStr">
        <is>
          <t>FAIBLE</t>
        </is>
      </c>
      <c r="AJ25" s="4" t="n">
        <v>0</v>
      </c>
      <c r="AK25" s="4" t="n"/>
      <c r="AL25" s="6" t="inlineStr">
        <is>
          <t>RETENU_V0.5_REECRIT_CONCRET</t>
        </is>
      </c>
      <c r="AM25" s="6" t="n"/>
      <c r="AN25" s="4" t="inlineStr">
        <is>
          <t>PIP-BANK-0.3</t>
        </is>
      </c>
      <c r="AO25" s="6" t="inlineStr">
        <is>
          <t>PIP-BANK-0.4</t>
        </is>
      </c>
      <c r="AP25" s="8">
        <f>IF(OR(C25="PILOTE",C25="ACTIF"),IF(AND(A25&lt;&gt;"",H25&lt;&gt;"",I25&lt;&gt;"",K25&lt;&gt;"",V25&lt;&gt;"",W25&lt;&gt;""),"OK","A_COMPLETER"),"OK_STRUCTURE")</f>
        <v/>
      </c>
    </row>
    <row r="26" ht="72" customHeight="1" s="34">
      <c r="A26" s="4" t="inlineStr">
        <is>
          <t>PIP-ACT-I-I1-002</t>
        </is>
      </c>
      <c r="B26" s="4" t="inlineStr">
        <is>
          <t>0.2</t>
        </is>
      </c>
      <c r="C26" s="4" t="inlineStr">
        <is>
          <t>PILOTE</t>
        </is>
      </c>
      <c r="D26" s="4" t="inlineStr">
        <is>
          <t>08/09/2026</t>
        </is>
      </c>
      <c r="E26" s="4" t="inlineStr">
        <is>
          <t>08/09/2026</t>
        </is>
      </c>
      <c r="F26" s="4" t="inlineStr">
        <is>
          <t>ACT</t>
        </is>
      </c>
      <c r="G26" s="4" t="inlineStr">
        <is>
          <t>Verbe d’action + objet/contexte</t>
        </is>
      </c>
      <c r="H26" s="4" t="inlineStr">
        <is>
          <t>I</t>
        </is>
      </c>
      <c r="I26" s="4" t="inlineStr">
        <is>
          <t>I1</t>
        </is>
      </c>
      <c r="J26" s="6" t="inlineStr">
        <is>
          <t>C</t>
        </is>
      </c>
      <c r="K26" s="6" t="inlineStr">
        <is>
          <t>Comparer plusieurs informations ou observations pour identifier ce qui les distingue.</t>
        </is>
      </c>
      <c r="L26" s="4" t="inlineStr">
        <is>
          <t>Cela ne m’attire pas du tout</t>
        </is>
      </c>
      <c r="M26" s="4" t="inlineStr">
        <is>
          <t>Cela m’attire peu</t>
        </is>
      </c>
      <c r="N26" s="4" t="inlineStr">
        <is>
          <t>Je suis partagé(e) / sans préférence marquée</t>
        </is>
      </c>
      <c r="O26" s="4" t="inlineStr">
        <is>
          <t>Cela m’attire</t>
        </is>
      </c>
      <c r="P26" s="4" t="inlineStr">
        <is>
          <t>Cela m’attire beaucoup</t>
        </is>
      </c>
      <c r="Q26" s="4" t="n">
        <v>1</v>
      </c>
      <c r="R26" s="4" t="n">
        <v>2</v>
      </c>
      <c r="S26" s="4" t="n">
        <v>3</v>
      </c>
      <c r="T26" s="4" t="n">
        <v>4</v>
      </c>
      <c r="U26" s="4" t="n">
        <v>5</v>
      </c>
      <c r="V26" s="6" t="inlineStr">
        <is>
          <t>La formulation cible l’intérêt pour comprendre, rechercher, expliquer et résoudre. Elle mobilise un comportement caractéristique de la dimension I (Investigateur) sans demander un niveau de compétence préalable.</t>
        </is>
      </c>
      <c r="W26" s="6" t="inlineStr">
        <is>
          <t>L’item relève de I1 — Observer / examiner : Examen attentif de faits, phénomènes, informations ou situations.</t>
        </is>
      </c>
      <c r="X26" s="6" t="inlineStr">
        <is>
          <t>Revue méthodologique V0.3 : surveiller compréhension du vocabulaire au pilote.</t>
        </is>
      </c>
      <c r="Y26" s="6" t="inlineStr">
        <is>
          <t>FAIBLE</t>
        </is>
      </c>
      <c r="Z26" s="6" t="inlineStr">
        <is>
          <t>FAIBLE</t>
        </is>
      </c>
      <c r="AA26" s="6" t="inlineStr">
        <is>
          <t>FAIBLE</t>
        </is>
      </c>
      <c r="AB26" s="6" t="inlineStr">
        <is>
          <t>MOYEN</t>
        </is>
      </c>
      <c r="AC26" s="6" t="inlineStr">
        <is>
          <t>MOYEN</t>
        </is>
      </c>
      <c r="AD26" s="6" t="inlineStr">
        <is>
          <t>FAIBLE</t>
        </is>
      </c>
      <c r="AE26" s="6" t="inlineStr">
        <is>
          <t>FAIBLE</t>
        </is>
      </c>
      <c r="AF26" s="6" t="inlineStr">
        <is>
          <t>FAIBLE</t>
        </is>
      </c>
      <c r="AG26" s="6" t="inlineStr">
        <is>
          <t>FAIBLE</t>
        </is>
      </c>
      <c r="AH26" s="6" t="inlineStr">
        <is>
          <t>FAIBLE</t>
        </is>
      </c>
      <c r="AI26" s="6" t="inlineStr">
        <is>
          <t>FAIBLE</t>
        </is>
      </c>
      <c r="AJ26" s="4" t="n">
        <v>0</v>
      </c>
      <c r="AK26" s="4" t="n"/>
      <c r="AL26" s="6" t="inlineStr">
        <is>
          <t>RETENU_V0.5_REECRIT_CONCRET</t>
        </is>
      </c>
      <c r="AM26" s="6" t="n"/>
      <c r="AN26" s="4" t="inlineStr">
        <is>
          <t>PIP-BANK-0.3</t>
        </is>
      </c>
      <c r="AO26" s="6" t="inlineStr">
        <is>
          <t>PIP-BANK-0.4</t>
        </is>
      </c>
      <c r="AP26" s="8">
        <f>IF(OR(C26="PILOTE",C26="ACTIF"),IF(AND(A26&lt;&gt;"",H26&lt;&gt;"",I26&lt;&gt;"",K26&lt;&gt;"",V26&lt;&gt;"",W26&lt;&gt;""),"OK","A_COMPLETER"),"OK_STRUCTURE")</f>
        <v/>
      </c>
    </row>
    <row r="27" ht="72" customHeight="1" s="34">
      <c r="A27" s="4" t="inlineStr">
        <is>
          <t>PIP-SIT-I-I1-003</t>
        </is>
      </c>
      <c r="B27" s="4" t="inlineStr">
        <is>
          <t>0.2</t>
        </is>
      </c>
      <c r="C27" s="4" t="inlineStr">
        <is>
          <t>PILOTE</t>
        </is>
      </c>
      <c r="D27" s="4" t="inlineStr">
        <is>
          <t>08/09/2026</t>
        </is>
      </c>
      <c r="E27" s="4" t="inlineStr">
        <is>
          <t>08/09/2026</t>
        </is>
      </c>
      <c r="F27" s="4" t="inlineStr">
        <is>
          <t>SIT</t>
        </is>
      </c>
      <c r="G27" s="4" t="inlineStr">
        <is>
          <t>Situation courte avec enjeu central</t>
        </is>
      </c>
      <c r="H27" s="4" t="inlineStr">
        <is>
          <t>I</t>
        </is>
      </c>
      <c r="I27" s="4" t="inlineStr">
        <is>
          <t>I1</t>
        </is>
      </c>
      <c r="J27" s="6" t="inlineStr">
        <is>
          <t>C</t>
        </is>
      </c>
      <c r="K27" s="6" t="inlineStr">
        <is>
          <t>Examiner une situation nouvelle afin de comprendre précisément ce qui s’y passe.</t>
        </is>
      </c>
      <c r="L27" s="4" t="inlineStr">
        <is>
          <t>Cela ne m’attire pas du tout</t>
        </is>
      </c>
      <c r="M27" s="4" t="inlineStr">
        <is>
          <t>Cela m’attire peu</t>
        </is>
      </c>
      <c r="N27" s="4" t="inlineStr">
        <is>
          <t>Je suis partagé(e) / sans préférence marquée</t>
        </is>
      </c>
      <c r="O27" s="4" t="inlineStr">
        <is>
          <t>Cela m’attire</t>
        </is>
      </c>
      <c r="P27" s="4" t="inlineStr">
        <is>
          <t>Cela m’attire beaucoup</t>
        </is>
      </c>
      <c r="Q27" s="4" t="n">
        <v>1</v>
      </c>
      <c r="R27" s="4" t="n">
        <v>2</v>
      </c>
      <c r="S27" s="4" t="n">
        <v>3</v>
      </c>
      <c r="T27" s="4" t="n">
        <v>4</v>
      </c>
      <c r="U27" s="4" t="n">
        <v>5</v>
      </c>
      <c r="V27" s="6" t="inlineStr">
        <is>
          <t>La formulation cible l’intérêt pour comprendre, rechercher, expliquer et résoudre. Elle mobilise un comportement caractéristique de la dimension I (Investigateur) sans demander un niveau de compétence préalable.</t>
        </is>
      </c>
      <c r="W27" s="6" t="inlineStr">
        <is>
          <t>L’item relève de I1 — Observer / examiner : Examen attentif de faits, phénomènes, informations ou situations.</t>
        </is>
      </c>
      <c r="X27" s="6" t="inlineStr">
        <is>
          <t>Revue méthodologique V0.3 : surveiller compréhension du vocabulaire au pilote.</t>
        </is>
      </c>
      <c r="Y27" s="6" t="inlineStr">
        <is>
          <t>FAIBLE</t>
        </is>
      </c>
      <c r="Z27" s="6" t="inlineStr">
        <is>
          <t>FAIBLE</t>
        </is>
      </c>
      <c r="AA27" s="6" t="inlineStr">
        <is>
          <t>FAIBLE</t>
        </is>
      </c>
      <c r="AB27" s="6" t="inlineStr">
        <is>
          <t>MOYEN</t>
        </is>
      </c>
      <c r="AC27" s="6" t="inlineStr">
        <is>
          <t>MOYEN</t>
        </is>
      </c>
      <c r="AD27" s="6" t="inlineStr">
        <is>
          <t>FAIBLE</t>
        </is>
      </c>
      <c r="AE27" s="6" t="inlineStr">
        <is>
          <t>FAIBLE</t>
        </is>
      </c>
      <c r="AF27" s="6" t="inlineStr">
        <is>
          <t>FAIBLE</t>
        </is>
      </c>
      <c r="AG27" s="6" t="inlineStr">
        <is>
          <t>FAIBLE</t>
        </is>
      </c>
      <c r="AH27" s="6" t="inlineStr">
        <is>
          <t>FAIBLE</t>
        </is>
      </c>
      <c r="AI27" s="6" t="inlineStr">
        <is>
          <t>FAIBLE</t>
        </is>
      </c>
      <c r="AJ27" s="4" t="n">
        <v>0</v>
      </c>
      <c r="AK27" s="4" t="n"/>
      <c r="AL27" s="6" t="inlineStr">
        <is>
          <t>RETENU_V0.5_REECRIT_CONCRET</t>
        </is>
      </c>
      <c r="AM27" s="6" t="n"/>
      <c r="AN27" s="4" t="inlineStr">
        <is>
          <t>PIP-BANK-0.3</t>
        </is>
      </c>
      <c r="AO27" s="6" t="inlineStr">
        <is>
          <t>PIP-BANK-0.4</t>
        </is>
      </c>
      <c r="AP27" s="8">
        <f>IF(OR(C27="PILOTE",C27="ACTIF"),IF(AND(A27&lt;&gt;"",H27&lt;&gt;"",I27&lt;&gt;"",K27&lt;&gt;"",V27&lt;&gt;"",W27&lt;&gt;""),"OK","A_COMPLETER"),"OK_STRUCTURE")</f>
        <v/>
      </c>
    </row>
    <row r="28" ht="72" customHeight="1" s="34">
      <c r="A28" s="4" t="inlineStr">
        <is>
          <t>PIP-ENV-I-I1-004</t>
        </is>
      </c>
      <c r="B28" s="4" t="inlineStr">
        <is>
          <t>0.2</t>
        </is>
      </c>
      <c r="C28" s="4" t="inlineStr">
        <is>
          <t>PILOTE</t>
        </is>
      </c>
      <c r="D28" s="4" t="inlineStr">
        <is>
          <t>08/09/2026</t>
        </is>
      </c>
      <c r="E28" s="4" t="inlineStr">
        <is>
          <t>08/09/2026</t>
        </is>
      </c>
      <c r="F28" s="4" t="inlineStr">
        <is>
          <t>ENV</t>
        </is>
      </c>
      <c r="G28" s="4" t="inlineStr">
        <is>
          <t>Contexte décrit par ce qu’il permet de faire</t>
        </is>
      </c>
      <c r="H28" s="4" t="inlineStr">
        <is>
          <t>I</t>
        </is>
      </c>
      <c r="I28" s="4" t="inlineStr">
        <is>
          <t>I1</t>
        </is>
      </c>
      <c r="J28" s="6" t="inlineStr">
        <is>
          <t>C</t>
        </is>
      </c>
      <c r="K28" s="6" t="inlineStr">
        <is>
          <t>Travailler dans un contexte où l’on dispose de temps pour observer et examiner les faits avant de tirer des conclusions.</t>
        </is>
      </c>
      <c r="L28" s="4" t="inlineStr">
        <is>
          <t>Cela ne m’attire pas du tout</t>
        </is>
      </c>
      <c r="M28" s="4" t="inlineStr">
        <is>
          <t>Cela m’attire peu</t>
        </is>
      </c>
      <c r="N28" s="4" t="inlineStr">
        <is>
          <t>Je suis partagé(e) / sans préférence marquée</t>
        </is>
      </c>
      <c r="O28" s="4" t="inlineStr">
        <is>
          <t>Cela m’attire</t>
        </is>
      </c>
      <c r="P28" s="4" t="inlineStr">
        <is>
          <t>Cela m’attire beaucoup</t>
        </is>
      </c>
      <c r="Q28" s="4" t="n">
        <v>1</v>
      </c>
      <c r="R28" s="4" t="n">
        <v>2</v>
      </c>
      <c r="S28" s="4" t="n">
        <v>3</v>
      </c>
      <c r="T28" s="4" t="n">
        <v>4</v>
      </c>
      <c r="U28" s="4" t="n">
        <v>5</v>
      </c>
      <c r="V28" s="6" t="inlineStr">
        <is>
          <t>La formulation cible l’intérêt pour comprendre, rechercher, expliquer et résoudre. Elle mobilise un comportement caractéristique de la dimension I (Investigateur) sans demander un niveau de compétence préalable.</t>
        </is>
      </c>
      <c r="W28" s="6" t="inlineStr">
        <is>
          <t>L’item relève de I1 — Observer / examiner : Examen attentif de faits, phénomènes, informations ou situations.</t>
        </is>
      </c>
      <c r="X28" s="6" t="inlineStr">
        <is>
          <t>Revue méthodologique V0.3 : surveiller compréhension du vocabulaire au pilote.</t>
        </is>
      </c>
      <c r="Y28" s="6" t="inlineStr">
        <is>
          <t>FAIBLE</t>
        </is>
      </c>
      <c r="Z28" s="6" t="inlineStr">
        <is>
          <t>FAIBLE</t>
        </is>
      </c>
      <c r="AA28" s="6" t="inlineStr">
        <is>
          <t>FAIBLE</t>
        </is>
      </c>
      <c r="AB28" s="6" t="inlineStr">
        <is>
          <t>MOYEN</t>
        </is>
      </c>
      <c r="AC28" s="6" t="inlineStr">
        <is>
          <t>MOYEN</t>
        </is>
      </c>
      <c r="AD28" s="6" t="inlineStr">
        <is>
          <t>FAIBLE</t>
        </is>
      </c>
      <c r="AE28" s="6" t="inlineStr">
        <is>
          <t>FAIBLE</t>
        </is>
      </c>
      <c r="AF28" s="6" t="inlineStr">
        <is>
          <t>FAIBLE</t>
        </is>
      </c>
      <c r="AG28" s="6" t="inlineStr">
        <is>
          <t>FAIBLE</t>
        </is>
      </c>
      <c r="AH28" s="6" t="inlineStr">
        <is>
          <t>FAIBLE</t>
        </is>
      </c>
      <c r="AI28" s="6" t="inlineStr">
        <is>
          <t>FAIBLE</t>
        </is>
      </c>
      <c r="AJ28" s="4" t="n">
        <v>0</v>
      </c>
      <c r="AK28" s="4" t="n"/>
      <c r="AL28" s="6" t="inlineStr">
        <is>
          <t>RETIRE_BANQUE72_HISTORIQUE_CONSERVE</t>
        </is>
      </c>
      <c r="AM28" s="6" t="inlineStr">
        <is>
          <t>Réduction méthodologique 120→72 : doublon de facette / priorité aux activités professionnelles observables et aux items à plus faible risque.</t>
        </is>
      </c>
      <c r="AN28" s="4" t="inlineStr">
        <is>
          <t>PIP-BANK-0.3</t>
        </is>
      </c>
      <c r="AO28" s="6" t="inlineStr">
        <is>
          <t>PIP-BANK-0.3</t>
        </is>
      </c>
      <c r="AP28" s="8">
        <f>IF(OR(C28="PILOTE",C28="ACTIF"),IF(AND(A28&lt;&gt;"",H28&lt;&gt;"",I28&lt;&gt;"",K28&lt;&gt;"",V28&lt;&gt;"",W28&lt;&gt;""),"OK","A_COMPLETER"),"OK_STRUCTURE")</f>
        <v/>
      </c>
    </row>
    <row r="29" ht="72" customHeight="1" s="34">
      <c r="A29" s="4" t="inlineStr">
        <is>
          <t>PIP-ACT-I-I2-005</t>
        </is>
      </c>
      <c r="B29" s="4" t="inlineStr">
        <is>
          <t>0.2</t>
        </is>
      </c>
      <c r="C29" s="4" t="inlineStr">
        <is>
          <t>PILOTE</t>
        </is>
      </c>
      <c r="D29" s="4" t="inlineStr">
        <is>
          <t>08/09/2026</t>
        </is>
      </c>
      <c r="E29" s="4" t="inlineStr">
        <is>
          <t>08/09/2026</t>
        </is>
      </c>
      <c r="F29" s="4" t="inlineStr">
        <is>
          <t>ACT</t>
        </is>
      </c>
      <c r="G29" s="4" t="inlineStr">
        <is>
          <t>Verbe d’action + objet/contexte</t>
        </is>
      </c>
      <c r="H29" s="4" t="inlineStr">
        <is>
          <t>I</t>
        </is>
      </c>
      <c r="I29" s="4" t="inlineStr">
        <is>
          <t>I2</t>
        </is>
      </c>
      <c r="J29" s="6" t="inlineStr">
        <is>
          <t>C</t>
        </is>
      </c>
      <c r="K29" s="6" t="inlineStr">
        <is>
          <t>Analyser plusieurs informations pour comprendre les liens entre elles.</t>
        </is>
      </c>
      <c r="L29" s="4" t="inlineStr">
        <is>
          <t>Cela ne m’attire pas du tout</t>
        </is>
      </c>
      <c r="M29" s="4" t="inlineStr">
        <is>
          <t>Cela m’attire peu</t>
        </is>
      </c>
      <c r="N29" s="4" t="inlineStr">
        <is>
          <t>Je suis partagé(e) / sans préférence marquée</t>
        </is>
      </c>
      <c r="O29" s="4" t="inlineStr">
        <is>
          <t>Cela m’attire</t>
        </is>
      </c>
      <c r="P29" s="4" t="inlineStr">
        <is>
          <t>Cela m’attire beaucoup</t>
        </is>
      </c>
      <c r="Q29" s="4" t="n">
        <v>1</v>
      </c>
      <c r="R29" s="4" t="n">
        <v>2</v>
      </c>
      <c r="S29" s="4" t="n">
        <v>3</v>
      </c>
      <c r="T29" s="4" t="n">
        <v>4</v>
      </c>
      <c r="U29" s="4" t="n">
        <v>5</v>
      </c>
      <c r="V29" s="6" t="inlineStr">
        <is>
          <t>La formulation cible l’intérêt pour comprendre, rechercher, expliquer et résoudre. Elle mobilise un comportement caractéristique de la dimension I (Investigateur) sans demander un niveau de compétence préalable.</t>
        </is>
      </c>
      <c r="W29" s="6" t="inlineStr">
        <is>
          <t>L’item relève de I2 — Analyser / raisonner : Décomposition d’un problème et mise en relation d’informations.</t>
        </is>
      </c>
      <c r="X29" s="6" t="inlineStr">
        <is>
          <t>Revue méthodologique V0.3 : surveiller compréhension du vocabulaire au pilote.</t>
        </is>
      </c>
      <c r="Y29" s="6" t="inlineStr">
        <is>
          <t>FAIBLE</t>
        </is>
      </c>
      <c r="Z29" s="6" t="inlineStr">
        <is>
          <t>FAIBLE</t>
        </is>
      </c>
      <c r="AA29" s="6" t="inlineStr">
        <is>
          <t>FAIBLE</t>
        </is>
      </c>
      <c r="AB29" s="6" t="inlineStr">
        <is>
          <t>MOYEN</t>
        </is>
      </c>
      <c r="AC29" s="6" t="inlineStr">
        <is>
          <t>MOYEN</t>
        </is>
      </c>
      <c r="AD29" s="6" t="inlineStr">
        <is>
          <t>FAIBLE</t>
        </is>
      </c>
      <c r="AE29" s="6" t="inlineStr">
        <is>
          <t>FAIBLE</t>
        </is>
      </c>
      <c r="AF29" s="6" t="inlineStr">
        <is>
          <t>FAIBLE</t>
        </is>
      </c>
      <c r="AG29" s="6" t="inlineStr">
        <is>
          <t>FAIBLE</t>
        </is>
      </c>
      <c r="AH29" s="6" t="inlineStr">
        <is>
          <t>FAIBLE</t>
        </is>
      </c>
      <c r="AI29" s="6" t="inlineStr">
        <is>
          <t>FAIBLE</t>
        </is>
      </c>
      <c r="AJ29" s="4" t="n">
        <v>0</v>
      </c>
      <c r="AK29" s="4" t="n"/>
      <c r="AL29" s="6" t="inlineStr">
        <is>
          <t>RETENU_V0.5_REECRIT_CONCRET</t>
        </is>
      </c>
      <c r="AM29" s="6" t="n"/>
      <c r="AN29" s="4" t="inlineStr">
        <is>
          <t>PIP-BANK-0.3</t>
        </is>
      </c>
      <c r="AO29" s="6" t="inlineStr">
        <is>
          <t>PIP-BANK-0.4</t>
        </is>
      </c>
      <c r="AP29" s="8">
        <f>IF(OR(C29="PILOTE",C29="ACTIF"),IF(AND(A29&lt;&gt;"",H29&lt;&gt;"",I29&lt;&gt;"",K29&lt;&gt;"",V29&lt;&gt;"",W29&lt;&gt;""),"OK","A_COMPLETER"),"OK_STRUCTURE")</f>
        <v/>
      </c>
    </row>
    <row r="30" ht="72" customHeight="1" s="34">
      <c r="A30" s="4" t="inlineStr">
        <is>
          <t>PIP-ACT-I-I2-006</t>
        </is>
      </c>
      <c r="B30" s="4" t="inlineStr">
        <is>
          <t>0.2</t>
        </is>
      </c>
      <c r="C30" s="4" t="inlineStr">
        <is>
          <t>PILOTE</t>
        </is>
      </c>
      <c r="D30" s="4" t="inlineStr">
        <is>
          <t>08/09/2026</t>
        </is>
      </c>
      <c r="E30" s="4" t="inlineStr">
        <is>
          <t>08/09/2026</t>
        </is>
      </c>
      <c r="F30" s="4" t="inlineStr">
        <is>
          <t>ACT</t>
        </is>
      </c>
      <c r="G30" s="4" t="inlineStr">
        <is>
          <t>Verbe d’action + objet/contexte</t>
        </is>
      </c>
      <c r="H30" s="4" t="inlineStr">
        <is>
          <t>I</t>
        </is>
      </c>
      <c r="I30" s="4" t="inlineStr">
        <is>
          <t>I2</t>
        </is>
      </c>
      <c r="J30" s="6" t="inlineStr">
        <is>
          <t>C</t>
        </is>
      </c>
      <c r="K30" s="6" t="inlineStr">
        <is>
          <t>Décomposer un problème complexe en plusieurs éléments pour mieux le comprendre.</t>
        </is>
      </c>
      <c r="L30" s="4" t="inlineStr">
        <is>
          <t>Cela ne m’attire pas du tout</t>
        </is>
      </c>
      <c r="M30" s="4" t="inlineStr">
        <is>
          <t>Cela m’attire peu</t>
        </is>
      </c>
      <c r="N30" s="4" t="inlineStr">
        <is>
          <t>Je suis partagé(e) / sans préférence marquée</t>
        </is>
      </c>
      <c r="O30" s="4" t="inlineStr">
        <is>
          <t>Cela m’attire</t>
        </is>
      </c>
      <c r="P30" s="4" t="inlineStr">
        <is>
          <t>Cela m’attire beaucoup</t>
        </is>
      </c>
      <c r="Q30" s="4" t="n">
        <v>1</v>
      </c>
      <c r="R30" s="4" t="n">
        <v>2</v>
      </c>
      <c r="S30" s="4" t="n">
        <v>3</v>
      </c>
      <c r="T30" s="4" t="n">
        <v>4</v>
      </c>
      <c r="U30" s="4" t="n">
        <v>5</v>
      </c>
      <c r="V30" s="6" t="inlineStr">
        <is>
          <t>La formulation cible l’intérêt pour comprendre, rechercher, expliquer et résoudre. Elle mobilise un comportement caractéristique de la dimension I (Investigateur) sans demander un niveau de compétence préalable.</t>
        </is>
      </c>
      <c r="W30" s="6" t="inlineStr">
        <is>
          <t>L’item relève de I2 — Analyser / raisonner : Décomposition d’un problème et mise en relation d’informations.</t>
        </is>
      </c>
      <c r="X30" s="6" t="inlineStr">
        <is>
          <t>Revue méthodologique V0.3 : surveiller compréhension du vocabulaire au pilote.</t>
        </is>
      </c>
      <c r="Y30" s="6" t="inlineStr">
        <is>
          <t>FAIBLE</t>
        </is>
      </c>
      <c r="Z30" s="6" t="inlineStr">
        <is>
          <t>FAIBLE</t>
        </is>
      </c>
      <c r="AA30" s="6" t="inlineStr">
        <is>
          <t>FAIBLE</t>
        </is>
      </c>
      <c r="AB30" s="6" t="inlineStr">
        <is>
          <t>MOYEN</t>
        </is>
      </c>
      <c r="AC30" s="6" t="inlineStr">
        <is>
          <t>MOYEN</t>
        </is>
      </c>
      <c r="AD30" s="6" t="inlineStr">
        <is>
          <t>FAIBLE</t>
        </is>
      </c>
      <c r="AE30" s="6" t="inlineStr">
        <is>
          <t>FAIBLE</t>
        </is>
      </c>
      <c r="AF30" s="6" t="inlineStr">
        <is>
          <t>FAIBLE</t>
        </is>
      </c>
      <c r="AG30" s="6" t="inlineStr">
        <is>
          <t>FAIBLE</t>
        </is>
      </c>
      <c r="AH30" s="6" t="inlineStr">
        <is>
          <t>FAIBLE</t>
        </is>
      </c>
      <c r="AI30" s="6" t="inlineStr">
        <is>
          <t>FAIBLE</t>
        </is>
      </c>
      <c r="AJ30" s="4" t="n">
        <v>0</v>
      </c>
      <c r="AK30" s="4" t="n"/>
      <c r="AL30" s="6" t="inlineStr">
        <is>
          <t>RETENU_V0.5_REECRIT_CONCRET</t>
        </is>
      </c>
      <c r="AM30" s="6" t="n"/>
      <c r="AN30" s="4" t="inlineStr">
        <is>
          <t>PIP-BANK-0.3</t>
        </is>
      </c>
      <c r="AO30" s="6" t="inlineStr">
        <is>
          <t>PIP-BANK-0.4</t>
        </is>
      </c>
      <c r="AP30" s="8">
        <f>IF(OR(C30="PILOTE",C30="ACTIF"),IF(AND(A30&lt;&gt;"",H30&lt;&gt;"",I30&lt;&gt;"",K30&lt;&gt;"",V30&lt;&gt;"",W30&lt;&gt;""),"OK","A_COMPLETER"),"OK_STRUCTURE")</f>
        <v/>
      </c>
    </row>
    <row r="31" ht="72" customHeight="1" s="34">
      <c r="A31" s="4" t="inlineStr">
        <is>
          <t>PIP-SIT-I-I2-007</t>
        </is>
      </c>
      <c r="B31" s="4" t="inlineStr">
        <is>
          <t>0.2</t>
        </is>
      </c>
      <c r="C31" s="4" t="inlineStr">
        <is>
          <t>PILOTE</t>
        </is>
      </c>
      <c r="D31" s="4" t="inlineStr">
        <is>
          <t>08/09/2026</t>
        </is>
      </c>
      <c r="E31" s="4" t="inlineStr">
        <is>
          <t>08/09/2026</t>
        </is>
      </c>
      <c r="F31" s="4" t="inlineStr">
        <is>
          <t>SIT</t>
        </is>
      </c>
      <c r="G31" s="4" t="inlineStr">
        <is>
          <t>Situation courte avec enjeu central</t>
        </is>
      </c>
      <c r="H31" s="4" t="inlineStr">
        <is>
          <t>I</t>
        </is>
      </c>
      <c r="I31" s="4" t="inlineStr">
        <is>
          <t>I2</t>
        </is>
      </c>
      <c r="J31" s="6" t="inlineStr">
        <is>
          <t>C</t>
        </is>
      </c>
      <c r="K31" s="6" t="inlineStr">
        <is>
          <t>Faire face à un problème où il faut raisonner étape par étape avant de trouver une explication.</t>
        </is>
      </c>
      <c r="L31" s="4" t="inlineStr">
        <is>
          <t>Cela ne m’attire pas du tout</t>
        </is>
      </c>
      <c r="M31" s="4" t="inlineStr">
        <is>
          <t>Cela m’attire peu</t>
        </is>
      </c>
      <c r="N31" s="4" t="inlineStr">
        <is>
          <t>Je suis partagé(e) / sans préférence marquée</t>
        </is>
      </c>
      <c r="O31" s="4" t="inlineStr">
        <is>
          <t>Cela m’attire</t>
        </is>
      </c>
      <c r="P31" s="4" t="inlineStr">
        <is>
          <t>Cela m’attire beaucoup</t>
        </is>
      </c>
      <c r="Q31" s="4" t="n">
        <v>1</v>
      </c>
      <c r="R31" s="4" t="n">
        <v>2</v>
      </c>
      <c r="S31" s="4" t="n">
        <v>3</v>
      </c>
      <c r="T31" s="4" t="n">
        <v>4</v>
      </c>
      <c r="U31" s="4" t="n">
        <v>5</v>
      </c>
      <c r="V31" s="6" t="inlineStr">
        <is>
          <t>La formulation cible l’intérêt pour comprendre, rechercher, expliquer et résoudre. Elle mobilise un comportement caractéristique de la dimension I (Investigateur) sans demander un niveau de compétence préalable.</t>
        </is>
      </c>
      <c r="W31" s="6" t="inlineStr">
        <is>
          <t>L’item relève de I2 — Analyser / raisonner : Décomposition d’un problème et mise en relation d’informations.</t>
        </is>
      </c>
      <c r="X31" s="6" t="inlineStr">
        <is>
          <t>Revue méthodologique V0.3 : surveiller compréhension du vocabulaire au pilote.</t>
        </is>
      </c>
      <c r="Y31" s="6" t="inlineStr">
        <is>
          <t>FAIBLE</t>
        </is>
      </c>
      <c r="Z31" s="6" t="inlineStr">
        <is>
          <t>FAIBLE</t>
        </is>
      </c>
      <c r="AA31" s="6" t="inlineStr">
        <is>
          <t>FAIBLE</t>
        </is>
      </c>
      <c r="AB31" s="6" t="inlineStr">
        <is>
          <t>MOYEN</t>
        </is>
      </c>
      <c r="AC31" s="6" t="inlineStr">
        <is>
          <t>MOYEN</t>
        </is>
      </c>
      <c r="AD31" s="6" t="inlineStr">
        <is>
          <t>FAIBLE</t>
        </is>
      </c>
      <c r="AE31" s="6" t="inlineStr">
        <is>
          <t>FAIBLE</t>
        </is>
      </c>
      <c r="AF31" s="6" t="inlineStr">
        <is>
          <t>FAIBLE</t>
        </is>
      </c>
      <c r="AG31" s="6" t="inlineStr">
        <is>
          <t>FAIBLE</t>
        </is>
      </c>
      <c r="AH31" s="6" t="inlineStr">
        <is>
          <t>FAIBLE</t>
        </is>
      </c>
      <c r="AI31" s="6" t="inlineStr">
        <is>
          <t>FAIBLE</t>
        </is>
      </c>
      <c r="AJ31" s="4" t="n">
        <v>0</v>
      </c>
      <c r="AK31" s="4" t="n"/>
      <c r="AL31" s="6" t="inlineStr">
        <is>
          <t>RETENU_V0.5_REECRIT_CONCRET</t>
        </is>
      </c>
      <c r="AM31" s="6" t="n"/>
      <c r="AN31" s="4" t="inlineStr">
        <is>
          <t>PIP-BANK-0.3</t>
        </is>
      </c>
      <c r="AO31" s="6" t="inlineStr">
        <is>
          <t>PIP-BANK-0.4</t>
        </is>
      </c>
      <c r="AP31" s="8">
        <f>IF(OR(C31="PILOTE",C31="ACTIF"),IF(AND(A31&lt;&gt;"",H31&lt;&gt;"",I31&lt;&gt;"",K31&lt;&gt;"",V31&lt;&gt;"",W31&lt;&gt;""),"OK","A_COMPLETER"),"OK_STRUCTURE")</f>
        <v/>
      </c>
    </row>
    <row r="32" ht="72" customHeight="1" s="34">
      <c r="A32" s="4" t="inlineStr">
        <is>
          <t>PIP-ENV-I-I2-008</t>
        </is>
      </c>
      <c r="B32" s="4" t="inlineStr">
        <is>
          <t>0.2</t>
        </is>
      </c>
      <c r="C32" s="4" t="inlineStr">
        <is>
          <t>PILOTE</t>
        </is>
      </c>
      <c r="D32" s="4" t="inlineStr">
        <is>
          <t>08/09/2026</t>
        </is>
      </c>
      <c r="E32" s="4" t="inlineStr">
        <is>
          <t>08/09/2026</t>
        </is>
      </c>
      <c r="F32" s="4" t="inlineStr">
        <is>
          <t>ENV</t>
        </is>
      </c>
      <c r="G32" s="4" t="inlineStr">
        <is>
          <t>Contexte décrit par ce qu’il permet de faire</t>
        </is>
      </c>
      <c r="H32" s="4" t="inlineStr">
        <is>
          <t>I</t>
        </is>
      </c>
      <c r="I32" s="4" t="inlineStr">
        <is>
          <t>I2</t>
        </is>
      </c>
      <c r="J32" s="6" t="inlineStr">
        <is>
          <t>C</t>
        </is>
      </c>
      <c r="K32" s="6" t="inlineStr">
        <is>
          <t>Évoluer dans un contexte où l’on doit régulièrement interpréter des informations et construire un raisonnement.</t>
        </is>
      </c>
      <c r="L32" s="4" t="inlineStr">
        <is>
          <t>Cela ne m’attire pas du tout</t>
        </is>
      </c>
      <c r="M32" s="4" t="inlineStr">
        <is>
          <t>Cela m’attire peu</t>
        </is>
      </c>
      <c r="N32" s="4" t="inlineStr">
        <is>
          <t>Je suis partagé(e) / sans préférence marquée</t>
        </is>
      </c>
      <c r="O32" s="4" t="inlineStr">
        <is>
          <t>Cela m’attire</t>
        </is>
      </c>
      <c r="P32" s="4" t="inlineStr">
        <is>
          <t>Cela m’attire beaucoup</t>
        </is>
      </c>
      <c r="Q32" s="4" t="n">
        <v>1</v>
      </c>
      <c r="R32" s="4" t="n">
        <v>2</v>
      </c>
      <c r="S32" s="4" t="n">
        <v>3</v>
      </c>
      <c r="T32" s="4" t="n">
        <v>4</v>
      </c>
      <c r="U32" s="4" t="n">
        <v>5</v>
      </c>
      <c r="V32" s="6" t="inlineStr">
        <is>
          <t>La formulation cible l’intérêt pour comprendre, rechercher, expliquer et résoudre. Elle mobilise un comportement caractéristique de la dimension I (Investigateur) sans demander un niveau de compétence préalable.</t>
        </is>
      </c>
      <c r="W32" s="6" t="inlineStr">
        <is>
          <t>L’item relève de I2 — Analyser / raisonner : Décomposition d’un problème et mise en relation d’informations.</t>
        </is>
      </c>
      <c r="X32" s="6" t="inlineStr">
        <is>
          <t>Revue méthodologique V0.3 : surveiller compréhension du vocabulaire au pilote.</t>
        </is>
      </c>
      <c r="Y32" s="6" t="inlineStr">
        <is>
          <t>FAIBLE</t>
        </is>
      </c>
      <c r="Z32" s="6" t="inlineStr">
        <is>
          <t>FAIBLE</t>
        </is>
      </c>
      <c r="AA32" s="6" t="inlineStr">
        <is>
          <t>FAIBLE</t>
        </is>
      </c>
      <c r="AB32" s="6" t="inlineStr">
        <is>
          <t>MOYEN</t>
        </is>
      </c>
      <c r="AC32" s="6" t="inlineStr">
        <is>
          <t>MOYEN</t>
        </is>
      </c>
      <c r="AD32" s="6" t="inlineStr">
        <is>
          <t>FAIBLE</t>
        </is>
      </c>
      <c r="AE32" s="6" t="inlineStr">
        <is>
          <t>FAIBLE</t>
        </is>
      </c>
      <c r="AF32" s="6" t="inlineStr">
        <is>
          <t>FAIBLE</t>
        </is>
      </c>
      <c r="AG32" s="6" t="inlineStr">
        <is>
          <t>FAIBLE</t>
        </is>
      </c>
      <c r="AH32" s="6" t="inlineStr">
        <is>
          <t>FAIBLE</t>
        </is>
      </c>
      <c r="AI32" s="6" t="inlineStr">
        <is>
          <t>FAIBLE</t>
        </is>
      </c>
      <c r="AJ32" s="4" t="n">
        <v>0</v>
      </c>
      <c r="AK32" s="4" t="n"/>
      <c r="AL32" s="6" t="inlineStr">
        <is>
          <t>RETIRE_BANQUE72_HISTORIQUE_CONSERVE</t>
        </is>
      </c>
      <c r="AM32" s="6" t="inlineStr">
        <is>
          <t>Réduction méthodologique 120→72 : doublon de facette / priorité aux activités professionnelles observables et aux items à plus faible risque.</t>
        </is>
      </c>
      <c r="AN32" s="4" t="inlineStr">
        <is>
          <t>PIP-BANK-0.3</t>
        </is>
      </c>
      <c r="AO32" s="6" t="inlineStr">
        <is>
          <t>PIP-BANK-0.3</t>
        </is>
      </c>
      <c r="AP32" s="8">
        <f>IF(OR(C32="PILOTE",C32="ACTIF"),IF(AND(A32&lt;&gt;"",H32&lt;&gt;"",I32&lt;&gt;"",K32&lt;&gt;"",V32&lt;&gt;"",W32&lt;&gt;""),"OK","A_COMPLETER"),"OK_STRUCTURE")</f>
        <v/>
      </c>
    </row>
    <row r="33" ht="72" customHeight="1" s="34">
      <c r="A33" s="4" t="inlineStr">
        <is>
          <t>PIP-ACT-I-I3-009</t>
        </is>
      </c>
      <c r="B33" s="4" t="inlineStr">
        <is>
          <t>0.2</t>
        </is>
      </c>
      <c r="C33" s="4" t="inlineStr">
        <is>
          <t>PILOTE</t>
        </is>
      </c>
      <c r="D33" s="4" t="inlineStr">
        <is>
          <t>08/09/2026</t>
        </is>
      </c>
      <c r="E33" s="4" t="inlineStr">
        <is>
          <t>08/09/2026</t>
        </is>
      </c>
      <c r="F33" s="4" t="inlineStr">
        <is>
          <t>ACT</t>
        </is>
      </c>
      <c r="G33" s="4" t="inlineStr">
        <is>
          <t>Verbe d’action + objet/contexte</t>
        </is>
      </c>
      <c r="H33" s="4" t="inlineStr">
        <is>
          <t>I</t>
        </is>
      </c>
      <c r="I33" s="4" t="inlineStr">
        <is>
          <t>I3</t>
        </is>
      </c>
      <c r="J33" s="6" t="inlineStr">
        <is>
          <t>C</t>
        </is>
      </c>
      <c r="K33" s="6" t="inlineStr">
        <is>
          <t>Rechercher des informations provenant de plusieurs sources pour répondre à une question.</t>
        </is>
      </c>
      <c r="L33" s="4" t="inlineStr">
        <is>
          <t>Cela ne m’attire pas du tout</t>
        </is>
      </c>
      <c r="M33" s="4" t="inlineStr">
        <is>
          <t>Cela m’attire peu</t>
        </is>
      </c>
      <c r="N33" s="4" t="inlineStr">
        <is>
          <t>Je suis partagé(e) / sans préférence marquée</t>
        </is>
      </c>
      <c r="O33" s="4" t="inlineStr">
        <is>
          <t>Cela m’attire</t>
        </is>
      </c>
      <c r="P33" s="4" t="inlineStr">
        <is>
          <t>Cela m’attire beaucoup</t>
        </is>
      </c>
      <c r="Q33" s="4" t="n">
        <v>1</v>
      </c>
      <c r="R33" s="4" t="n">
        <v>2</v>
      </c>
      <c r="S33" s="4" t="n">
        <v>3</v>
      </c>
      <c r="T33" s="4" t="n">
        <v>4</v>
      </c>
      <c r="U33" s="4" t="n">
        <v>5</v>
      </c>
      <c r="V33" s="6" t="inlineStr">
        <is>
          <t>La formulation cible l’intérêt pour comprendre, rechercher, expliquer et résoudre. Elle mobilise un comportement caractéristique de la dimension I (Investigateur) sans demander un niveau de compétence préalable.</t>
        </is>
      </c>
      <c r="W33" s="6" t="inlineStr">
        <is>
          <t>L’item relève de I3 — Rechercher / enquêter : Recherche d’informations, preuves ou explications lorsqu’une question reste ouverte.</t>
        </is>
      </c>
      <c r="X33" s="6" t="inlineStr">
        <is>
          <t>Revue méthodologique V0.3 : surveiller compréhension du vocabulaire au pilote.</t>
        </is>
      </c>
      <c r="Y33" s="6" t="inlineStr">
        <is>
          <t>FAIBLE</t>
        </is>
      </c>
      <c r="Z33" s="6" t="inlineStr">
        <is>
          <t>FAIBLE</t>
        </is>
      </c>
      <c r="AA33" s="6" t="inlineStr">
        <is>
          <t>FAIBLE</t>
        </is>
      </c>
      <c r="AB33" s="6" t="inlineStr">
        <is>
          <t>MOYEN</t>
        </is>
      </c>
      <c r="AC33" s="6" t="inlineStr">
        <is>
          <t>MOYEN</t>
        </is>
      </c>
      <c r="AD33" s="6" t="inlineStr">
        <is>
          <t>FAIBLE</t>
        </is>
      </c>
      <c r="AE33" s="6" t="inlineStr">
        <is>
          <t>FAIBLE</t>
        </is>
      </c>
      <c r="AF33" s="6" t="inlineStr">
        <is>
          <t>FAIBLE</t>
        </is>
      </c>
      <c r="AG33" s="6" t="inlineStr">
        <is>
          <t>FAIBLE</t>
        </is>
      </c>
      <c r="AH33" s="6" t="inlineStr">
        <is>
          <t>FAIBLE</t>
        </is>
      </c>
      <c r="AI33" s="6" t="inlineStr">
        <is>
          <t>FAIBLE</t>
        </is>
      </c>
      <c r="AJ33" s="4" t="n">
        <v>0</v>
      </c>
      <c r="AK33" s="4" t="n"/>
      <c r="AL33" s="6" t="inlineStr">
        <is>
          <t>RETENU_V0.5_REECRIT_CONCRET</t>
        </is>
      </c>
      <c r="AM33" s="6" t="n"/>
      <c r="AN33" s="4" t="inlineStr">
        <is>
          <t>PIP-BANK-0.3</t>
        </is>
      </c>
      <c r="AO33" s="6" t="inlineStr">
        <is>
          <t>PIP-BANK-0.4</t>
        </is>
      </c>
      <c r="AP33" s="8">
        <f>IF(OR(C33="PILOTE",C33="ACTIF"),IF(AND(A33&lt;&gt;"",H33&lt;&gt;"",I33&lt;&gt;"",K33&lt;&gt;"",V33&lt;&gt;"",W33&lt;&gt;""),"OK","A_COMPLETER"),"OK_STRUCTURE")</f>
        <v/>
      </c>
    </row>
    <row r="34" ht="72" customHeight="1" s="34">
      <c r="A34" s="4" t="inlineStr">
        <is>
          <t>PIP-ACT-I-I3-010</t>
        </is>
      </c>
      <c r="B34" s="4" t="inlineStr">
        <is>
          <t>0.2</t>
        </is>
      </c>
      <c r="C34" s="4" t="inlineStr">
        <is>
          <t>PILOTE</t>
        </is>
      </c>
      <c r="D34" s="4" t="inlineStr">
        <is>
          <t>08/09/2026</t>
        </is>
      </c>
      <c r="E34" s="4" t="inlineStr">
        <is>
          <t>08/09/2026</t>
        </is>
      </c>
      <c r="F34" s="4" t="inlineStr">
        <is>
          <t>ACT</t>
        </is>
      </c>
      <c r="G34" s="4" t="inlineStr">
        <is>
          <t>Verbe d’action + objet/contexte</t>
        </is>
      </c>
      <c r="H34" s="4" t="inlineStr">
        <is>
          <t>I</t>
        </is>
      </c>
      <c r="I34" s="4" t="inlineStr">
        <is>
          <t>I3</t>
        </is>
      </c>
      <c r="J34" s="6" t="inlineStr">
        <is>
          <t>C</t>
        </is>
      </c>
      <c r="K34" s="6" t="inlineStr">
        <is>
          <t>Enquêter pour vérifier ce qui est exact lorsqu’une situation reste incertaine.</t>
        </is>
      </c>
      <c r="L34" s="4" t="inlineStr">
        <is>
          <t>Cela ne m’attire pas du tout</t>
        </is>
      </c>
      <c r="M34" s="4" t="inlineStr">
        <is>
          <t>Cela m’attire peu</t>
        </is>
      </c>
      <c r="N34" s="4" t="inlineStr">
        <is>
          <t>Je suis partagé(e) / sans préférence marquée</t>
        </is>
      </c>
      <c r="O34" s="4" t="inlineStr">
        <is>
          <t>Cela m’attire</t>
        </is>
      </c>
      <c r="P34" s="4" t="inlineStr">
        <is>
          <t>Cela m’attire beaucoup</t>
        </is>
      </c>
      <c r="Q34" s="4" t="n">
        <v>1</v>
      </c>
      <c r="R34" s="4" t="n">
        <v>2</v>
      </c>
      <c r="S34" s="4" t="n">
        <v>3</v>
      </c>
      <c r="T34" s="4" t="n">
        <v>4</v>
      </c>
      <c r="U34" s="4" t="n">
        <v>5</v>
      </c>
      <c r="V34" s="6" t="inlineStr">
        <is>
          <t>La formulation cible l’intérêt pour comprendre, rechercher, expliquer et résoudre. Elle mobilise un comportement caractéristique de la dimension I (Investigateur) sans demander un niveau de compétence préalable.</t>
        </is>
      </c>
      <c r="W34" s="6" t="inlineStr">
        <is>
          <t>L’item relève de I3 — Rechercher / enquêter : Recherche d’informations, preuves ou explications lorsqu’une question reste ouverte.</t>
        </is>
      </c>
      <c r="X34" s="6" t="inlineStr">
        <is>
          <t>Revue méthodologique V0.3 : surveiller compréhension du vocabulaire au pilote.</t>
        </is>
      </c>
      <c r="Y34" s="6" t="inlineStr">
        <is>
          <t>FAIBLE</t>
        </is>
      </c>
      <c r="Z34" s="6" t="inlineStr">
        <is>
          <t>FAIBLE</t>
        </is>
      </c>
      <c r="AA34" s="6" t="inlineStr">
        <is>
          <t>FAIBLE</t>
        </is>
      </c>
      <c r="AB34" s="6" t="inlineStr">
        <is>
          <t>MOYEN</t>
        </is>
      </c>
      <c r="AC34" s="6" t="inlineStr">
        <is>
          <t>MOYEN</t>
        </is>
      </c>
      <c r="AD34" s="6" t="inlineStr">
        <is>
          <t>FAIBLE</t>
        </is>
      </c>
      <c r="AE34" s="6" t="inlineStr">
        <is>
          <t>FAIBLE</t>
        </is>
      </c>
      <c r="AF34" s="6" t="inlineStr">
        <is>
          <t>FAIBLE</t>
        </is>
      </c>
      <c r="AG34" s="6" t="inlineStr">
        <is>
          <t>FAIBLE</t>
        </is>
      </c>
      <c r="AH34" s="6" t="inlineStr">
        <is>
          <t>FAIBLE</t>
        </is>
      </c>
      <c r="AI34" s="6" t="inlineStr">
        <is>
          <t>FAIBLE</t>
        </is>
      </c>
      <c r="AJ34" s="4" t="n">
        <v>0</v>
      </c>
      <c r="AK34" s="4" t="n"/>
      <c r="AL34" s="6" t="inlineStr">
        <is>
          <t>RETENU_V0.5_REECRIT_CONCRET</t>
        </is>
      </c>
      <c r="AM34" s="6" t="n"/>
      <c r="AN34" s="4" t="inlineStr">
        <is>
          <t>PIP-BANK-0.3</t>
        </is>
      </c>
      <c r="AO34" s="6" t="inlineStr">
        <is>
          <t>PIP-BANK-0.4</t>
        </is>
      </c>
      <c r="AP34" s="8">
        <f>IF(OR(C34="PILOTE",C34="ACTIF"),IF(AND(A34&lt;&gt;"",H34&lt;&gt;"",I34&lt;&gt;"",K34&lt;&gt;"",V34&lt;&gt;"",W34&lt;&gt;""),"OK","A_COMPLETER"),"OK_STRUCTURE")</f>
        <v/>
      </c>
    </row>
    <row r="35" ht="72" customHeight="1" s="34">
      <c r="A35" s="4" t="inlineStr">
        <is>
          <t>PIP-SIT-I-I3-011</t>
        </is>
      </c>
      <c r="B35" s="4" t="inlineStr">
        <is>
          <t>0.2</t>
        </is>
      </c>
      <c r="C35" s="4" t="inlineStr">
        <is>
          <t>PILOTE</t>
        </is>
      </c>
      <c r="D35" s="4" t="inlineStr">
        <is>
          <t>08/09/2026</t>
        </is>
      </c>
      <c r="E35" s="4" t="inlineStr">
        <is>
          <t>08/09/2026</t>
        </is>
      </c>
      <c r="F35" s="4" t="inlineStr">
        <is>
          <t>SIT</t>
        </is>
      </c>
      <c r="G35" s="4" t="inlineStr">
        <is>
          <t>Situation courte avec enjeu central</t>
        </is>
      </c>
      <c r="H35" s="4" t="inlineStr">
        <is>
          <t>I</t>
        </is>
      </c>
      <c r="I35" s="4" t="inlineStr">
        <is>
          <t>I3</t>
        </is>
      </c>
      <c r="J35" s="6" t="inlineStr">
        <is>
          <t>C</t>
        </is>
      </c>
      <c r="K35" s="6" t="inlineStr">
        <is>
          <t>Être confronté à une question sans réponse immédiate et devoir approfondir les recherches pour la comprendre.</t>
        </is>
      </c>
      <c r="L35" s="4" t="inlineStr">
        <is>
          <t>Cela ne m’attire pas du tout</t>
        </is>
      </c>
      <c r="M35" s="4" t="inlineStr">
        <is>
          <t>Cela m’attire peu</t>
        </is>
      </c>
      <c r="N35" s="4" t="inlineStr">
        <is>
          <t>Je suis partagé(e) / sans préférence marquée</t>
        </is>
      </c>
      <c r="O35" s="4" t="inlineStr">
        <is>
          <t>Cela m’attire</t>
        </is>
      </c>
      <c r="P35" s="4" t="inlineStr">
        <is>
          <t>Cela m’attire beaucoup</t>
        </is>
      </c>
      <c r="Q35" s="4" t="n">
        <v>1</v>
      </c>
      <c r="R35" s="4" t="n">
        <v>2</v>
      </c>
      <c r="S35" s="4" t="n">
        <v>3</v>
      </c>
      <c r="T35" s="4" t="n">
        <v>4</v>
      </c>
      <c r="U35" s="4" t="n">
        <v>5</v>
      </c>
      <c r="V35" s="6" t="inlineStr">
        <is>
          <t>La formulation cible l’intérêt pour comprendre, rechercher, expliquer et résoudre. Elle mobilise un comportement caractéristique de la dimension I (Investigateur) sans demander un niveau de compétence préalable.</t>
        </is>
      </c>
      <c r="W35" s="6" t="inlineStr">
        <is>
          <t>L’item relève de I3 — Rechercher / enquêter : Recherche d’informations, preuves ou explications lorsqu’une question reste ouverte.</t>
        </is>
      </c>
      <c r="X35" s="6" t="inlineStr">
        <is>
          <t>Revue méthodologique V0.3 : surveiller compréhension du vocabulaire au pilote.</t>
        </is>
      </c>
      <c r="Y35" s="6" t="inlineStr">
        <is>
          <t>FAIBLE</t>
        </is>
      </c>
      <c r="Z35" s="6" t="inlineStr">
        <is>
          <t>FAIBLE</t>
        </is>
      </c>
      <c r="AA35" s="6" t="inlineStr">
        <is>
          <t>FAIBLE</t>
        </is>
      </c>
      <c r="AB35" s="6" t="inlineStr">
        <is>
          <t>MOYEN</t>
        </is>
      </c>
      <c r="AC35" s="6" t="inlineStr">
        <is>
          <t>MOYEN</t>
        </is>
      </c>
      <c r="AD35" s="6" t="inlineStr">
        <is>
          <t>FAIBLE</t>
        </is>
      </c>
      <c r="AE35" s="6" t="inlineStr">
        <is>
          <t>FAIBLE</t>
        </is>
      </c>
      <c r="AF35" s="6" t="inlineStr">
        <is>
          <t>FAIBLE</t>
        </is>
      </c>
      <c r="AG35" s="6" t="inlineStr">
        <is>
          <t>FAIBLE</t>
        </is>
      </c>
      <c r="AH35" s="6" t="inlineStr">
        <is>
          <t>FAIBLE</t>
        </is>
      </c>
      <c r="AI35" s="6" t="inlineStr">
        <is>
          <t>FAIBLE</t>
        </is>
      </c>
      <c r="AJ35" s="4" t="n">
        <v>0</v>
      </c>
      <c r="AK35" s="4" t="n"/>
      <c r="AL35" s="6" t="inlineStr">
        <is>
          <t>RETIRE_BANQUE72_HISTORIQUE_CONSERVE</t>
        </is>
      </c>
      <c r="AM35" s="6" t="inlineStr">
        <is>
          <t>Réduction méthodologique 120→72 : doublon de facette / priorité aux activités professionnelles observables et aux items à plus faible risque.</t>
        </is>
      </c>
      <c r="AN35" s="4" t="inlineStr">
        <is>
          <t>PIP-BANK-0.3</t>
        </is>
      </c>
      <c r="AO35" s="6" t="inlineStr">
        <is>
          <t>PIP-BANK-0.3</t>
        </is>
      </c>
      <c r="AP35" s="8">
        <f>IF(OR(C35="PILOTE",C35="ACTIF"),IF(AND(A35&lt;&gt;"",H35&lt;&gt;"",I35&lt;&gt;"",K35&lt;&gt;"",V35&lt;&gt;"",W35&lt;&gt;""),"OK","A_COMPLETER"),"OK_STRUCTURE")</f>
        <v/>
      </c>
    </row>
    <row r="36" ht="72" customHeight="1" s="34">
      <c r="A36" s="4" t="inlineStr">
        <is>
          <t>PIP-ENV-I-I3-012</t>
        </is>
      </c>
      <c r="B36" s="4" t="inlineStr">
        <is>
          <t>0.2</t>
        </is>
      </c>
      <c r="C36" s="4" t="inlineStr">
        <is>
          <t>PILOTE</t>
        </is>
      </c>
      <c r="D36" s="4" t="inlineStr">
        <is>
          <t>08/09/2026</t>
        </is>
      </c>
      <c r="E36" s="4" t="inlineStr">
        <is>
          <t>08/09/2026</t>
        </is>
      </c>
      <c r="F36" s="4" t="inlineStr">
        <is>
          <t>ENV</t>
        </is>
      </c>
      <c r="G36" s="4" t="inlineStr">
        <is>
          <t>Contexte décrit par ce qu’il permet de faire</t>
        </is>
      </c>
      <c r="H36" s="4" t="inlineStr">
        <is>
          <t>I</t>
        </is>
      </c>
      <c r="I36" s="4" t="inlineStr">
        <is>
          <t>I3</t>
        </is>
      </c>
      <c r="J36" s="6" t="inlineStr">
        <is>
          <t>C</t>
        </is>
      </c>
      <c r="K36" s="6" t="inlineStr">
        <is>
          <t>Travailler dans un contexte où l’on peut explorer des sujets, consulter des sources et approfondir des questions.</t>
        </is>
      </c>
      <c r="L36" s="4" t="inlineStr">
        <is>
          <t>Cela ne m’attire pas du tout</t>
        </is>
      </c>
      <c r="M36" s="4" t="inlineStr">
        <is>
          <t>Cela m’attire peu</t>
        </is>
      </c>
      <c r="N36" s="4" t="inlineStr">
        <is>
          <t>Je suis partagé(e) / sans préférence marquée</t>
        </is>
      </c>
      <c r="O36" s="4" t="inlineStr">
        <is>
          <t>Cela m’attire</t>
        </is>
      </c>
      <c r="P36" s="4" t="inlineStr">
        <is>
          <t>Cela m’attire beaucoup</t>
        </is>
      </c>
      <c r="Q36" s="4" t="n">
        <v>1</v>
      </c>
      <c r="R36" s="4" t="n">
        <v>2</v>
      </c>
      <c r="S36" s="4" t="n">
        <v>3</v>
      </c>
      <c r="T36" s="4" t="n">
        <v>4</v>
      </c>
      <c r="U36" s="4" t="n">
        <v>5</v>
      </c>
      <c r="V36" s="6" t="inlineStr">
        <is>
          <t>La formulation cible l’intérêt pour comprendre, rechercher, expliquer et résoudre. Elle mobilise un comportement caractéristique de la dimension I (Investigateur) sans demander un niveau de compétence préalable.</t>
        </is>
      </c>
      <c r="W36" s="6" t="inlineStr">
        <is>
          <t>L’item relève de I3 — Rechercher / enquêter : Recherche d’informations, preuves ou explications lorsqu’une question reste ouverte.</t>
        </is>
      </c>
      <c r="X36" s="6" t="inlineStr">
        <is>
          <t>Revue méthodologique V0.3 : surveiller compréhension du vocabulaire au pilote.</t>
        </is>
      </c>
      <c r="Y36" s="6" t="inlineStr">
        <is>
          <t>FAIBLE</t>
        </is>
      </c>
      <c r="Z36" s="6" t="inlineStr">
        <is>
          <t>FAIBLE</t>
        </is>
      </c>
      <c r="AA36" s="6" t="inlineStr">
        <is>
          <t>FAIBLE</t>
        </is>
      </c>
      <c r="AB36" s="6" t="inlineStr">
        <is>
          <t>MOYEN</t>
        </is>
      </c>
      <c r="AC36" s="6" t="inlineStr">
        <is>
          <t>MOYEN</t>
        </is>
      </c>
      <c r="AD36" s="6" t="inlineStr">
        <is>
          <t>FAIBLE</t>
        </is>
      </c>
      <c r="AE36" s="6" t="inlineStr">
        <is>
          <t>FAIBLE</t>
        </is>
      </c>
      <c r="AF36" s="6" t="inlineStr">
        <is>
          <t>FAIBLE</t>
        </is>
      </c>
      <c r="AG36" s="6" t="inlineStr">
        <is>
          <t>FAIBLE</t>
        </is>
      </c>
      <c r="AH36" s="6" t="inlineStr">
        <is>
          <t>FAIBLE</t>
        </is>
      </c>
      <c r="AI36" s="6" t="inlineStr">
        <is>
          <t>FAIBLE</t>
        </is>
      </c>
      <c r="AJ36" s="4" t="n">
        <v>0</v>
      </c>
      <c r="AK36" s="4" t="n"/>
      <c r="AL36" s="6" t="inlineStr">
        <is>
          <t>RETIRE_BANQUE72_HISTORIQUE_CONSERVE</t>
        </is>
      </c>
      <c r="AM36" s="6" t="inlineStr">
        <is>
          <t>Réduction méthodologique 120→72 : doublon de facette / priorité aux activités professionnelles observables et aux items à plus faible risque.</t>
        </is>
      </c>
      <c r="AN36" s="4" t="inlineStr">
        <is>
          <t>PIP-BANK-0.3</t>
        </is>
      </c>
      <c r="AO36" s="6" t="inlineStr">
        <is>
          <t>PIP-BANK-0.3</t>
        </is>
      </c>
      <c r="AP36" s="8">
        <f>IF(OR(C36="PILOTE",C36="ACTIF"),IF(AND(A36&lt;&gt;"",H36&lt;&gt;"",I36&lt;&gt;"",K36&lt;&gt;"",V36&lt;&gt;"",W36&lt;&gt;""),"OK","A_COMPLETER"),"OK_STRUCTURE")</f>
        <v/>
      </c>
    </row>
    <row r="37" ht="72" customHeight="1" s="34">
      <c r="A37" s="4" t="inlineStr">
        <is>
          <t>PIP-ACT-I-I4-013</t>
        </is>
      </c>
      <c r="B37" s="4" t="inlineStr">
        <is>
          <t>0.2</t>
        </is>
      </c>
      <c r="C37" s="4" t="inlineStr">
        <is>
          <t>PILOTE</t>
        </is>
      </c>
      <c r="D37" s="4" t="inlineStr">
        <is>
          <t>08/09/2026</t>
        </is>
      </c>
      <c r="E37" s="4" t="inlineStr">
        <is>
          <t>08/09/2026</t>
        </is>
      </c>
      <c r="F37" s="4" t="inlineStr">
        <is>
          <t>ACT</t>
        </is>
      </c>
      <c r="G37" s="4" t="inlineStr">
        <is>
          <t>Verbe d’action + objet/contexte</t>
        </is>
      </c>
      <c r="H37" s="4" t="inlineStr">
        <is>
          <t>I</t>
        </is>
      </c>
      <c r="I37" s="4" t="inlineStr">
        <is>
          <t>I4</t>
        </is>
      </c>
      <c r="J37" s="6" t="inlineStr">
        <is>
          <t>R</t>
        </is>
      </c>
      <c r="K37" s="6" t="inlineStr">
        <is>
          <t>Tester une hypothèse pour voir si elle se vérifie.</t>
        </is>
      </c>
      <c r="L37" s="4" t="inlineStr">
        <is>
          <t>Cela ne m’attire pas du tout</t>
        </is>
      </c>
      <c r="M37" s="4" t="inlineStr">
        <is>
          <t>Cela m’attire peu</t>
        </is>
      </c>
      <c r="N37" s="4" t="inlineStr">
        <is>
          <t>Je suis partagé(e) / sans préférence marquée</t>
        </is>
      </c>
      <c r="O37" s="4" t="inlineStr">
        <is>
          <t>Cela m’attire</t>
        </is>
      </c>
      <c r="P37" s="4" t="inlineStr">
        <is>
          <t>Cela m’attire beaucoup</t>
        </is>
      </c>
      <c r="Q37" s="4" t="n">
        <v>1</v>
      </c>
      <c r="R37" s="4" t="n">
        <v>2</v>
      </c>
      <c r="S37" s="4" t="n">
        <v>3</v>
      </c>
      <c r="T37" s="4" t="n">
        <v>4</v>
      </c>
      <c r="U37" s="4" t="n">
        <v>5</v>
      </c>
      <c r="V37" s="6" t="inlineStr">
        <is>
          <t>La formulation cible l’intérêt pour comprendre, rechercher, expliquer et résoudre. Elle mobilise un comportement caractéristique de la dimension I (Investigateur) sans demander un niveau de compétence préalable.</t>
        </is>
      </c>
      <c r="W37" s="6" t="inlineStr">
        <is>
          <t>L’item relève de I4 — Expérimenter / tester : Mise à l’épreuve d’hypothèses ou solutions afin d’apprendre du résultat.</t>
        </is>
      </c>
      <c r="X37" s="6" t="inlineStr">
        <is>
          <t>Revue méthodologique V0.3 : surveiller compréhension du vocabulaire au pilote.</t>
        </is>
      </c>
      <c r="Y37" s="6" t="inlineStr">
        <is>
          <t>FAIBLE</t>
        </is>
      </c>
      <c r="Z37" s="6" t="inlineStr">
        <is>
          <t>FAIBLE</t>
        </is>
      </c>
      <c r="AA37" s="6" t="inlineStr">
        <is>
          <t>FAIBLE</t>
        </is>
      </c>
      <c r="AB37" s="6" t="inlineStr">
        <is>
          <t>MOYEN</t>
        </is>
      </c>
      <c r="AC37" s="6" t="inlineStr">
        <is>
          <t>MOYEN</t>
        </is>
      </c>
      <c r="AD37" s="6" t="inlineStr">
        <is>
          <t>FAIBLE</t>
        </is>
      </c>
      <c r="AE37" s="6" t="inlineStr">
        <is>
          <t>FAIBLE</t>
        </is>
      </c>
      <c r="AF37" s="6" t="inlineStr">
        <is>
          <t>FAIBLE</t>
        </is>
      </c>
      <c r="AG37" s="6" t="inlineStr">
        <is>
          <t>FAIBLE</t>
        </is>
      </c>
      <c r="AH37" s="6" t="inlineStr">
        <is>
          <t>FAIBLE</t>
        </is>
      </c>
      <c r="AI37" s="6" t="inlineStr">
        <is>
          <t>FAIBLE</t>
        </is>
      </c>
      <c r="AJ37" s="4" t="n">
        <v>0</v>
      </c>
      <c r="AK37" s="4" t="n"/>
      <c r="AL37" s="6" t="inlineStr">
        <is>
          <t>RETENU_V0.5_REECRIT_CONCRET</t>
        </is>
      </c>
      <c r="AM37" s="6" t="n"/>
      <c r="AN37" s="4" t="inlineStr">
        <is>
          <t>PIP-BANK-0.3</t>
        </is>
      </c>
      <c r="AO37" s="6" t="inlineStr">
        <is>
          <t>PIP-BANK-0.4</t>
        </is>
      </c>
      <c r="AP37" s="8">
        <f>IF(OR(C37="PILOTE",C37="ACTIF"),IF(AND(A37&lt;&gt;"",H37&lt;&gt;"",I37&lt;&gt;"",K37&lt;&gt;"",V37&lt;&gt;"",W37&lt;&gt;""),"OK","A_COMPLETER"),"OK_STRUCTURE")</f>
        <v/>
      </c>
    </row>
    <row r="38" ht="72" customHeight="1" s="34">
      <c r="A38" s="4" t="inlineStr">
        <is>
          <t>PIP-ACT-I-I4-014</t>
        </is>
      </c>
      <c r="B38" s="4" t="inlineStr">
        <is>
          <t>0.2</t>
        </is>
      </c>
      <c r="C38" s="4" t="inlineStr">
        <is>
          <t>PILOTE</t>
        </is>
      </c>
      <c r="D38" s="4" t="inlineStr">
        <is>
          <t>08/09/2026</t>
        </is>
      </c>
      <c r="E38" s="4" t="inlineStr">
        <is>
          <t>08/09/2026</t>
        </is>
      </c>
      <c r="F38" s="4" t="inlineStr">
        <is>
          <t>ACT</t>
        </is>
      </c>
      <c r="G38" s="4" t="inlineStr">
        <is>
          <t>Verbe d’action + objet/contexte</t>
        </is>
      </c>
      <c r="H38" s="4" t="inlineStr">
        <is>
          <t>I</t>
        </is>
      </c>
      <c r="I38" s="4" t="inlineStr">
        <is>
          <t>I4</t>
        </is>
      </c>
      <c r="J38" s="6" t="inlineStr">
        <is>
          <t>R</t>
        </is>
      </c>
      <c r="K38" s="6" t="inlineStr">
        <is>
          <t>Comparer plusieurs essais pour comprendre ce qui produit un résultat différent.</t>
        </is>
      </c>
      <c r="L38" s="4" t="inlineStr">
        <is>
          <t>Cela ne m’attire pas du tout</t>
        </is>
      </c>
      <c r="M38" s="4" t="inlineStr">
        <is>
          <t>Cela m’attire peu</t>
        </is>
      </c>
      <c r="N38" s="4" t="inlineStr">
        <is>
          <t>Je suis partagé(e) / sans préférence marquée</t>
        </is>
      </c>
      <c r="O38" s="4" t="inlineStr">
        <is>
          <t>Cela m’attire</t>
        </is>
      </c>
      <c r="P38" s="4" t="inlineStr">
        <is>
          <t>Cela m’attire beaucoup</t>
        </is>
      </c>
      <c r="Q38" s="4" t="n">
        <v>1</v>
      </c>
      <c r="R38" s="4" t="n">
        <v>2</v>
      </c>
      <c r="S38" s="4" t="n">
        <v>3</v>
      </c>
      <c r="T38" s="4" t="n">
        <v>4</v>
      </c>
      <c r="U38" s="4" t="n">
        <v>5</v>
      </c>
      <c r="V38" s="6" t="inlineStr">
        <is>
          <t>La formulation cible l’intérêt pour comprendre, rechercher, expliquer et résoudre. Elle mobilise un comportement caractéristique de la dimension I (Investigateur) sans demander un niveau de compétence préalable.</t>
        </is>
      </c>
      <c r="W38" s="6" t="inlineStr">
        <is>
          <t>L’item relève de I4 — Expérimenter / tester : Mise à l’épreuve d’hypothèses ou solutions afin d’apprendre du résultat.</t>
        </is>
      </c>
      <c r="X38" s="6" t="inlineStr">
        <is>
          <t>Revue méthodologique V0.3 : surveiller compréhension du vocabulaire au pilote.</t>
        </is>
      </c>
      <c r="Y38" s="6" t="inlineStr">
        <is>
          <t>FAIBLE</t>
        </is>
      </c>
      <c r="Z38" s="6" t="inlineStr">
        <is>
          <t>FAIBLE</t>
        </is>
      </c>
      <c r="AA38" s="6" t="inlineStr">
        <is>
          <t>FAIBLE</t>
        </is>
      </c>
      <c r="AB38" s="6" t="inlineStr">
        <is>
          <t>MOYEN</t>
        </is>
      </c>
      <c r="AC38" s="6" t="inlineStr">
        <is>
          <t>MOYEN</t>
        </is>
      </c>
      <c r="AD38" s="6" t="inlineStr">
        <is>
          <t>FAIBLE</t>
        </is>
      </c>
      <c r="AE38" s="6" t="inlineStr">
        <is>
          <t>FAIBLE</t>
        </is>
      </c>
      <c r="AF38" s="6" t="inlineStr">
        <is>
          <t>FAIBLE</t>
        </is>
      </c>
      <c r="AG38" s="6" t="inlineStr">
        <is>
          <t>FAIBLE</t>
        </is>
      </c>
      <c r="AH38" s="6" t="inlineStr">
        <is>
          <t>FAIBLE</t>
        </is>
      </c>
      <c r="AI38" s="6" t="inlineStr">
        <is>
          <t>FAIBLE</t>
        </is>
      </c>
      <c r="AJ38" s="4" t="n">
        <v>0</v>
      </c>
      <c r="AK38" s="4" t="n"/>
      <c r="AL38" s="6" t="inlineStr">
        <is>
          <t>RETENU_V0.5_REECRIT_CONCRET</t>
        </is>
      </c>
      <c r="AM38" s="6" t="n"/>
      <c r="AN38" s="4" t="inlineStr">
        <is>
          <t>PIP-BANK-0.3</t>
        </is>
      </c>
      <c r="AO38" s="6" t="inlineStr">
        <is>
          <t>PIP-BANK-0.4</t>
        </is>
      </c>
      <c r="AP38" s="8">
        <f>IF(OR(C38="PILOTE",C38="ACTIF"),IF(AND(A38&lt;&gt;"",H38&lt;&gt;"",I38&lt;&gt;"",K38&lt;&gt;"",V38&lt;&gt;"",W38&lt;&gt;""),"OK","A_COMPLETER"),"OK_STRUCTURE")</f>
        <v/>
      </c>
    </row>
    <row r="39" ht="72" customHeight="1" s="34">
      <c r="A39" s="4" t="inlineStr">
        <is>
          <t>PIP-SIT-I-I4-015</t>
        </is>
      </c>
      <c r="B39" s="4" t="inlineStr">
        <is>
          <t>0.2</t>
        </is>
      </c>
      <c r="C39" s="4" t="inlineStr">
        <is>
          <t>PILOTE</t>
        </is>
      </c>
      <c r="D39" s="4" t="inlineStr">
        <is>
          <t>08/09/2026</t>
        </is>
      </c>
      <c r="E39" s="4" t="inlineStr">
        <is>
          <t>08/09/2026</t>
        </is>
      </c>
      <c r="F39" s="4" t="inlineStr">
        <is>
          <t>SIT</t>
        </is>
      </c>
      <c r="G39" s="4" t="inlineStr">
        <is>
          <t>Situation courte avec enjeu central</t>
        </is>
      </c>
      <c r="H39" s="4" t="inlineStr">
        <is>
          <t>I</t>
        </is>
      </c>
      <c r="I39" s="4" t="inlineStr">
        <is>
          <t>I4</t>
        </is>
      </c>
      <c r="J39" s="6" t="inlineStr">
        <is>
          <t>R</t>
        </is>
      </c>
      <c r="K39" s="6" t="inlineStr">
        <is>
          <t>Chercher la meilleure explication d’un phénomène en réalisant des essais ou des mesures.</t>
        </is>
      </c>
      <c r="L39" s="4" t="inlineStr">
        <is>
          <t>Cela ne m’attire pas du tout</t>
        </is>
      </c>
      <c r="M39" s="4" t="inlineStr">
        <is>
          <t>Cela m’attire peu</t>
        </is>
      </c>
      <c r="N39" s="4" t="inlineStr">
        <is>
          <t>Je suis partagé(e) / sans préférence marquée</t>
        </is>
      </c>
      <c r="O39" s="4" t="inlineStr">
        <is>
          <t>Cela m’attire</t>
        </is>
      </c>
      <c r="P39" s="4" t="inlineStr">
        <is>
          <t>Cela m’attire beaucoup</t>
        </is>
      </c>
      <c r="Q39" s="4" t="n">
        <v>1</v>
      </c>
      <c r="R39" s="4" t="n">
        <v>2</v>
      </c>
      <c r="S39" s="4" t="n">
        <v>3</v>
      </c>
      <c r="T39" s="4" t="n">
        <v>4</v>
      </c>
      <c r="U39" s="4" t="n">
        <v>5</v>
      </c>
      <c r="V39" s="6" t="inlineStr">
        <is>
          <t>La formulation cible l’intérêt pour comprendre, rechercher, expliquer et résoudre. Elle mobilise un comportement caractéristique de la dimension I (Investigateur) sans demander un niveau de compétence préalable.</t>
        </is>
      </c>
      <c r="W39" s="6" t="inlineStr">
        <is>
          <t>L’item relève de I4 — Expérimenter / tester : Mise à l’épreuve d’hypothèses ou solutions afin d’apprendre du résultat.</t>
        </is>
      </c>
      <c r="X39" s="6" t="inlineStr">
        <is>
          <t>Revue méthodologique V0.3 : surveiller compréhension du vocabulaire au pilote.</t>
        </is>
      </c>
      <c r="Y39" s="6" t="inlineStr">
        <is>
          <t>FAIBLE</t>
        </is>
      </c>
      <c r="Z39" s="6" t="inlineStr">
        <is>
          <t>FAIBLE</t>
        </is>
      </c>
      <c r="AA39" s="6" t="inlineStr">
        <is>
          <t>FAIBLE</t>
        </is>
      </c>
      <c r="AB39" s="6" t="inlineStr">
        <is>
          <t>MOYEN</t>
        </is>
      </c>
      <c r="AC39" s="6" t="inlineStr">
        <is>
          <t>MOYEN</t>
        </is>
      </c>
      <c r="AD39" s="6" t="inlineStr">
        <is>
          <t>FAIBLE</t>
        </is>
      </c>
      <c r="AE39" s="6" t="inlineStr">
        <is>
          <t>FAIBLE</t>
        </is>
      </c>
      <c r="AF39" s="6" t="inlineStr">
        <is>
          <t>FAIBLE</t>
        </is>
      </c>
      <c r="AG39" s="6" t="inlineStr">
        <is>
          <t>FAIBLE</t>
        </is>
      </c>
      <c r="AH39" s="6" t="inlineStr">
        <is>
          <t>FAIBLE</t>
        </is>
      </c>
      <c r="AI39" s="6" t="inlineStr">
        <is>
          <t>FAIBLE</t>
        </is>
      </c>
      <c r="AJ39" s="4" t="n">
        <v>0</v>
      </c>
      <c r="AK39" s="4" t="n"/>
      <c r="AL39" s="6" t="inlineStr">
        <is>
          <t>RETIRE_BANQUE72_HISTORIQUE_CONSERVE</t>
        </is>
      </c>
      <c r="AM39" s="6" t="inlineStr">
        <is>
          <t>Réduction méthodologique 120→72 : doublon de facette / priorité aux activités professionnelles observables et aux items à plus faible risque.</t>
        </is>
      </c>
      <c r="AN39" s="4" t="inlineStr">
        <is>
          <t>PIP-BANK-0.3</t>
        </is>
      </c>
      <c r="AO39" s="6" t="inlineStr">
        <is>
          <t>PIP-BANK-0.3</t>
        </is>
      </c>
      <c r="AP39" s="8">
        <f>IF(OR(C39="PILOTE",C39="ACTIF"),IF(AND(A39&lt;&gt;"",H39&lt;&gt;"",I39&lt;&gt;"",K39&lt;&gt;"",V39&lt;&gt;"",W39&lt;&gt;""),"OK","A_COMPLETER"),"OK_STRUCTURE")</f>
        <v/>
      </c>
    </row>
    <row r="40" ht="72" customHeight="1" s="34">
      <c r="A40" s="4" t="inlineStr">
        <is>
          <t>PIP-ENV-I-I4-016</t>
        </is>
      </c>
      <c r="B40" s="4" t="inlineStr">
        <is>
          <t>0.2</t>
        </is>
      </c>
      <c r="C40" s="4" t="inlineStr">
        <is>
          <t>PILOTE</t>
        </is>
      </c>
      <c r="D40" s="4" t="inlineStr">
        <is>
          <t>08/09/2026</t>
        </is>
      </c>
      <c r="E40" s="4" t="inlineStr">
        <is>
          <t>08/09/2026</t>
        </is>
      </c>
      <c r="F40" s="4" t="inlineStr">
        <is>
          <t>ENV</t>
        </is>
      </c>
      <c r="G40" s="4" t="inlineStr">
        <is>
          <t>Contexte décrit par ce qu’il permet de faire</t>
        </is>
      </c>
      <c r="H40" s="4" t="inlineStr">
        <is>
          <t>I</t>
        </is>
      </c>
      <c r="I40" s="4" t="inlineStr">
        <is>
          <t>I4</t>
        </is>
      </c>
      <c r="J40" s="6" t="inlineStr">
        <is>
          <t>R</t>
        </is>
      </c>
      <c r="K40" s="6" t="inlineStr">
        <is>
          <t>Évoluer dans un contexte où l’on peut expérimenter, mesurer et tirer des enseignements des résultats.</t>
        </is>
      </c>
      <c r="L40" s="4" t="inlineStr">
        <is>
          <t>Cela ne m’attire pas du tout</t>
        </is>
      </c>
      <c r="M40" s="4" t="inlineStr">
        <is>
          <t>Cela m’attire peu</t>
        </is>
      </c>
      <c r="N40" s="4" t="inlineStr">
        <is>
          <t>Je suis partagé(e) / sans préférence marquée</t>
        </is>
      </c>
      <c r="O40" s="4" t="inlineStr">
        <is>
          <t>Cela m’attire</t>
        </is>
      </c>
      <c r="P40" s="4" t="inlineStr">
        <is>
          <t>Cela m’attire beaucoup</t>
        </is>
      </c>
      <c r="Q40" s="4" t="n">
        <v>1</v>
      </c>
      <c r="R40" s="4" t="n">
        <v>2</v>
      </c>
      <c r="S40" s="4" t="n">
        <v>3</v>
      </c>
      <c r="T40" s="4" t="n">
        <v>4</v>
      </c>
      <c r="U40" s="4" t="n">
        <v>5</v>
      </c>
      <c r="V40" s="6" t="inlineStr">
        <is>
          <t>La formulation cible l’intérêt pour comprendre, rechercher, expliquer et résoudre. Elle mobilise un comportement caractéristique de la dimension I (Investigateur) sans demander un niveau de compétence préalable.</t>
        </is>
      </c>
      <c r="W40" s="6" t="inlineStr">
        <is>
          <t>L’item relève de I4 — Expérimenter / tester : Mise à l’épreuve d’hypothèses ou solutions afin d’apprendre du résultat.</t>
        </is>
      </c>
      <c r="X40" s="6" t="inlineStr">
        <is>
          <t>Revue méthodologique V0.3 : surveiller compréhension du vocabulaire au pilote.</t>
        </is>
      </c>
      <c r="Y40" s="6" t="inlineStr">
        <is>
          <t>FAIBLE</t>
        </is>
      </c>
      <c r="Z40" s="6" t="inlineStr">
        <is>
          <t>FAIBLE</t>
        </is>
      </c>
      <c r="AA40" s="6" t="inlineStr">
        <is>
          <t>FAIBLE</t>
        </is>
      </c>
      <c r="AB40" s="6" t="inlineStr">
        <is>
          <t>MOYEN</t>
        </is>
      </c>
      <c r="AC40" s="6" t="inlineStr">
        <is>
          <t>MOYEN</t>
        </is>
      </c>
      <c r="AD40" s="6" t="inlineStr">
        <is>
          <t>FAIBLE</t>
        </is>
      </c>
      <c r="AE40" s="6" t="inlineStr">
        <is>
          <t>FAIBLE</t>
        </is>
      </c>
      <c r="AF40" s="6" t="inlineStr">
        <is>
          <t>FAIBLE</t>
        </is>
      </c>
      <c r="AG40" s="6" t="inlineStr">
        <is>
          <t>FAIBLE</t>
        </is>
      </c>
      <c r="AH40" s="6" t="inlineStr">
        <is>
          <t>FAIBLE</t>
        </is>
      </c>
      <c r="AI40" s="6" t="inlineStr">
        <is>
          <t>FAIBLE</t>
        </is>
      </c>
      <c r="AJ40" s="4" t="n">
        <v>0</v>
      </c>
      <c r="AK40" s="4" t="n"/>
      <c r="AL40" s="6" t="inlineStr">
        <is>
          <t>RETIRE_BANQUE72_HISTORIQUE_CONSERVE</t>
        </is>
      </c>
      <c r="AM40" s="6" t="inlineStr">
        <is>
          <t>Réduction méthodologique 120→72 : doublon de facette / priorité aux activités professionnelles observables et aux items à plus faible risque.</t>
        </is>
      </c>
      <c r="AN40" s="4" t="inlineStr">
        <is>
          <t>PIP-BANK-0.3</t>
        </is>
      </c>
      <c r="AO40" s="6" t="inlineStr">
        <is>
          <t>PIP-BANK-0.3</t>
        </is>
      </c>
      <c r="AP40" s="8">
        <f>IF(OR(C40="PILOTE",C40="ACTIF"),IF(AND(A40&lt;&gt;"",H40&lt;&gt;"",I40&lt;&gt;"",K40&lt;&gt;"",V40&lt;&gt;"",W40&lt;&gt;""),"OK","A_COMPLETER"),"OK_STRUCTURE")</f>
        <v/>
      </c>
    </row>
    <row r="41" ht="72" customHeight="1" s="34">
      <c r="A41" s="4" t="inlineStr">
        <is>
          <t>PIP-ACT-I-I5-017</t>
        </is>
      </c>
      <c r="B41" s="4" t="inlineStr">
        <is>
          <t>0.2</t>
        </is>
      </c>
      <c r="C41" s="4" t="inlineStr">
        <is>
          <t>PILOTE</t>
        </is>
      </c>
      <c r="D41" s="4" t="inlineStr">
        <is>
          <t>08/09/2026</t>
        </is>
      </c>
      <c r="E41" s="4" t="inlineStr">
        <is>
          <t>08/09/2026</t>
        </is>
      </c>
      <c r="F41" s="4" t="inlineStr">
        <is>
          <t>ACT</t>
        </is>
      </c>
      <c r="G41" s="4" t="inlineStr">
        <is>
          <t>Verbe d’action + objet/contexte</t>
        </is>
      </c>
      <c r="H41" s="4" t="inlineStr">
        <is>
          <t>I</t>
        </is>
      </c>
      <c r="I41" s="4" t="inlineStr">
        <is>
          <t>I5</t>
        </is>
      </c>
      <c r="J41" s="6" t="inlineStr">
        <is>
          <t>R</t>
        </is>
      </c>
      <c r="K41" s="6" t="inlineStr">
        <is>
          <t>Chercher la cause d’un problème pour pouvoir l’expliquer.</t>
        </is>
      </c>
      <c r="L41" s="4" t="inlineStr">
        <is>
          <t>Cela ne m’attire pas du tout</t>
        </is>
      </c>
      <c r="M41" s="4" t="inlineStr">
        <is>
          <t>Cela m’attire peu</t>
        </is>
      </c>
      <c r="N41" s="4" t="inlineStr">
        <is>
          <t>Je suis partagé(e) / sans préférence marquée</t>
        </is>
      </c>
      <c r="O41" s="4" t="inlineStr">
        <is>
          <t>Cela m’attire</t>
        </is>
      </c>
      <c r="P41" s="4" t="inlineStr">
        <is>
          <t>Cela m’attire beaucoup</t>
        </is>
      </c>
      <c r="Q41" s="4" t="n">
        <v>1</v>
      </c>
      <c r="R41" s="4" t="n">
        <v>2</v>
      </c>
      <c r="S41" s="4" t="n">
        <v>3</v>
      </c>
      <c r="T41" s="4" t="n">
        <v>4</v>
      </c>
      <c r="U41" s="4" t="n">
        <v>5</v>
      </c>
      <c r="V41" s="6" t="inlineStr">
        <is>
          <t>La formulation cible l’intérêt pour comprendre, rechercher, expliquer et résoudre. Elle mobilise un comportement caractéristique de la dimension I (Investigateur) sans demander un niveau de compétence préalable.</t>
        </is>
      </c>
      <c r="W41" s="6" t="inlineStr">
        <is>
          <t>L’item relève de I5 — Résoudre / expliquer : Problèmes intellectuels dont l’enjeu est de comprendre, expliquer ou trouver une solution fondée.</t>
        </is>
      </c>
      <c r="X41" s="6" t="inlineStr">
        <is>
          <t>Revue méthodologique V0.3 : surveiller compréhension du vocabulaire au pilote.</t>
        </is>
      </c>
      <c r="Y41" s="6" t="inlineStr">
        <is>
          <t>FAIBLE</t>
        </is>
      </c>
      <c r="Z41" s="6" t="inlineStr">
        <is>
          <t>FAIBLE</t>
        </is>
      </c>
      <c r="AA41" s="6" t="inlineStr">
        <is>
          <t>FAIBLE</t>
        </is>
      </c>
      <c r="AB41" s="6" t="inlineStr">
        <is>
          <t>MOYEN</t>
        </is>
      </c>
      <c r="AC41" s="6" t="inlineStr">
        <is>
          <t>MOYEN</t>
        </is>
      </c>
      <c r="AD41" s="6" t="inlineStr">
        <is>
          <t>FAIBLE</t>
        </is>
      </c>
      <c r="AE41" s="6" t="inlineStr">
        <is>
          <t>FAIBLE</t>
        </is>
      </c>
      <c r="AF41" s="6" t="inlineStr">
        <is>
          <t>FAIBLE</t>
        </is>
      </c>
      <c r="AG41" s="6" t="inlineStr">
        <is>
          <t>FAIBLE</t>
        </is>
      </c>
      <c r="AH41" s="6" t="inlineStr">
        <is>
          <t>FAIBLE</t>
        </is>
      </c>
      <c r="AI41" s="6" t="inlineStr">
        <is>
          <t>FAIBLE</t>
        </is>
      </c>
      <c r="AJ41" s="4" t="n">
        <v>0</v>
      </c>
      <c r="AK41" s="4" t="n"/>
      <c r="AL41" s="6" t="inlineStr">
        <is>
          <t>RETENU_V0.5_REECRIT_CONCRET</t>
        </is>
      </c>
      <c r="AM41" s="6" t="n"/>
      <c r="AN41" s="4" t="inlineStr">
        <is>
          <t>PIP-BANK-0.3</t>
        </is>
      </c>
      <c r="AO41" s="6" t="inlineStr">
        <is>
          <t>PIP-BANK-0.4</t>
        </is>
      </c>
      <c r="AP41" s="8">
        <f>IF(OR(C41="PILOTE",C41="ACTIF"),IF(AND(A41&lt;&gt;"",H41&lt;&gt;"",I41&lt;&gt;"",K41&lt;&gt;"",V41&lt;&gt;"",W41&lt;&gt;""),"OK","A_COMPLETER"),"OK_STRUCTURE")</f>
        <v/>
      </c>
    </row>
    <row r="42" ht="72" customHeight="1" s="34">
      <c r="A42" s="4" t="inlineStr">
        <is>
          <t>PIP-ACT-I-I5-018</t>
        </is>
      </c>
      <c r="B42" s="4" t="inlineStr">
        <is>
          <t>0.2</t>
        </is>
      </c>
      <c r="C42" s="4" t="inlineStr">
        <is>
          <t>PILOTE</t>
        </is>
      </c>
      <c r="D42" s="4" t="inlineStr">
        <is>
          <t>08/09/2026</t>
        </is>
      </c>
      <c r="E42" s="4" t="inlineStr">
        <is>
          <t>08/09/2026</t>
        </is>
      </c>
      <c r="F42" s="4" t="inlineStr">
        <is>
          <t>ACT</t>
        </is>
      </c>
      <c r="G42" s="4" t="inlineStr">
        <is>
          <t>Verbe d’action + objet/contexte</t>
        </is>
      </c>
      <c r="H42" s="4" t="inlineStr">
        <is>
          <t>I</t>
        </is>
      </c>
      <c r="I42" s="4" t="inlineStr">
        <is>
          <t>I5</t>
        </is>
      </c>
      <c r="J42" s="6" t="inlineStr">
        <is>
          <t>R</t>
        </is>
      </c>
      <c r="K42" s="6" t="inlineStr">
        <is>
          <t>Résoudre un problème nouveau en construisant une solution fondée sur les informations disponibles.</t>
        </is>
      </c>
      <c r="L42" s="4" t="inlineStr">
        <is>
          <t>Cela ne m’attire pas du tout</t>
        </is>
      </c>
      <c r="M42" s="4" t="inlineStr">
        <is>
          <t>Cela m’attire peu</t>
        </is>
      </c>
      <c r="N42" s="4" t="inlineStr">
        <is>
          <t>Je suis partagé(e) / sans préférence marquée</t>
        </is>
      </c>
      <c r="O42" s="4" t="inlineStr">
        <is>
          <t>Cela m’attire</t>
        </is>
      </c>
      <c r="P42" s="4" t="inlineStr">
        <is>
          <t>Cela m’attire beaucoup</t>
        </is>
      </c>
      <c r="Q42" s="4" t="n">
        <v>1</v>
      </c>
      <c r="R42" s="4" t="n">
        <v>2</v>
      </c>
      <c r="S42" s="4" t="n">
        <v>3</v>
      </c>
      <c r="T42" s="4" t="n">
        <v>4</v>
      </c>
      <c r="U42" s="4" t="n">
        <v>5</v>
      </c>
      <c r="V42" s="6" t="inlineStr">
        <is>
          <t>La formulation cible l’intérêt pour comprendre, rechercher, expliquer et résoudre. Elle mobilise un comportement caractéristique de la dimension I (Investigateur) sans demander un niveau de compétence préalable.</t>
        </is>
      </c>
      <c r="W42" s="6" t="inlineStr">
        <is>
          <t>L’item relève de I5 — Résoudre / expliquer : Problèmes intellectuels dont l’enjeu est de comprendre, expliquer ou trouver une solution fondée.</t>
        </is>
      </c>
      <c r="X42" s="6" t="inlineStr">
        <is>
          <t>Revue méthodologique V0.3 : surveiller compréhension du vocabulaire au pilote.</t>
        </is>
      </c>
      <c r="Y42" s="6" t="inlineStr">
        <is>
          <t>FAIBLE</t>
        </is>
      </c>
      <c r="Z42" s="6" t="inlineStr">
        <is>
          <t>FAIBLE</t>
        </is>
      </c>
      <c r="AA42" s="6" t="inlineStr">
        <is>
          <t>FAIBLE</t>
        </is>
      </c>
      <c r="AB42" s="6" t="inlineStr">
        <is>
          <t>MOYEN</t>
        </is>
      </c>
      <c r="AC42" s="6" t="inlineStr">
        <is>
          <t>MOYEN</t>
        </is>
      </c>
      <c r="AD42" s="6" t="inlineStr">
        <is>
          <t>FAIBLE</t>
        </is>
      </c>
      <c r="AE42" s="6" t="inlineStr">
        <is>
          <t>FAIBLE</t>
        </is>
      </c>
      <c r="AF42" s="6" t="inlineStr">
        <is>
          <t>FAIBLE</t>
        </is>
      </c>
      <c r="AG42" s="6" t="inlineStr">
        <is>
          <t>FAIBLE</t>
        </is>
      </c>
      <c r="AH42" s="6" t="inlineStr">
        <is>
          <t>FAIBLE</t>
        </is>
      </c>
      <c r="AI42" s="6" t="inlineStr">
        <is>
          <t>FAIBLE</t>
        </is>
      </c>
      <c r="AJ42" s="4" t="n">
        <v>0</v>
      </c>
      <c r="AK42" s="4" t="n"/>
      <c r="AL42" s="6" t="inlineStr">
        <is>
          <t>RETENU_V0.5_REECRIT_CONCRET</t>
        </is>
      </c>
      <c r="AM42" s="6" t="n"/>
      <c r="AN42" s="4" t="inlineStr">
        <is>
          <t>PIP-BANK-0.3</t>
        </is>
      </c>
      <c r="AO42" s="6" t="inlineStr">
        <is>
          <t>PIP-BANK-0.4</t>
        </is>
      </c>
      <c r="AP42" s="8">
        <f>IF(OR(C42="PILOTE",C42="ACTIF"),IF(AND(A42&lt;&gt;"",H42&lt;&gt;"",I42&lt;&gt;"",K42&lt;&gt;"",V42&lt;&gt;"",W42&lt;&gt;""),"OK","A_COMPLETER"),"OK_STRUCTURE")</f>
        <v/>
      </c>
    </row>
    <row r="43" ht="72" customHeight="1" s="34">
      <c r="A43" s="4" t="inlineStr">
        <is>
          <t>PIP-SIT-I-I5-019</t>
        </is>
      </c>
      <c r="B43" s="4" t="inlineStr">
        <is>
          <t>0.2</t>
        </is>
      </c>
      <c r="C43" s="4" t="inlineStr">
        <is>
          <t>PILOTE</t>
        </is>
      </c>
      <c r="D43" s="4" t="inlineStr">
        <is>
          <t>08/09/2026</t>
        </is>
      </c>
      <c r="E43" s="4" t="inlineStr">
        <is>
          <t>08/09/2026</t>
        </is>
      </c>
      <c r="F43" s="4" t="inlineStr">
        <is>
          <t>SIT</t>
        </is>
      </c>
      <c r="G43" s="4" t="inlineStr">
        <is>
          <t>Situation courte avec enjeu central</t>
        </is>
      </c>
      <c r="H43" s="4" t="inlineStr">
        <is>
          <t>I</t>
        </is>
      </c>
      <c r="I43" s="4" t="inlineStr">
        <is>
          <t>I5</t>
        </is>
      </c>
      <c r="J43" s="6" t="inlineStr">
        <is>
          <t>R</t>
        </is>
      </c>
      <c r="K43" s="6" t="inlineStr">
        <is>
          <t>Prendre en charge une situation complexe dont la solution n’est pas connue à l’avance et qui demande d’abord de comprendre le problème.</t>
        </is>
      </c>
      <c r="L43" s="4" t="inlineStr">
        <is>
          <t>Cela ne m’attire pas du tout</t>
        </is>
      </c>
      <c r="M43" s="4" t="inlineStr">
        <is>
          <t>Cela m’attire peu</t>
        </is>
      </c>
      <c r="N43" s="4" t="inlineStr">
        <is>
          <t>Je suis partagé(e) / sans préférence marquée</t>
        </is>
      </c>
      <c r="O43" s="4" t="inlineStr">
        <is>
          <t>Cela m’attire</t>
        </is>
      </c>
      <c r="P43" s="4" t="inlineStr">
        <is>
          <t>Cela m’attire beaucoup</t>
        </is>
      </c>
      <c r="Q43" s="4" t="n">
        <v>1</v>
      </c>
      <c r="R43" s="4" t="n">
        <v>2</v>
      </c>
      <c r="S43" s="4" t="n">
        <v>3</v>
      </c>
      <c r="T43" s="4" t="n">
        <v>4</v>
      </c>
      <c r="U43" s="4" t="n">
        <v>5</v>
      </c>
      <c r="V43" s="6" t="inlineStr">
        <is>
          <t>La formulation cible l’intérêt pour comprendre, rechercher, expliquer et résoudre. Elle mobilise un comportement caractéristique de la dimension I (Investigateur) sans demander un niveau de compétence préalable.</t>
        </is>
      </c>
      <c r="W43" s="6" t="inlineStr">
        <is>
          <t>L’item relève de I5 — Résoudre / expliquer : Problèmes intellectuels dont l’enjeu est de comprendre, expliquer ou trouver une solution fondée.</t>
        </is>
      </c>
      <c r="X43" s="6" t="inlineStr">
        <is>
          <t>Revue méthodologique V0.3 : surveiller compréhension du vocabulaire, frontière avec R au pilote.</t>
        </is>
      </c>
      <c r="Y43" s="6" t="inlineStr">
        <is>
          <t>FAIBLE</t>
        </is>
      </c>
      <c r="Z43" s="6" t="inlineStr">
        <is>
          <t>FAIBLE</t>
        </is>
      </c>
      <c r="AA43" s="6" t="inlineStr">
        <is>
          <t>FAIBLE</t>
        </is>
      </c>
      <c r="AB43" s="6" t="inlineStr">
        <is>
          <t>MOYEN</t>
        </is>
      </c>
      <c r="AC43" s="6" t="inlineStr">
        <is>
          <t>MOYEN</t>
        </is>
      </c>
      <c r="AD43" s="6" t="inlineStr">
        <is>
          <t>FAIBLE</t>
        </is>
      </c>
      <c r="AE43" s="6" t="inlineStr">
        <is>
          <t>FAIBLE</t>
        </is>
      </c>
      <c r="AF43" s="6" t="inlineStr">
        <is>
          <t>FAIBLE</t>
        </is>
      </c>
      <c r="AG43" s="6" t="inlineStr">
        <is>
          <t>FAIBLE</t>
        </is>
      </c>
      <c r="AH43" s="6" t="inlineStr">
        <is>
          <t>FAIBLE</t>
        </is>
      </c>
      <c r="AI43" s="6" t="inlineStr">
        <is>
          <t>MOYEN</t>
        </is>
      </c>
      <c r="AJ43" s="4" t="n">
        <v>0</v>
      </c>
      <c r="AK43" s="4" t="n"/>
      <c r="AL43" s="6" t="inlineStr">
        <is>
          <t>RETIRE_BANQUE72_HISTORIQUE_CONSERVE</t>
        </is>
      </c>
      <c r="AM43" s="6" t="inlineStr">
        <is>
          <t>Réduction méthodologique 120→72 : doublon de facette / priorité aux activités professionnelles observables et aux items à plus faible risque.</t>
        </is>
      </c>
      <c r="AN43" s="4" t="inlineStr">
        <is>
          <t>PIP-BANK-0.3</t>
        </is>
      </c>
      <c r="AO43" s="6" t="inlineStr">
        <is>
          <t>PIP-BANK-0.3</t>
        </is>
      </c>
      <c r="AP43" s="8">
        <f>IF(OR(C43="PILOTE",C43="ACTIF"),IF(AND(A43&lt;&gt;"",H43&lt;&gt;"",I43&lt;&gt;"",K43&lt;&gt;"",V43&lt;&gt;"",W43&lt;&gt;""),"OK","A_COMPLETER"),"OK_STRUCTURE")</f>
        <v/>
      </c>
    </row>
    <row r="44" ht="72" customHeight="1" s="34">
      <c r="A44" s="4" t="inlineStr">
        <is>
          <t>PIP-ENV-I-I5-020</t>
        </is>
      </c>
      <c r="B44" s="4" t="inlineStr">
        <is>
          <t>0.2</t>
        </is>
      </c>
      <c r="C44" s="4" t="inlineStr">
        <is>
          <t>PILOTE</t>
        </is>
      </c>
      <c r="D44" s="4" t="inlineStr">
        <is>
          <t>08/09/2026</t>
        </is>
      </c>
      <c r="E44" s="4" t="inlineStr">
        <is>
          <t>08/09/2026</t>
        </is>
      </c>
      <c r="F44" s="4" t="inlineStr">
        <is>
          <t>ENV</t>
        </is>
      </c>
      <c r="G44" s="4" t="inlineStr">
        <is>
          <t>Contexte décrit par ce qu’il permet de faire</t>
        </is>
      </c>
      <c r="H44" s="4" t="inlineStr">
        <is>
          <t>I</t>
        </is>
      </c>
      <c r="I44" s="4" t="inlineStr">
        <is>
          <t>I5</t>
        </is>
      </c>
      <c r="J44" s="6" t="inlineStr">
        <is>
          <t>R</t>
        </is>
      </c>
      <c r="K44" s="6" t="inlineStr">
        <is>
          <t>Travailler dans un contexte où l’on est régulièrement amené à expliquer des phénomènes ou à résoudre des problèmes qui demandent réflexion et compréhension.</t>
        </is>
      </c>
      <c r="L44" s="4" t="inlineStr">
        <is>
          <t>Cela ne m’attire pas du tout</t>
        </is>
      </c>
      <c r="M44" s="4" t="inlineStr">
        <is>
          <t>Cela m’attire peu</t>
        </is>
      </c>
      <c r="N44" s="4" t="inlineStr">
        <is>
          <t>Je suis partagé(e) / sans préférence marquée</t>
        </is>
      </c>
      <c r="O44" s="4" t="inlineStr">
        <is>
          <t>Cela m’attire</t>
        </is>
      </c>
      <c r="P44" s="4" t="inlineStr">
        <is>
          <t>Cela m’attire beaucoup</t>
        </is>
      </c>
      <c r="Q44" s="4" t="n">
        <v>1</v>
      </c>
      <c r="R44" s="4" t="n">
        <v>2</v>
      </c>
      <c r="S44" s="4" t="n">
        <v>3</v>
      </c>
      <c r="T44" s="4" t="n">
        <v>4</v>
      </c>
      <c r="U44" s="4" t="n">
        <v>5</v>
      </c>
      <c r="V44" s="6" t="inlineStr">
        <is>
          <t>La formulation cible l’intérêt pour comprendre, rechercher, expliquer et résoudre. Elle mobilise un comportement caractéristique de la dimension I (Investigateur) sans demander un niveau de compétence préalable.</t>
        </is>
      </c>
      <c r="W44" s="6" t="inlineStr">
        <is>
          <t>L’item relève de I5 — Résoudre / expliquer : Problèmes intellectuels dont l’enjeu est de comprendre, expliquer ou trouver une solution fondée.</t>
        </is>
      </c>
      <c r="X44" s="6" t="inlineStr">
        <is>
          <t>Revue méthodologique V0.3 : surveiller compréhension du vocabulaire au pilote.</t>
        </is>
      </c>
      <c r="Y44" s="6" t="inlineStr">
        <is>
          <t>FAIBLE</t>
        </is>
      </c>
      <c r="Z44" s="6" t="inlineStr">
        <is>
          <t>FAIBLE</t>
        </is>
      </c>
      <c r="AA44" s="6" t="inlineStr">
        <is>
          <t>FAIBLE</t>
        </is>
      </c>
      <c r="AB44" s="6" t="inlineStr">
        <is>
          <t>MOYEN</t>
        </is>
      </c>
      <c r="AC44" s="6" t="inlineStr">
        <is>
          <t>MOYEN</t>
        </is>
      </c>
      <c r="AD44" s="6" t="inlineStr">
        <is>
          <t>FAIBLE</t>
        </is>
      </c>
      <c r="AE44" s="6" t="inlineStr">
        <is>
          <t>FAIBLE</t>
        </is>
      </c>
      <c r="AF44" s="6" t="inlineStr">
        <is>
          <t>FAIBLE</t>
        </is>
      </c>
      <c r="AG44" s="6" t="inlineStr">
        <is>
          <t>FAIBLE</t>
        </is>
      </c>
      <c r="AH44" s="6" t="inlineStr">
        <is>
          <t>FAIBLE</t>
        </is>
      </c>
      <c r="AI44" s="6" t="inlineStr">
        <is>
          <t>FAIBLE</t>
        </is>
      </c>
      <c r="AJ44" s="4" t="n">
        <v>0</v>
      </c>
      <c r="AK44" s="4" t="n"/>
      <c r="AL44" s="6" t="inlineStr">
        <is>
          <t>RETIRE_BANQUE72_HISTORIQUE_CONSERVE</t>
        </is>
      </c>
      <c r="AM44" s="6" t="inlineStr">
        <is>
          <t>Réduction méthodologique 120→72 : doublon de facette / priorité aux activités professionnelles observables et aux items à plus faible risque.</t>
        </is>
      </c>
      <c r="AN44" s="4" t="inlineStr">
        <is>
          <t>PIP-BANK-0.3</t>
        </is>
      </c>
      <c r="AO44" s="6" t="inlineStr">
        <is>
          <t>PIP-BANK-0.3</t>
        </is>
      </c>
      <c r="AP44" s="8">
        <f>IF(OR(C44="PILOTE",C44="ACTIF"),IF(AND(A44&lt;&gt;"",H44&lt;&gt;"",I44&lt;&gt;"",K44&lt;&gt;"",V44&lt;&gt;"",W44&lt;&gt;""),"OK","A_COMPLETER"),"OK_STRUCTURE")</f>
        <v/>
      </c>
    </row>
    <row r="45" ht="72" customHeight="1" s="34">
      <c r="A45" s="4" t="inlineStr">
        <is>
          <t>PIP-ACT-A-A1-001</t>
        </is>
      </c>
      <c r="B45" s="4" t="inlineStr">
        <is>
          <t>0.2</t>
        </is>
      </c>
      <c r="C45" s="4" t="inlineStr">
        <is>
          <t>PILOTE</t>
        </is>
      </c>
      <c r="D45" s="4" t="inlineStr">
        <is>
          <t>08/09/2026</t>
        </is>
      </c>
      <c r="E45" s="4" t="inlineStr">
        <is>
          <t>08/09/2026</t>
        </is>
      </c>
      <c r="F45" s="4" t="inlineStr">
        <is>
          <t>ACT</t>
        </is>
      </c>
      <c r="G45" s="4" t="inlineStr">
        <is>
          <t>Verbe d’action + objet/contexte</t>
        </is>
      </c>
      <c r="H45" s="4" t="inlineStr">
        <is>
          <t>A</t>
        </is>
      </c>
      <c r="I45" s="4" t="inlineStr">
        <is>
          <t>A1</t>
        </is>
      </c>
      <c r="J45" s="6" t="inlineStr">
        <is>
          <t>I,E</t>
        </is>
      </c>
      <c r="K45" s="6" t="inlineStr">
        <is>
          <t>Imaginer plusieurs idées nouvelles à partir d’un même sujet.</t>
        </is>
      </c>
      <c r="L45" s="4" t="inlineStr">
        <is>
          <t>Cela ne m’attire pas du tout</t>
        </is>
      </c>
      <c r="M45" s="4" t="inlineStr">
        <is>
          <t>Cela m’attire peu</t>
        </is>
      </c>
      <c r="N45" s="4" t="inlineStr">
        <is>
          <t>Je suis partagé(e) / sans préférence marquée</t>
        </is>
      </c>
      <c r="O45" s="4" t="inlineStr">
        <is>
          <t>Cela m’attire</t>
        </is>
      </c>
      <c r="P45" s="4" t="inlineStr">
        <is>
          <t>Cela m’attire beaucoup</t>
        </is>
      </c>
      <c r="Q45" s="4" t="n">
        <v>1</v>
      </c>
      <c r="R45" s="4" t="n">
        <v>2</v>
      </c>
      <c r="S45" s="4" t="n">
        <v>3</v>
      </c>
      <c r="T45" s="4" t="n">
        <v>4</v>
      </c>
      <c r="U45" s="4" t="n">
        <v>5</v>
      </c>
      <c r="V45" s="6" t="inlineStr">
        <is>
          <t>La formulation cible l’intérêt pour créer, concevoir ou exprimer avec ouverture. Elle mobilise un comportement caractéristique de la dimension A (Artistique) sans demander un niveau de compétence préalable.</t>
        </is>
      </c>
      <c r="W45" s="6" t="inlineStr">
        <is>
          <t>L’item relève de A1 — Imaginer / inventer : Génération d’idées, concepts, scénarios ou formes nouvelles.</t>
        </is>
      </c>
      <c r="X45" s="6" t="inlineStr">
        <is>
          <t>Revue méthodologique V0.3 : surveiller compréhension du vocabulaire au pilote.</t>
        </is>
      </c>
      <c r="Y45" s="6" t="inlineStr">
        <is>
          <t>FAIBLE</t>
        </is>
      </c>
      <c r="Z45" s="6" t="inlineStr">
        <is>
          <t>FAIBLE</t>
        </is>
      </c>
      <c r="AA45" s="6" t="inlineStr">
        <is>
          <t>FAIBLE</t>
        </is>
      </c>
      <c r="AB45" s="6" t="inlineStr">
        <is>
          <t>FAIBLE</t>
        </is>
      </c>
      <c r="AC45" s="6" t="inlineStr">
        <is>
          <t>MOYEN</t>
        </is>
      </c>
      <c r="AD45" s="6" t="inlineStr">
        <is>
          <t>FAIBLE</t>
        </is>
      </c>
      <c r="AE45" s="6" t="inlineStr">
        <is>
          <t>FAIBLE</t>
        </is>
      </c>
      <c r="AF45" s="6" t="inlineStr">
        <is>
          <t>FAIBLE</t>
        </is>
      </c>
      <c r="AG45" s="6" t="inlineStr">
        <is>
          <t>FAIBLE</t>
        </is>
      </c>
      <c r="AH45" s="6" t="inlineStr">
        <is>
          <t>FAIBLE</t>
        </is>
      </c>
      <c r="AI45" s="6" t="inlineStr">
        <is>
          <t>FAIBLE</t>
        </is>
      </c>
      <c r="AJ45" s="4" t="n">
        <v>0</v>
      </c>
      <c r="AK45" s="4" t="n"/>
      <c r="AL45" s="6" t="inlineStr">
        <is>
          <t>RETENU_V0.5_REECRIT_CONCRET</t>
        </is>
      </c>
      <c r="AM45" s="6" t="n"/>
      <c r="AN45" s="4" t="inlineStr">
        <is>
          <t>PIP-BANK-0.3</t>
        </is>
      </c>
      <c r="AO45" s="6" t="inlineStr">
        <is>
          <t>PIP-BANK-0.4</t>
        </is>
      </c>
      <c r="AP45" s="8">
        <f>IF(OR(C45="PILOTE",C45="ACTIF"),IF(AND(A45&lt;&gt;"",H45&lt;&gt;"",I45&lt;&gt;"",K45&lt;&gt;"",V45&lt;&gt;"",W45&lt;&gt;""),"OK","A_COMPLETER"),"OK_STRUCTURE")</f>
        <v/>
      </c>
    </row>
    <row r="46" ht="72" customHeight="1" s="34">
      <c r="A46" s="4" t="inlineStr">
        <is>
          <t>PIP-ACT-A-A1-002</t>
        </is>
      </c>
      <c r="B46" s="4" t="inlineStr">
        <is>
          <t>0.2</t>
        </is>
      </c>
      <c r="C46" s="4" t="inlineStr">
        <is>
          <t>PILOTE</t>
        </is>
      </c>
      <c r="D46" s="4" t="inlineStr">
        <is>
          <t>08/09/2026</t>
        </is>
      </c>
      <c r="E46" s="4" t="inlineStr">
        <is>
          <t>08/09/2026</t>
        </is>
      </c>
      <c r="F46" s="4" t="inlineStr">
        <is>
          <t>ACT</t>
        </is>
      </c>
      <c r="G46" s="4" t="inlineStr">
        <is>
          <t>Verbe d’action + objet/contexte</t>
        </is>
      </c>
      <c r="H46" s="4" t="inlineStr">
        <is>
          <t>A</t>
        </is>
      </c>
      <c r="I46" s="4" t="inlineStr">
        <is>
          <t>A1</t>
        </is>
      </c>
      <c r="J46" s="6" t="inlineStr">
        <is>
          <t>I,E</t>
        </is>
      </c>
      <c r="K46" s="6" t="inlineStr">
        <is>
          <t>Inventer une manière originale de présenter ou de réaliser quelque chose.</t>
        </is>
      </c>
      <c r="L46" s="4" t="inlineStr">
        <is>
          <t>Cela ne m’attire pas du tout</t>
        </is>
      </c>
      <c r="M46" s="4" t="inlineStr">
        <is>
          <t>Cela m’attire peu</t>
        </is>
      </c>
      <c r="N46" s="4" t="inlineStr">
        <is>
          <t>Je suis partagé(e) / sans préférence marquée</t>
        </is>
      </c>
      <c r="O46" s="4" t="inlineStr">
        <is>
          <t>Cela m’attire</t>
        </is>
      </c>
      <c r="P46" s="4" t="inlineStr">
        <is>
          <t>Cela m’attire beaucoup</t>
        </is>
      </c>
      <c r="Q46" s="4" t="n">
        <v>1</v>
      </c>
      <c r="R46" s="4" t="n">
        <v>2</v>
      </c>
      <c r="S46" s="4" t="n">
        <v>3</v>
      </c>
      <c r="T46" s="4" t="n">
        <v>4</v>
      </c>
      <c r="U46" s="4" t="n">
        <v>5</v>
      </c>
      <c r="V46" s="6" t="inlineStr">
        <is>
          <t>La formulation cible l’intérêt pour créer, concevoir ou exprimer avec ouverture. Elle mobilise un comportement caractéristique de la dimension A (Artistique) sans demander un niveau de compétence préalable.</t>
        </is>
      </c>
      <c r="W46" s="6" t="inlineStr">
        <is>
          <t>L’item relève de A1 — Imaginer / inventer : Génération d’idées, concepts, scénarios ou formes nouvelles.</t>
        </is>
      </c>
      <c r="X46" s="6" t="inlineStr">
        <is>
          <t>Revue méthodologique V0.3 : surveiller compréhension du vocabulaire au pilote.</t>
        </is>
      </c>
      <c r="Y46" s="6" t="inlineStr">
        <is>
          <t>FAIBLE</t>
        </is>
      </c>
      <c r="Z46" s="6" t="inlineStr">
        <is>
          <t>FAIBLE</t>
        </is>
      </c>
      <c r="AA46" s="6" t="inlineStr">
        <is>
          <t>FAIBLE</t>
        </is>
      </c>
      <c r="AB46" s="6" t="inlineStr">
        <is>
          <t>FAIBLE</t>
        </is>
      </c>
      <c r="AC46" s="6" t="inlineStr">
        <is>
          <t>MOYEN</t>
        </is>
      </c>
      <c r="AD46" s="6" t="inlineStr">
        <is>
          <t>FAIBLE</t>
        </is>
      </c>
      <c r="AE46" s="6" t="inlineStr">
        <is>
          <t>FAIBLE</t>
        </is>
      </c>
      <c r="AF46" s="6" t="inlineStr">
        <is>
          <t>FAIBLE</t>
        </is>
      </c>
      <c r="AG46" s="6" t="inlineStr">
        <is>
          <t>FAIBLE</t>
        </is>
      </c>
      <c r="AH46" s="6" t="inlineStr">
        <is>
          <t>FAIBLE</t>
        </is>
      </c>
      <c r="AI46" s="6" t="inlineStr">
        <is>
          <t>FAIBLE</t>
        </is>
      </c>
      <c r="AJ46" s="4" t="n">
        <v>0</v>
      </c>
      <c r="AK46" s="4" t="n"/>
      <c r="AL46" s="6" t="inlineStr">
        <is>
          <t>RETENU_V0.5_REECRIT_CONCRET</t>
        </is>
      </c>
      <c r="AM46" s="6" t="n"/>
      <c r="AN46" s="4" t="inlineStr">
        <is>
          <t>PIP-BANK-0.3</t>
        </is>
      </c>
      <c r="AO46" s="6" t="inlineStr">
        <is>
          <t>PIP-BANK-0.4</t>
        </is>
      </c>
      <c r="AP46" s="8">
        <f>IF(OR(C46="PILOTE",C46="ACTIF"),IF(AND(A46&lt;&gt;"",H46&lt;&gt;"",I46&lt;&gt;"",K46&lt;&gt;"",V46&lt;&gt;"",W46&lt;&gt;""),"OK","A_COMPLETER"),"OK_STRUCTURE")</f>
        <v/>
      </c>
    </row>
    <row r="47" ht="72" customHeight="1" s="34">
      <c r="A47" s="4" t="inlineStr">
        <is>
          <t>PIP-SIT-A-A1-003</t>
        </is>
      </c>
      <c r="B47" s="4" t="inlineStr">
        <is>
          <t>0.2</t>
        </is>
      </c>
      <c r="C47" s="4" t="inlineStr">
        <is>
          <t>PILOTE</t>
        </is>
      </c>
      <c r="D47" s="4" t="inlineStr">
        <is>
          <t>08/09/2026</t>
        </is>
      </c>
      <c r="E47" s="4" t="inlineStr">
        <is>
          <t>08/09/2026</t>
        </is>
      </c>
      <c r="F47" s="4" t="inlineStr">
        <is>
          <t>SIT</t>
        </is>
      </c>
      <c r="G47" s="4" t="inlineStr">
        <is>
          <t>Situation courte avec enjeu central</t>
        </is>
      </c>
      <c r="H47" s="4" t="inlineStr">
        <is>
          <t>A</t>
        </is>
      </c>
      <c r="I47" s="4" t="inlineStr">
        <is>
          <t>A1</t>
        </is>
      </c>
      <c r="J47" s="6" t="inlineStr">
        <is>
          <t>I,E</t>
        </is>
      </c>
      <c r="K47" s="6" t="inlineStr">
        <is>
          <t>Faire face à une demande pour laquelle aucune solution n’est imposée et imaginer une proposition nouvelle.</t>
        </is>
      </c>
      <c r="L47" s="4" t="inlineStr">
        <is>
          <t>Cela ne m’attire pas du tout</t>
        </is>
      </c>
      <c r="M47" s="4" t="inlineStr">
        <is>
          <t>Cela m’attire peu</t>
        </is>
      </c>
      <c r="N47" s="4" t="inlineStr">
        <is>
          <t>Je suis partagé(e) / sans préférence marquée</t>
        </is>
      </c>
      <c r="O47" s="4" t="inlineStr">
        <is>
          <t>Cela m’attire</t>
        </is>
      </c>
      <c r="P47" s="4" t="inlineStr">
        <is>
          <t>Cela m’attire beaucoup</t>
        </is>
      </c>
      <c r="Q47" s="4" t="n">
        <v>1</v>
      </c>
      <c r="R47" s="4" t="n">
        <v>2</v>
      </c>
      <c r="S47" s="4" t="n">
        <v>3</v>
      </c>
      <c r="T47" s="4" t="n">
        <v>4</v>
      </c>
      <c r="U47" s="4" t="n">
        <v>5</v>
      </c>
      <c r="V47" s="6" t="inlineStr">
        <is>
          <t>La formulation cible l’intérêt pour créer, concevoir ou exprimer avec ouverture. Elle mobilise un comportement caractéristique de la dimension A (Artistique) sans demander un niveau de compétence préalable.</t>
        </is>
      </c>
      <c r="W47" s="6" t="inlineStr">
        <is>
          <t>L’item relève de A1 — Imaginer / inventer : Génération d’idées, concepts, scénarios ou formes nouvelles.</t>
        </is>
      </c>
      <c r="X47" s="6" t="inlineStr">
        <is>
          <t>Revue méthodologique V0.3 : surveiller compréhension du vocabulaire au pilote.</t>
        </is>
      </c>
      <c r="Y47" s="6" t="inlineStr">
        <is>
          <t>FAIBLE</t>
        </is>
      </c>
      <c r="Z47" s="6" t="inlineStr">
        <is>
          <t>FAIBLE</t>
        </is>
      </c>
      <c r="AA47" s="6" t="inlineStr">
        <is>
          <t>FAIBLE</t>
        </is>
      </c>
      <c r="AB47" s="6" t="inlineStr">
        <is>
          <t>FAIBLE</t>
        </is>
      </c>
      <c r="AC47" s="6" t="inlineStr">
        <is>
          <t>MOYEN</t>
        </is>
      </c>
      <c r="AD47" s="6" t="inlineStr">
        <is>
          <t>FAIBLE</t>
        </is>
      </c>
      <c r="AE47" s="6" t="inlineStr">
        <is>
          <t>FAIBLE</t>
        </is>
      </c>
      <c r="AF47" s="6" t="inlineStr">
        <is>
          <t>FAIBLE</t>
        </is>
      </c>
      <c r="AG47" s="6" t="inlineStr">
        <is>
          <t>FAIBLE</t>
        </is>
      </c>
      <c r="AH47" s="6" t="inlineStr">
        <is>
          <t>FAIBLE</t>
        </is>
      </c>
      <c r="AI47" s="6" t="inlineStr">
        <is>
          <t>FAIBLE</t>
        </is>
      </c>
      <c r="AJ47" s="4" t="n">
        <v>0</v>
      </c>
      <c r="AK47" s="4" t="n"/>
      <c r="AL47" s="6" t="inlineStr">
        <is>
          <t>RETENU_V0.5_REECRIT_CONCRET</t>
        </is>
      </c>
      <c r="AM47" s="6" t="n"/>
      <c r="AN47" s="4" t="inlineStr">
        <is>
          <t>PIP-BANK-0.3</t>
        </is>
      </c>
      <c r="AO47" s="6" t="inlineStr">
        <is>
          <t>PIP-BANK-0.4</t>
        </is>
      </c>
      <c r="AP47" s="8">
        <f>IF(OR(C47="PILOTE",C47="ACTIF"),IF(AND(A47&lt;&gt;"",H47&lt;&gt;"",I47&lt;&gt;"",K47&lt;&gt;"",V47&lt;&gt;"",W47&lt;&gt;""),"OK","A_COMPLETER"),"OK_STRUCTURE")</f>
        <v/>
      </c>
    </row>
    <row r="48" ht="72" customHeight="1" s="34">
      <c r="A48" s="4" t="inlineStr">
        <is>
          <t>PIP-ENV-A-A1-004</t>
        </is>
      </c>
      <c r="B48" s="4" t="inlineStr">
        <is>
          <t>0.2</t>
        </is>
      </c>
      <c r="C48" s="4" t="inlineStr">
        <is>
          <t>PILOTE</t>
        </is>
      </c>
      <c r="D48" s="4" t="inlineStr">
        <is>
          <t>08/09/2026</t>
        </is>
      </c>
      <c r="E48" s="4" t="inlineStr">
        <is>
          <t>08/09/2026</t>
        </is>
      </c>
      <c r="F48" s="4" t="inlineStr">
        <is>
          <t>ENV</t>
        </is>
      </c>
      <c r="G48" s="4" t="inlineStr">
        <is>
          <t>Contexte décrit par ce qu’il permet de faire</t>
        </is>
      </c>
      <c r="H48" s="4" t="inlineStr">
        <is>
          <t>A</t>
        </is>
      </c>
      <c r="I48" s="4" t="inlineStr">
        <is>
          <t>A1</t>
        </is>
      </c>
      <c r="J48" s="6" t="inlineStr">
        <is>
          <t>I,E</t>
        </is>
      </c>
      <c r="K48" s="6" t="inlineStr">
        <is>
          <t>Travailler dans un contexte où l’on attend régulièrement des idées nouvelles et où plusieurs pistes sont possibles.</t>
        </is>
      </c>
      <c r="L48" s="4" t="inlineStr">
        <is>
          <t>Cela ne m’attire pas du tout</t>
        </is>
      </c>
      <c r="M48" s="4" t="inlineStr">
        <is>
          <t>Cela m’attire peu</t>
        </is>
      </c>
      <c r="N48" s="4" t="inlineStr">
        <is>
          <t>Je suis partagé(e) / sans préférence marquée</t>
        </is>
      </c>
      <c r="O48" s="4" t="inlineStr">
        <is>
          <t>Cela m’attire</t>
        </is>
      </c>
      <c r="P48" s="4" t="inlineStr">
        <is>
          <t>Cela m’attire beaucoup</t>
        </is>
      </c>
      <c r="Q48" s="4" t="n">
        <v>1</v>
      </c>
      <c r="R48" s="4" t="n">
        <v>2</v>
      </c>
      <c r="S48" s="4" t="n">
        <v>3</v>
      </c>
      <c r="T48" s="4" t="n">
        <v>4</v>
      </c>
      <c r="U48" s="4" t="n">
        <v>5</v>
      </c>
      <c r="V48" s="6" t="inlineStr">
        <is>
          <t>La formulation cible l’intérêt pour créer, concevoir ou exprimer avec ouverture. Elle mobilise un comportement caractéristique de la dimension A (Artistique) sans demander un niveau de compétence préalable.</t>
        </is>
      </c>
      <c r="W48" s="6" t="inlineStr">
        <is>
          <t>L’item relève de A1 — Imaginer / inventer : Génération d’idées, concepts, scénarios ou formes nouvelles.</t>
        </is>
      </c>
      <c r="X48" s="6" t="inlineStr">
        <is>
          <t>Revue méthodologique V0.3 : surveiller compréhension du vocabulaire au pilote.</t>
        </is>
      </c>
      <c r="Y48" s="6" t="inlineStr">
        <is>
          <t>FAIBLE</t>
        </is>
      </c>
      <c r="Z48" s="6" t="inlineStr">
        <is>
          <t>FAIBLE</t>
        </is>
      </c>
      <c r="AA48" s="6" t="inlineStr">
        <is>
          <t>FAIBLE</t>
        </is>
      </c>
      <c r="AB48" s="6" t="inlineStr">
        <is>
          <t>FAIBLE</t>
        </is>
      </c>
      <c r="AC48" s="6" t="inlineStr">
        <is>
          <t>MOYEN</t>
        </is>
      </c>
      <c r="AD48" s="6" t="inlineStr">
        <is>
          <t>FAIBLE</t>
        </is>
      </c>
      <c r="AE48" s="6" t="inlineStr">
        <is>
          <t>FAIBLE</t>
        </is>
      </c>
      <c r="AF48" s="6" t="inlineStr">
        <is>
          <t>FAIBLE</t>
        </is>
      </c>
      <c r="AG48" s="6" t="inlineStr">
        <is>
          <t>FAIBLE</t>
        </is>
      </c>
      <c r="AH48" s="6" t="inlineStr">
        <is>
          <t>FAIBLE</t>
        </is>
      </c>
      <c r="AI48" s="6" t="inlineStr">
        <is>
          <t>FAIBLE</t>
        </is>
      </c>
      <c r="AJ48" s="4" t="n">
        <v>0</v>
      </c>
      <c r="AK48" s="4" t="n"/>
      <c r="AL48" s="6" t="inlineStr">
        <is>
          <t>RETIRE_BANQUE72_HISTORIQUE_CONSERVE</t>
        </is>
      </c>
      <c r="AM48" s="6" t="inlineStr">
        <is>
          <t>Réduction méthodologique 120→72 : doublon de facette / priorité aux activités professionnelles observables et aux items à plus faible risque.</t>
        </is>
      </c>
      <c r="AN48" s="4" t="inlineStr">
        <is>
          <t>PIP-BANK-0.3</t>
        </is>
      </c>
      <c r="AO48" s="6" t="inlineStr">
        <is>
          <t>PIP-BANK-0.3</t>
        </is>
      </c>
      <c r="AP48" s="8">
        <f>IF(OR(C48="PILOTE",C48="ACTIF"),IF(AND(A48&lt;&gt;"",H48&lt;&gt;"",I48&lt;&gt;"",K48&lt;&gt;"",V48&lt;&gt;"",W48&lt;&gt;""),"OK","A_COMPLETER"),"OK_STRUCTURE")</f>
        <v/>
      </c>
    </row>
    <row r="49" ht="72" customHeight="1" s="34">
      <c r="A49" s="4" t="inlineStr">
        <is>
          <t>PIP-ACT-A-A2-005</t>
        </is>
      </c>
      <c r="B49" s="4" t="inlineStr">
        <is>
          <t>0.2</t>
        </is>
      </c>
      <c r="C49" s="4" t="inlineStr">
        <is>
          <t>PILOTE</t>
        </is>
      </c>
      <c r="D49" s="4" t="inlineStr">
        <is>
          <t>08/09/2026</t>
        </is>
      </c>
      <c r="E49" s="4" t="inlineStr">
        <is>
          <t>08/09/2026</t>
        </is>
      </c>
      <c r="F49" s="4" t="inlineStr">
        <is>
          <t>ACT</t>
        </is>
      </c>
      <c r="G49" s="4" t="inlineStr">
        <is>
          <t>Verbe d’action + objet/contexte</t>
        </is>
      </c>
      <c r="H49" s="4" t="inlineStr">
        <is>
          <t>A</t>
        </is>
      </c>
      <c r="I49" s="4" t="inlineStr">
        <is>
          <t>A2</t>
        </is>
      </c>
      <c r="J49" s="6" t="inlineStr">
        <is>
          <t>R</t>
        </is>
      </c>
      <c r="K49" s="6" t="inlineStr">
        <is>
          <t>Concevoir l’organisation visuelle ou la forme d’un support pour qu’il exprime une intention.</t>
        </is>
      </c>
      <c r="L49" s="4" t="inlineStr">
        <is>
          <t>Cela ne m’attire pas du tout</t>
        </is>
      </c>
      <c r="M49" s="4" t="inlineStr">
        <is>
          <t>Cela m’attire peu</t>
        </is>
      </c>
      <c r="N49" s="4" t="inlineStr">
        <is>
          <t>Je suis partagé(e) / sans préférence marquée</t>
        </is>
      </c>
      <c r="O49" s="4" t="inlineStr">
        <is>
          <t>Cela m’attire</t>
        </is>
      </c>
      <c r="P49" s="4" t="inlineStr">
        <is>
          <t>Cela m’attire beaucoup</t>
        </is>
      </c>
      <c r="Q49" s="4" t="n">
        <v>1</v>
      </c>
      <c r="R49" s="4" t="n">
        <v>2</v>
      </c>
      <c r="S49" s="4" t="n">
        <v>3</v>
      </c>
      <c r="T49" s="4" t="n">
        <v>4</v>
      </c>
      <c r="U49" s="4" t="n">
        <v>5</v>
      </c>
      <c r="V49" s="6" t="inlineStr">
        <is>
          <t>La formulation cible l’intérêt pour créer, concevoir ou exprimer avec ouverture. Elle mobilise un comportement caractéristique de la dimension A (Artistique) sans demander un niveau de compétence préalable.</t>
        </is>
      </c>
      <c r="W49" s="6" t="inlineStr">
        <is>
          <t>L’item relève de A2 — Concevoir / composer : Organisation créative d’éléments afin de produire une forme cohérente et personnelle.</t>
        </is>
      </c>
      <c r="X49" s="6" t="inlineStr">
        <is>
          <t>Revue méthodologique V0.3 : surveiller compréhension du vocabulaire, frontière avec R au pilote.</t>
        </is>
      </c>
      <c r="Y49" s="6" t="inlineStr">
        <is>
          <t>FAIBLE</t>
        </is>
      </c>
      <c r="Z49" s="6" t="inlineStr">
        <is>
          <t>FAIBLE</t>
        </is>
      </c>
      <c r="AA49" s="6" t="inlineStr">
        <is>
          <t>FAIBLE</t>
        </is>
      </c>
      <c r="AB49" s="6" t="inlineStr">
        <is>
          <t>FAIBLE</t>
        </is>
      </c>
      <c r="AC49" s="6" t="inlineStr">
        <is>
          <t>MOYEN</t>
        </is>
      </c>
      <c r="AD49" s="6" t="inlineStr">
        <is>
          <t>FAIBLE</t>
        </is>
      </c>
      <c r="AE49" s="6" t="inlineStr">
        <is>
          <t>FAIBLE</t>
        </is>
      </c>
      <c r="AF49" s="6" t="inlineStr">
        <is>
          <t>FAIBLE</t>
        </is>
      </c>
      <c r="AG49" s="6" t="inlineStr">
        <is>
          <t>FAIBLE</t>
        </is>
      </c>
      <c r="AH49" s="6" t="inlineStr">
        <is>
          <t>FAIBLE</t>
        </is>
      </c>
      <c r="AI49" s="6" t="inlineStr">
        <is>
          <t>MOYEN</t>
        </is>
      </c>
      <c r="AJ49" s="4" t="n">
        <v>0</v>
      </c>
      <c r="AK49" s="4" t="n"/>
      <c r="AL49" s="6" t="inlineStr">
        <is>
          <t>RETENU_V0.5_REECRIT_CONCRET</t>
        </is>
      </c>
      <c r="AM49" s="6" t="n"/>
      <c r="AN49" s="4" t="inlineStr">
        <is>
          <t>PIP-BANK-0.3</t>
        </is>
      </c>
      <c r="AO49" s="6" t="inlineStr">
        <is>
          <t>PIP-BANK-0.4</t>
        </is>
      </c>
      <c r="AP49" s="8">
        <f>IF(OR(C49="PILOTE",C49="ACTIF"),IF(AND(A49&lt;&gt;"",H49&lt;&gt;"",I49&lt;&gt;"",K49&lt;&gt;"",V49&lt;&gt;"",W49&lt;&gt;""),"OK","A_COMPLETER"),"OK_STRUCTURE")</f>
        <v/>
      </c>
    </row>
    <row r="50" ht="72" customHeight="1" s="34">
      <c r="A50" s="4" t="inlineStr">
        <is>
          <t>PIP-ACT-A-A2-006</t>
        </is>
      </c>
      <c r="B50" s="4" t="inlineStr">
        <is>
          <t>0.2</t>
        </is>
      </c>
      <c r="C50" s="4" t="inlineStr">
        <is>
          <t>PILOTE</t>
        </is>
      </c>
      <c r="D50" s="4" t="inlineStr">
        <is>
          <t>08/09/2026</t>
        </is>
      </c>
      <c r="E50" s="4" t="inlineStr">
        <is>
          <t>08/09/2026</t>
        </is>
      </c>
      <c r="F50" s="4" t="inlineStr">
        <is>
          <t>ACT</t>
        </is>
      </c>
      <c r="G50" s="4" t="inlineStr">
        <is>
          <t>Verbe d’action + objet/contexte</t>
        </is>
      </c>
      <c r="H50" s="4" t="inlineStr">
        <is>
          <t>A</t>
        </is>
      </c>
      <c r="I50" s="4" t="inlineStr">
        <is>
          <t>A2</t>
        </is>
      </c>
      <c r="J50" s="6" t="inlineStr">
        <is>
          <t>R</t>
        </is>
      </c>
      <c r="K50" s="6" t="inlineStr">
        <is>
          <t>Composer différents éléments pour créer un ensemble cohérent et personnel.</t>
        </is>
      </c>
      <c r="L50" s="4" t="inlineStr">
        <is>
          <t>Cela ne m’attire pas du tout</t>
        </is>
      </c>
      <c r="M50" s="4" t="inlineStr">
        <is>
          <t>Cela m’attire peu</t>
        </is>
      </c>
      <c r="N50" s="4" t="inlineStr">
        <is>
          <t>Je suis partagé(e) / sans préférence marquée</t>
        </is>
      </c>
      <c r="O50" s="4" t="inlineStr">
        <is>
          <t>Cela m’attire</t>
        </is>
      </c>
      <c r="P50" s="4" t="inlineStr">
        <is>
          <t>Cela m’attire beaucoup</t>
        </is>
      </c>
      <c r="Q50" s="4" t="n">
        <v>1</v>
      </c>
      <c r="R50" s="4" t="n">
        <v>2</v>
      </c>
      <c r="S50" s="4" t="n">
        <v>3</v>
      </c>
      <c r="T50" s="4" t="n">
        <v>4</v>
      </c>
      <c r="U50" s="4" t="n">
        <v>5</v>
      </c>
      <c r="V50" s="6" t="inlineStr">
        <is>
          <t>La formulation cible l’intérêt pour créer, concevoir ou exprimer avec ouverture. Elle mobilise un comportement caractéristique de la dimension A (Artistique) sans demander un niveau de compétence préalable.</t>
        </is>
      </c>
      <c r="W50" s="6" t="inlineStr">
        <is>
          <t>L’item relève de A2 — Concevoir / composer : Organisation créative d’éléments afin de produire une forme cohérente et personnelle.</t>
        </is>
      </c>
      <c r="X50" s="6" t="inlineStr">
        <is>
          <t>Revue méthodologique V0.3 : surveiller compréhension du vocabulaire au pilote.</t>
        </is>
      </c>
      <c r="Y50" s="6" t="inlineStr">
        <is>
          <t>FAIBLE</t>
        </is>
      </c>
      <c r="Z50" s="6" t="inlineStr">
        <is>
          <t>FAIBLE</t>
        </is>
      </c>
      <c r="AA50" s="6" t="inlineStr">
        <is>
          <t>FAIBLE</t>
        </is>
      </c>
      <c r="AB50" s="6" t="inlineStr">
        <is>
          <t>FAIBLE</t>
        </is>
      </c>
      <c r="AC50" s="6" t="inlineStr">
        <is>
          <t>MOYEN</t>
        </is>
      </c>
      <c r="AD50" s="6" t="inlineStr">
        <is>
          <t>FAIBLE</t>
        </is>
      </c>
      <c r="AE50" s="6" t="inlineStr">
        <is>
          <t>FAIBLE</t>
        </is>
      </c>
      <c r="AF50" s="6" t="inlineStr">
        <is>
          <t>FAIBLE</t>
        </is>
      </c>
      <c r="AG50" s="6" t="inlineStr">
        <is>
          <t>FAIBLE</t>
        </is>
      </c>
      <c r="AH50" s="6" t="inlineStr">
        <is>
          <t>FAIBLE</t>
        </is>
      </c>
      <c r="AI50" s="6" t="inlineStr">
        <is>
          <t>FAIBLE</t>
        </is>
      </c>
      <c r="AJ50" s="4" t="n">
        <v>0</v>
      </c>
      <c r="AK50" s="4" t="n"/>
      <c r="AL50" s="6" t="inlineStr">
        <is>
          <t>RETENU_V0.5_REECRIT_CONCRET</t>
        </is>
      </c>
      <c r="AM50" s="6" t="n"/>
      <c r="AN50" s="4" t="inlineStr">
        <is>
          <t>PIP-BANK-0.3</t>
        </is>
      </c>
      <c r="AO50" s="6" t="inlineStr">
        <is>
          <t>PIP-BANK-0.4</t>
        </is>
      </c>
      <c r="AP50" s="8">
        <f>IF(OR(C50="PILOTE",C50="ACTIF"),IF(AND(A50&lt;&gt;"",H50&lt;&gt;"",I50&lt;&gt;"",K50&lt;&gt;"",V50&lt;&gt;"",W50&lt;&gt;""),"OK","A_COMPLETER"),"OK_STRUCTURE")</f>
        <v/>
      </c>
    </row>
    <row r="51" ht="72" customHeight="1" s="34">
      <c r="A51" s="4" t="inlineStr">
        <is>
          <t>PIP-SIT-A-A2-007</t>
        </is>
      </c>
      <c r="B51" s="4" t="inlineStr">
        <is>
          <t>0.2</t>
        </is>
      </c>
      <c r="C51" s="4" t="inlineStr">
        <is>
          <t>PILOTE</t>
        </is>
      </c>
      <c r="D51" s="4" t="inlineStr">
        <is>
          <t>08/09/2026</t>
        </is>
      </c>
      <c r="E51" s="4" t="inlineStr">
        <is>
          <t>08/09/2026</t>
        </is>
      </c>
      <c r="F51" s="4" t="inlineStr">
        <is>
          <t>SIT</t>
        </is>
      </c>
      <c r="G51" s="4" t="inlineStr">
        <is>
          <t>Situation courte avec enjeu central</t>
        </is>
      </c>
      <c r="H51" s="4" t="inlineStr">
        <is>
          <t>A</t>
        </is>
      </c>
      <c r="I51" s="4" t="inlineStr">
        <is>
          <t>A2</t>
        </is>
      </c>
      <c r="J51" s="6" t="inlineStr">
        <is>
          <t>R</t>
        </is>
      </c>
      <c r="K51" s="6" t="inlineStr">
        <is>
          <t>Créer une proposition en choisissant librement la manière d’agencer plusieurs éléments.</t>
        </is>
      </c>
      <c r="L51" s="4" t="inlineStr">
        <is>
          <t>Cela ne m’attire pas du tout</t>
        </is>
      </c>
      <c r="M51" s="4" t="inlineStr">
        <is>
          <t>Cela m’attire peu</t>
        </is>
      </c>
      <c r="N51" s="4" t="inlineStr">
        <is>
          <t>Je suis partagé(e) / sans préférence marquée</t>
        </is>
      </c>
      <c r="O51" s="4" t="inlineStr">
        <is>
          <t>Cela m’attire</t>
        </is>
      </c>
      <c r="P51" s="4" t="inlineStr">
        <is>
          <t>Cela m’attire beaucoup</t>
        </is>
      </c>
      <c r="Q51" s="4" t="n">
        <v>1</v>
      </c>
      <c r="R51" s="4" t="n">
        <v>2</v>
      </c>
      <c r="S51" s="4" t="n">
        <v>3</v>
      </c>
      <c r="T51" s="4" t="n">
        <v>4</v>
      </c>
      <c r="U51" s="4" t="n">
        <v>5</v>
      </c>
      <c r="V51" s="6" t="inlineStr">
        <is>
          <t>La formulation cible l’intérêt pour créer, concevoir ou exprimer avec ouverture. Elle mobilise un comportement caractéristique de la dimension A (Artistique) sans demander un niveau de compétence préalable.</t>
        </is>
      </c>
      <c r="W51" s="6" t="inlineStr">
        <is>
          <t>L’item relève de A2 — Concevoir / composer : Organisation créative d’éléments afin de produire une forme cohérente et personnelle.</t>
        </is>
      </c>
      <c r="X51" s="6" t="inlineStr">
        <is>
          <t>Revue méthodologique V0.3 : surveiller compréhension du vocabulaire au pilote.</t>
        </is>
      </c>
      <c r="Y51" s="6" t="inlineStr">
        <is>
          <t>FAIBLE</t>
        </is>
      </c>
      <c r="Z51" s="6" t="inlineStr">
        <is>
          <t>FAIBLE</t>
        </is>
      </c>
      <c r="AA51" s="6" t="inlineStr">
        <is>
          <t>FAIBLE</t>
        </is>
      </c>
      <c r="AB51" s="6" t="inlineStr">
        <is>
          <t>FAIBLE</t>
        </is>
      </c>
      <c r="AC51" s="6" t="inlineStr">
        <is>
          <t>MOYEN</t>
        </is>
      </c>
      <c r="AD51" s="6" t="inlineStr">
        <is>
          <t>FAIBLE</t>
        </is>
      </c>
      <c r="AE51" s="6" t="inlineStr">
        <is>
          <t>FAIBLE</t>
        </is>
      </c>
      <c r="AF51" s="6" t="inlineStr">
        <is>
          <t>FAIBLE</t>
        </is>
      </c>
      <c r="AG51" s="6" t="inlineStr">
        <is>
          <t>FAIBLE</t>
        </is>
      </c>
      <c r="AH51" s="6" t="inlineStr">
        <is>
          <t>FAIBLE</t>
        </is>
      </c>
      <c r="AI51" s="6" t="inlineStr">
        <is>
          <t>FAIBLE</t>
        </is>
      </c>
      <c r="AJ51" s="4" t="n">
        <v>0</v>
      </c>
      <c r="AK51" s="4" t="n"/>
      <c r="AL51" s="6" t="inlineStr">
        <is>
          <t>RETENU_V0.5_REECRIT_CONCRET</t>
        </is>
      </c>
      <c r="AM51" s="6" t="n"/>
      <c r="AN51" s="4" t="inlineStr">
        <is>
          <t>PIP-BANK-0.3</t>
        </is>
      </c>
      <c r="AO51" s="6" t="inlineStr">
        <is>
          <t>PIP-BANK-0.4</t>
        </is>
      </c>
      <c r="AP51" s="8">
        <f>IF(OR(C51="PILOTE",C51="ACTIF"),IF(AND(A51&lt;&gt;"",H51&lt;&gt;"",I51&lt;&gt;"",K51&lt;&gt;"",V51&lt;&gt;"",W51&lt;&gt;""),"OK","A_COMPLETER"),"OK_STRUCTURE")</f>
        <v/>
      </c>
    </row>
    <row r="52" ht="72" customHeight="1" s="34">
      <c r="A52" s="4" t="inlineStr">
        <is>
          <t>PIP-ENV-A-A2-008</t>
        </is>
      </c>
      <c r="B52" s="4" t="inlineStr">
        <is>
          <t>0.2</t>
        </is>
      </c>
      <c r="C52" s="4" t="inlineStr">
        <is>
          <t>PILOTE</t>
        </is>
      </c>
      <c r="D52" s="4" t="inlineStr">
        <is>
          <t>08/09/2026</t>
        </is>
      </c>
      <c r="E52" s="4" t="inlineStr">
        <is>
          <t>08/09/2026</t>
        </is>
      </c>
      <c r="F52" s="4" t="inlineStr">
        <is>
          <t>ENV</t>
        </is>
      </c>
      <c r="G52" s="4" t="inlineStr">
        <is>
          <t>Contexte décrit par ce qu’il permet de faire</t>
        </is>
      </c>
      <c r="H52" s="4" t="inlineStr">
        <is>
          <t>A</t>
        </is>
      </c>
      <c r="I52" s="4" t="inlineStr">
        <is>
          <t>A2</t>
        </is>
      </c>
      <c r="J52" s="6" t="inlineStr">
        <is>
          <t>R</t>
        </is>
      </c>
      <c r="K52" s="6" t="inlineStr">
        <is>
          <t>Évoluer dans un contexte où l’on peut concevoir des formes, des contenus ou des expériences avec une réelle liberté de choix.</t>
        </is>
      </c>
      <c r="L52" s="4" t="inlineStr">
        <is>
          <t>Cela ne m’attire pas du tout</t>
        </is>
      </c>
      <c r="M52" s="4" t="inlineStr">
        <is>
          <t>Cela m’attire peu</t>
        </is>
      </c>
      <c r="N52" s="4" t="inlineStr">
        <is>
          <t>Je suis partagé(e) / sans préférence marquée</t>
        </is>
      </c>
      <c r="O52" s="4" t="inlineStr">
        <is>
          <t>Cela m’attire</t>
        </is>
      </c>
      <c r="P52" s="4" t="inlineStr">
        <is>
          <t>Cela m’attire beaucoup</t>
        </is>
      </c>
      <c r="Q52" s="4" t="n">
        <v>1</v>
      </c>
      <c r="R52" s="4" t="n">
        <v>2</v>
      </c>
      <c r="S52" s="4" t="n">
        <v>3</v>
      </c>
      <c r="T52" s="4" t="n">
        <v>4</v>
      </c>
      <c r="U52" s="4" t="n">
        <v>5</v>
      </c>
      <c r="V52" s="6" t="inlineStr">
        <is>
          <t>La formulation cible l’intérêt pour créer, concevoir ou exprimer avec ouverture. Elle mobilise un comportement caractéristique de la dimension A (Artistique) sans demander un niveau de compétence préalable.</t>
        </is>
      </c>
      <c r="W52" s="6" t="inlineStr">
        <is>
          <t>L’item relève de A2 — Concevoir / composer : Organisation créative d’éléments afin de produire une forme cohérente et personnelle.</t>
        </is>
      </c>
      <c r="X52" s="6" t="inlineStr">
        <is>
          <t>Revue méthodologique V0.3 : surveiller compréhension du vocabulaire au pilote.</t>
        </is>
      </c>
      <c r="Y52" s="6" t="inlineStr">
        <is>
          <t>FAIBLE</t>
        </is>
      </c>
      <c r="Z52" s="6" t="inlineStr">
        <is>
          <t>FAIBLE</t>
        </is>
      </c>
      <c r="AA52" s="6" t="inlineStr">
        <is>
          <t>FAIBLE</t>
        </is>
      </c>
      <c r="AB52" s="6" t="inlineStr">
        <is>
          <t>FAIBLE</t>
        </is>
      </c>
      <c r="AC52" s="6" t="inlineStr">
        <is>
          <t>MOYEN</t>
        </is>
      </c>
      <c r="AD52" s="6" t="inlineStr">
        <is>
          <t>FAIBLE</t>
        </is>
      </c>
      <c r="AE52" s="6" t="inlineStr">
        <is>
          <t>FAIBLE</t>
        </is>
      </c>
      <c r="AF52" s="6" t="inlineStr">
        <is>
          <t>FAIBLE</t>
        </is>
      </c>
      <c r="AG52" s="6" t="inlineStr">
        <is>
          <t>FAIBLE</t>
        </is>
      </c>
      <c r="AH52" s="6" t="inlineStr">
        <is>
          <t>FAIBLE</t>
        </is>
      </c>
      <c r="AI52" s="6" t="inlineStr">
        <is>
          <t>FAIBLE</t>
        </is>
      </c>
      <c r="AJ52" s="4" t="n">
        <v>0</v>
      </c>
      <c r="AK52" s="4" t="n"/>
      <c r="AL52" s="6" t="inlineStr">
        <is>
          <t>RETIRE_BANQUE72_HISTORIQUE_CONSERVE</t>
        </is>
      </c>
      <c r="AM52" s="6" t="inlineStr">
        <is>
          <t>Réduction méthodologique 120→72 : doublon de facette / priorité aux activités professionnelles observables et aux items à plus faible risque.</t>
        </is>
      </c>
      <c r="AN52" s="4" t="inlineStr">
        <is>
          <t>PIP-BANK-0.3</t>
        </is>
      </c>
      <c r="AO52" s="6" t="inlineStr">
        <is>
          <t>PIP-BANK-0.3</t>
        </is>
      </c>
      <c r="AP52" s="8">
        <f>IF(OR(C52="PILOTE",C52="ACTIF"),IF(AND(A52&lt;&gt;"",H52&lt;&gt;"",I52&lt;&gt;"",K52&lt;&gt;"",V52&lt;&gt;"",W52&lt;&gt;""),"OK","A_COMPLETER"),"OK_STRUCTURE")</f>
        <v/>
      </c>
    </row>
    <row r="53" ht="72" customHeight="1" s="34">
      <c r="A53" s="4" t="inlineStr">
        <is>
          <t>PIP-ACT-A-A3-009</t>
        </is>
      </c>
      <c r="B53" s="4" t="inlineStr">
        <is>
          <t>0.2</t>
        </is>
      </c>
      <c r="C53" s="4" t="inlineStr">
        <is>
          <t>PILOTE</t>
        </is>
      </c>
      <c r="D53" s="4" t="inlineStr">
        <is>
          <t>08/09/2026</t>
        </is>
      </c>
      <c r="E53" s="4" t="inlineStr">
        <is>
          <t>08/09/2026</t>
        </is>
      </c>
      <c r="F53" s="4" t="inlineStr">
        <is>
          <t>ACT</t>
        </is>
      </c>
      <c r="G53" s="4" t="inlineStr">
        <is>
          <t>Verbe d’action + objet/contexte</t>
        </is>
      </c>
      <c r="H53" s="4" t="inlineStr">
        <is>
          <t>A</t>
        </is>
      </c>
      <c r="I53" s="4" t="inlineStr">
        <is>
          <t>A3</t>
        </is>
      </c>
      <c r="J53" s="6" t="inlineStr">
        <is>
          <t>S,E</t>
        </is>
      </c>
      <c r="K53" s="6" t="inlineStr">
        <is>
          <t>Écrire un texte pour transmettre une idée, une émotion ou un point de vue.</t>
        </is>
      </c>
      <c r="L53" s="4" t="inlineStr">
        <is>
          <t>Cela ne m’attire pas du tout</t>
        </is>
      </c>
      <c r="M53" s="4" t="inlineStr">
        <is>
          <t>Cela m’attire peu</t>
        </is>
      </c>
      <c r="N53" s="4" t="inlineStr">
        <is>
          <t>Je suis partagé(e) / sans préférence marquée</t>
        </is>
      </c>
      <c r="O53" s="4" t="inlineStr">
        <is>
          <t>Cela m’attire</t>
        </is>
      </c>
      <c r="P53" s="4" t="inlineStr">
        <is>
          <t>Cela m’attire beaucoup</t>
        </is>
      </c>
      <c r="Q53" s="4" t="n">
        <v>1</v>
      </c>
      <c r="R53" s="4" t="n">
        <v>2</v>
      </c>
      <c r="S53" s="4" t="n">
        <v>3</v>
      </c>
      <c r="T53" s="4" t="n">
        <v>4</v>
      </c>
      <c r="U53" s="4" t="n">
        <v>5</v>
      </c>
      <c r="V53" s="6" t="inlineStr">
        <is>
          <t>La formulation cible l’intérêt pour créer, concevoir ou exprimer avec ouverture. Elle mobilise un comportement caractéristique de la dimension A (Artistique) sans demander un niveau de compétence préalable.</t>
        </is>
      </c>
      <c r="W53" s="6" t="inlineStr">
        <is>
          <t>L’item relève de A3 — Exprimer / raconter : Transmission d’une idée, émotion, point de vue ou histoire par une forme expressive.</t>
        </is>
      </c>
      <c r="X53" s="6" t="inlineStr">
        <is>
          <t>Revue méthodologique V0.3 : surveiller compréhension du vocabulaire au pilote.</t>
        </is>
      </c>
      <c r="Y53" s="6" t="inlineStr">
        <is>
          <t>FAIBLE</t>
        </is>
      </c>
      <c r="Z53" s="6" t="inlineStr">
        <is>
          <t>FAIBLE</t>
        </is>
      </c>
      <c r="AA53" s="6" t="inlineStr">
        <is>
          <t>FAIBLE</t>
        </is>
      </c>
      <c r="AB53" s="6" t="inlineStr">
        <is>
          <t>FAIBLE</t>
        </is>
      </c>
      <c r="AC53" s="6" t="inlineStr">
        <is>
          <t>MOYEN</t>
        </is>
      </c>
      <c r="AD53" s="6" t="inlineStr">
        <is>
          <t>FAIBLE</t>
        </is>
      </c>
      <c r="AE53" s="6" t="inlineStr">
        <is>
          <t>FAIBLE</t>
        </is>
      </c>
      <c r="AF53" s="6" t="inlineStr">
        <is>
          <t>FAIBLE</t>
        </is>
      </c>
      <c r="AG53" s="6" t="inlineStr">
        <is>
          <t>FAIBLE</t>
        </is>
      </c>
      <c r="AH53" s="6" t="inlineStr">
        <is>
          <t>FAIBLE</t>
        </is>
      </c>
      <c r="AI53" s="6" t="inlineStr">
        <is>
          <t>FAIBLE</t>
        </is>
      </c>
      <c r="AJ53" s="4" t="n">
        <v>0</v>
      </c>
      <c r="AK53" s="4" t="n"/>
      <c r="AL53" s="6" t="inlineStr">
        <is>
          <t>RETENU_V0.5_REECRIT_CONCRET</t>
        </is>
      </c>
      <c r="AM53" s="6" t="n"/>
      <c r="AN53" s="4" t="inlineStr">
        <is>
          <t>PIP-BANK-0.3</t>
        </is>
      </c>
      <c r="AO53" s="6" t="inlineStr">
        <is>
          <t>PIP-BANK-0.4</t>
        </is>
      </c>
      <c r="AP53" s="8">
        <f>IF(OR(C53="PILOTE",C53="ACTIF"),IF(AND(A53&lt;&gt;"",H53&lt;&gt;"",I53&lt;&gt;"",K53&lt;&gt;"",V53&lt;&gt;"",W53&lt;&gt;""),"OK","A_COMPLETER"),"OK_STRUCTURE")</f>
        <v/>
      </c>
    </row>
    <row r="54" ht="72" customHeight="1" s="34">
      <c r="A54" s="4" t="inlineStr">
        <is>
          <t>PIP-ACT-A-A3-010</t>
        </is>
      </c>
      <c r="B54" s="4" t="inlineStr">
        <is>
          <t>0.2</t>
        </is>
      </c>
      <c r="C54" s="4" t="inlineStr">
        <is>
          <t>PILOTE</t>
        </is>
      </c>
      <c r="D54" s="4" t="inlineStr">
        <is>
          <t>08/09/2026</t>
        </is>
      </c>
      <c r="E54" s="4" t="inlineStr">
        <is>
          <t>08/09/2026</t>
        </is>
      </c>
      <c r="F54" s="4" t="inlineStr">
        <is>
          <t>ACT</t>
        </is>
      </c>
      <c r="G54" s="4" t="inlineStr">
        <is>
          <t>Verbe d’action + objet/contexte</t>
        </is>
      </c>
      <c r="H54" s="4" t="inlineStr">
        <is>
          <t>A</t>
        </is>
      </c>
      <c r="I54" s="4" t="inlineStr">
        <is>
          <t>A3</t>
        </is>
      </c>
      <c r="J54" s="6" t="inlineStr">
        <is>
          <t>S,E</t>
        </is>
      </c>
      <c r="K54" s="6" t="inlineStr">
        <is>
          <t>Mettre en récit un sujet pour le rendre vivant et expressif.</t>
        </is>
      </c>
      <c r="L54" s="4" t="inlineStr">
        <is>
          <t>Cela ne m’attire pas du tout</t>
        </is>
      </c>
      <c r="M54" s="4" t="inlineStr">
        <is>
          <t>Cela m’attire peu</t>
        </is>
      </c>
      <c r="N54" s="4" t="inlineStr">
        <is>
          <t>Je suis partagé(e) / sans préférence marquée</t>
        </is>
      </c>
      <c r="O54" s="4" t="inlineStr">
        <is>
          <t>Cela m’attire</t>
        </is>
      </c>
      <c r="P54" s="4" t="inlineStr">
        <is>
          <t>Cela m’attire beaucoup</t>
        </is>
      </c>
      <c r="Q54" s="4" t="n">
        <v>1</v>
      </c>
      <c r="R54" s="4" t="n">
        <v>2</v>
      </c>
      <c r="S54" s="4" t="n">
        <v>3</v>
      </c>
      <c r="T54" s="4" t="n">
        <v>4</v>
      </c>
      <c r="U54" s="4" t="n">
        <v>5</v>
      </c>
      <c r="V54" s="6" t="inlineStr">
        <is>
          <t>La formulation cible l’intérêt pour créer, concevoir ou exprimer avec ouverture. Elle mobilise un comportement caractéristique de la dimension A (Artistique) sans demander un niveau de compétence préalable.</t>
        </is>
      </c>
      <c r="W54" s="6" t="inlineStr">
        <is>
          <t>L’item relève de A3 — Exprimer / raconter : Transmission d’une idée, émotion, point de vue ou histoire par une forme expressive.</t>
        </is>
      </c>
      <c r="X54" s="6" t="inlineStr">
        <is>
          <t>Revue méthodologique V0.3 : surveiller compréhension du vocabulaire au pilote.</t>
        </is>
      </c>
      <c r="Y54" s="6" t="inlineStr">
        <is>
          <t>FAIBLE</t>
        </is>
      </c>
      <c r="Z54" s="6" t="inlineStr">
        <is>
          <t>FAIBLE</t>
        </is>
      </c>
      <c r="AA54" s="6" t="inlineStr">
        <is>
          <t>FAIBLE</t>
        </is>
      </c>
      <c r="AB54" s="6" t="inlineStr">
        <is>
          <t>FAIBLE</t>
        </is>
      </c>
      <c r="AC54" s="6" t="inlineStr">
        <is>
          <t>MOYEN</t>
        </is>
      </c>
      <c r="AD54" s="6" t="inlineStr">
        <is>
          <t>FAIBLE</t>
        </is>
      </c>
      <c r="AE54" s="6" t="inlineStr">
        <is>
          <t>FAIBLE</t>
        </is>
      </c>
      <c r="AF54" s="6" t="inlineStr">
        <is>
          <t>FAIBLE</t>
        </is>
      </c>
      <c r="AG54" s="6" t="inlineStr">
        <is>
          <t>FAIBLE</t>
        </is>
      </c>
      <c r="AH54" s="6" t="inlineStr">
        <is>
          <t>FAIBLE</t>
        </is>
      </c>
      <c r="AI54" s="6" t="inlineStr">
        <is>
          <t>FAIBLE</t>
        </is>
      </c>
      <c r="AJ54" s="4" t="n">
        <v>0</v>
      </c>
      <c r="AK54" s="4" t="n"/>
      <c r="AL54" s="6" t="inlineStr">
        <is>
          <t>RETENU_V0.5_REECRIT_CONCRET</t>
        </is>
      </c>
      <c r="AM54" s="6" t="n"/>
      <c r="AN54" s="4" t="inlineStr">
        <is>
          <t>PIP-BANK-0.3</t>
        </is>
      </c>
      <c r="AO54" s="6" t="inlineStr">
        <is>
          <t>PIP-BANK-0.4</t>
        </is>
      </c>
      <c r="AP54" s="8">
        <f>IF(OR(C54="PILOTE",C54="ACTIF"),IF(AND(A54&lt;&gt;"",H54&lt;&gt;"",I54&lt;&gt;"",K54&lt;&gt;"",V54&lt;&gt;"",W54&lt;&gt;""),"OK","A_COMPLETER"),"OK_STRUCTURE")</f>
        <v/>
      </c>
    </row>
    <row r="55" ht="72" customHeight="1" s="34">
      <c r="A55" s="4" t="inlineStr">
        <is>
          <t>PIP-SIT-A-A3-011</t>
        </is>
      </c>
      <c r="B55" s="4" t="inlineStr">
        <is>
          <t>0.2</t>
        </is>
      </c>
      <c r="C55" s="4" t="inlineStr">
        <is>
          <t>PILOTE</t>
        </is>
      </c>
      <c r="D55" s="4" t="inlineStr">
        <is>
          <t>08/09/2026</t>
        </is>
      </c>
      <c r="E55" s="4" t="inlineStr">
        <is>
          <t>08/09/2026</t>
        </is>
      </c>
      <c r="F55" s="4" t="inlineStr">
        <is>
          <t>SIT</t>
        </is>
      </c>
      <c r="G55" s="4" t="inlineStr">
        <is>
          <t>Situation courte avec enjeu central</t>
        </is>
      </c>
      <c r="H55" s="4" t="inlineStr">
        <is>
          <t>A</t>
        </is>
      </c>
      <c r="I55" s="4" t="inlineStr">
        <is>
          <t>A3</t>
        </is>
      </c>
      <c r="J55" s="6" t="inlineStr">
        <is>
          <t>S,E</t>
        </is>
      </c>
      <c r="K55" s="6" t="inlineStr">
        <is>
          <t>Trouver une manière personnelle de raconter ou de représenter une histoire, une idée ou une expérience.</t>
        </is>
      </c>
      <c r="L55" s="4" t="inlineStr">
        <is>
          <t>Cela ne m’attire pas du tout</t>
        </is>
      </c>
      <c r="M55" s="4" t="inlineStr">
        <is>
          <t>Cela m’attire peu</t>
        </is>
      </c>
      <c r="N55" s="4" t="inlineStr">
        <is>
          <t>Je suis partagé(e) / sans préférence marquée</t>
        </is>
      </c>
      <c r="O55" s="4" t="inlineStr">
        <is>
          <t>Cela m’attire</t>
        </is>
      </c>
      <c r="P55" s="4" t="inlineStr">
        <is>
          <t>Cela m’attire beaucoup</t>
        </is>
      </c>
      <c r="Q55" s="4" t="n">
        <v>1</v>
      </c>
      <c r="R55" s="4" t="n">
        <v>2</v>
      </c>
      <c r="S55" s="4" t="n">
        <v>3</v>
      </c>
      <c r="T55" s="4" t="n">
        <v>4</v>
      </c>
      <c r="U55" s="4" t="n">
        <v>5</v>
      </c>
      <c r="V55" s="6" t="inlineStr">
        <is>
          <t>La formulation cible l’intérêt pour créer, concevoir ou exprimer avec ouverture. Elle mobilise un comportement caractéristique de la dimension A (Artistique) sans demander un niveau de compétence préalable.</t>
        </is>
      </c>
      <c r="W55" s="6" t="inlineStr">
        <is>
          <t>L’item relève de A3 — Exprimer / raconter : Transmission d’une idée, émotion, point de vue ou histoire par une forme expressive.</t>
        </is>
      </c>
      <c r="X55" s="6" t="inlineStr">
        <is>
          <t>Revue méthodologique V0.3 : surveiller compréhension du vocabulaire au pilote.</t>
        </is>
      </c>
      <c r="Y55" s="6" t="inlineStr">
        <is>
          <t>FAIBLE</t>
        </is>
      </c>
      <c r="Z55" s="6" t="inlineStr">
        <is>
          <t>FAIBLE</t>
        </is>
      </c>
      <c r="AA55" s="6" t="inlineStr">
        <is>
          <t>FAIBLE</t>
        </is>
      </c>
      <c r="AB55" s="6" t="inlineStr">
        <is>
          <t>FAIBLE</t>
        </is>
      </c>
      <c r="AC55" s="6" t="inlineStr">
        <is>
          <t>MOYEN</t>
        </is>
      </c>
      <c r="AD55" s="6" t="inlineStr">
        <is>
          <t>FAIBLE</t>
        </is>
      </c>
      <c r="AE55" s="6" t="inlineStr">
        <is>
          <t>FAIBLE</t>
        </is>
      </c>
      <c r="AF55" s="6" t="inlineStr">
        <is>
          <t>FAIBLE</t>
        </is>
      </c>
      <c r="AG55" s="6" t="inlineStr">
        <is>
          <t>FAIBLE</t>
        </is>
      </c>
      <c r="AH55" s="6" t="inlineStr">
        <is>
          <t>FAIBLE</t>
        </is>
      </c>
      <c r="AI55" s="6" t="inlineStr">
        <is>
          <t>FAIBLE</t>
        </is>
      </c>
      <c r="AJ55" s="4" t="n">
        <v>0</v>
      </c>
      <c r="AK55" s="4" t="n"/>
      <c r="AL55" s="6" t="inlineStr">
        <is>
          <t>RETIRE_BANQUE72_HISTORIQUE_CONSERVE</t>
        </is>
      </c>
      <c r="AM55" s="6" t="inlineStr">
        <is>
          <t>Réduction méthodologique 120→72 : doublon de facette / priorité aux activités professionnelles observables et aux items à plus faible risque.</t>
        </is>
      </c>
      <c r="AN55" s="4" t="inlineStr">
        <is>
          <t>PIP-BANK-0.3</t>
        </is>
      </c>
      <c r="AO55" s="6" t="inlineStr">
        <is>
          <t>PIP-BANK-0.3</t>
        </is>
      </c>
      <c r="AP55" s="8">
        <f>IF(OR(C55="PILOTE",C55="ACTIF"),IF(AND(A55&lt;&gt;"",H55&lt;&gt;"",I55&lt;&gt;"",K55&lt;&gt;"",V55&lt;&gt;"",W55&lt;&gt;""),"OK","A_COMPLETER"),"OK_STRUCTURE")</f>
        <v/>
      </c>
    </row>
    <row r="56" ht="72" customHeight="1" s="34">
      <c r="A56" s="4" t="inlineStr">
        <is>
          <t>PIP-ENV-A-A3-012</t>
        </is>
      </c>
      <c r="B56" s="4" t="inlineStr">
        <is>
          <t>0.2</t>
        </is>
      </c>
      <c r="C56" s="4" t="inlineStr">
        <is>
          <t>PILOTE</t>
        </is>
      </c>
      <c r="D56" s="4" t="inlineStr">
        <is>
          <t>08/09/2026</t>
        </is>
      </c>
      <c r="E56" s="4" t="inlineStr">
        <is>
          <t>08/09/2026</t>
        </is>
      </c>
      <c r="F56" s="4" t="inlineStr">
        <is>
          <t>ENV</t>
        </is>
      </c>
      <c r="G56" s="4" t="inlineStr">
        <is>
          <t>Contexte décrit par ce qu’il permet de faire</t>
        </is>
      </c>
      <c r="H56" s="4" t="inlineStr">
        <is>
          <t>A</t>
        </is>
      </c>
      <c r="I56" s="4" t="inlineStr">
        <is>
          <t>A3</t>
        </is>
      </c>
      <c r="J56" s="6" t="inlineStr">
        <is>
          <t>S,E</t>
        </is>
      </c>
      <c r="K56" s="6" t="inlineStr">
        <is>
          <t>Travailler dans un contexte où l’expression par les mots, les images, le son ou la mise en scène occupe une place importante.</t>
        </is>
      </c>
      <c r="L56" s="4" t="inlineStr">
        <is>
          <t>Cela ne m’attire pas du tout</t>
        </is>
      </c>
      <c r="M56" s="4" t="inlineStr">
        <is>
          <t>Cela m’attire peu</t>
        </is>
      </c>
      <c r="N56" s="4" t="inlineStr">
        <is>
          <t>Je suis partagé(e) / sans préférence marquée</t>
        </is>
      </c>
      <c r="O56" s="4" t="inlineStr">
        <is>
          <t>Cela m’attire</t>
        </is>
      </c>
      <c r="P56" s="4" t="inlineStr">
        <is>
          <t>Cela m’attire beaucoup</t>
        </is>
      </c>
      <c r="Q56" s="4" t="n">
        <v>1</v>
      </c>
      <c r="R56" s="4" t="n">
        <v>2</v>
      </c>
      <c r="S56" s="4" t="n">
        <v>3</v>
      </c>
      <c r="T56" s="4" t="n">
        <v>4</v>
      </c>
      <c r="U56" s="4" t="n">
        <v>5</v>
      </c>
      <c r="V56" s="6" t="inlineStr">
        <is>
          <t>La formulation cible l’intérêt pour créer, concevoir ou exprimer avec ouverture. Elle mobilise un comportement caractéristique de la dimension A (Artistique) sans demander un niveau de compétence préalable.</t>
        </is>
      </c>
      <c r="W56" s="6" t="inlineStr">
        <is>
          <t>L’item relève de A3 — Exprimer / raconter : Transmission d’une idée, émotion, point de vue ou histoire par une forme expressive.</t>
        </is>
      </c>
      <c r="X56" s="6" t="inlineStr">
        <is>
          <t>Revue méthodologique V0.3 : surveiller compréhension du vocabulaire au pilote.</t>
        </is>
      </c>
      <c r="Y56" s="6" t="inlineStr">
        <is>
          <t>FAIBLE</t>
        </is>
      </c>
      <c r="Z56" s="6" t="inlineStr">
        <is>
          <t>FAIBLE</t>
        </is>
      </c>
      <c r="AA56" s="6" t="inlineStr">
        <is>
          <t>FAIBLE</t>
        </is>
      </c>
      <c r="AB56" s="6" t="inlineStr">
        <is>
          <t>FAIBLE</t>
        </is>
      </c>
      <c r="AC56" s="6" t="inlineStr">
        <is>
          <t>MOYEN</t>
        </is>
      </c>
      <c r="AD56" s="6" t="inlineStr">
        <is>
          <t>FAIBLE</t>
        </is>
      </c>
      <c r="AE56" s="6" t="inlineStr">
        <is>
          <t>FAIBLE</t>
        </is>
      </c>
      <c r="AF56" s="6" t="inlineStr">
        <is>
          <t>FAIBLE</t>
        </is>
      </c>
      <c r="AG56" s="6" t="inlineStr">
        <is>
          <t>FAIBLE</t>
        </is>
      </c>
      <c r="AH56" s="6" t="inlineStr">
        <is>
          <t>FAIBLE</t>
        </is>
      </c>
      <c r="AI56" s="6" t="inlineStr">
        <is>
          <t>FAIBLE</t>
        </is>
      </c>
      <c r="AJ56" s="4" t="n">
        <v>0</v>
      </c>
      <c r="AK56" s="4" t="n"/>
      <c r="AL56" s="6" t="inlineStr">
        <is>
          <t>RETIRE_BANQUE72_HISTORIQUE_CONSERVE</t>
        </is>
      </c>
      <c r="AM56" s="6" t="inlineStr">
        <is>
          <t>Réduction méthodologique 120→72 : doublon de facette / priorité aux activités professionnelles observables et aux items à plus faible risque.</t>
        </is>
      </c>
      <c r="AN56" s="4" t="inlineStr">
        <is>
          <t>PIP-BANK-0.3</t>
        </is>
      </c>
      <c r="AO56" s="6" t="inlineStr">
        <is>
          <t>PIP-BANK-0.3</t>
        </is>
      </c>
      <c r="AP56" s="8">
        <f>IF(OR(C56="PILOTE",C56="ACTIF"),IF(AND(A56&lt;&gt;"",H56&lt;&gt;"",I56&lt;&gt;"",K56&lt;&gt;"",V56&lt;&gt;"",W56&lt;&gt;""),"OK","A_COMPLETER"),"OK_STRUCTURE")</f>
        <v/>
      </c>
    </row>
    <row r="57" ht="72" customHeight="1" s="34">
      <c r="A57" s="4" t="inlineStr">
        <is>
          <t>PIP-ACT-A-A4-013</t>
        </is>
      </c>
      <c r="B57" s="4" t="inlineStr">
        <is>
          <t>0.2</t>
        </is>
      </c>
      <c r="C57" s="4" t="inlineStr">
        <is>
          <t>PILOTE</t>
        </is>
      </c>
      <c r="D57" s="4" t="inlineStr">
        <is>
          <t>08/09/2026</t>
        </is>
      </c>
      <c r="E57" s="4" t="inlineStr">
        <is>
          <t>08/09/2026</t>
        </is>
      </c>
      <c r="F57" s="4" t="inlineStr">
        <is>
          <t>ACT</t>
        </is>
      </c>
      <c r="G57" s="4" t="inlineStr">
        <is>
          <t>Verbe d’action + objet/contexte</t>
        </is>
      </c>
      <c r="H57" s="4" t="inlineStr">
        <is>
          <t>A</t>
        </is>
      </c>
      <c r="I57" s="4" t="inlineStr">
        <is>
          <t>A4</t>
        </is>
      </c>
      <c r="J57" s="6" t="inlineStr">
        <is>
          <t>R</t>
        </is>
      </c>
      <c r="K57" s="6" t="inlineStr">
        <is>
          <t>Créer une composition visuelle en jouant sur les formes, les images ou les couleurs.</t>
        </is>
      </c>
      <c r="L57" s="4" t="inlineStr">
        <is>
          <t>Cela ne m’attire pas du tout</t>
        </is>
      </c>
      <c r="M57" s="4" t="inlineStr">
        <is>
          <t>Cela m’attire peu</t>
        </is>
      </c>
      <c r="N57" s="4" t="inlineStr">
        <is>
          <t>Je suis partagé(e) / sans préférence marquée</t>
        </is>
      </c>
      <c r="O57" s="4" t="inlineStr">
        <is>
          <t>Cela m’attire</t>
        </is>
      </c>
      <c r="P57" s="4" t="inlineStr">
        <is>
          <t>Cela m’attire beaucoup</t>
        </is>
      </c>
      <c r="Q57" s="4" t="n">
        <v>1</v>
      </c>
      <c r="R57" s="4" t="n">
        <v>2</v>
      </c>
      <c r="S57" s="4" t="n">
        <v>3</v>
      </c>
      <c r="T57" s="4" t="n">
        <v>4</v>
      </c>
      <c r="U57" s="4" t="n">
        <v>5</v>
      </c>
      <c r="V57" s="6" t="inlineStr">
        <is>
          <t>La formulation cible l’intérêt pour créer, concevoir ou exprimer avec ouverture. Elle mobilise un comportement caractéristique de la dimension A (Artistique) sans demander un niveau de compétence préalable.</t>
        </is>
      </c>
      <c r="W57" s="6" t="inlineStr">
        <is>
          <t>L’item relève de A4 — Créer visuellement / sensoriellement : Création mobilisant formes, images, sons, mouvements, matières, espaces ou expériences sensibles.</t>
        </is>
      </c>
      <c r="X57" s="6" t="inlineStr">
        <is>
          <t>Revue méthodologique V0.3 : surveiller compréhension du vocabulaire au pilote.</t>
        </is>
      </c>
      <c r="Y57" s="6" t="inlineStr">
        <is>
          <t>FAIBLE</t>
        </is>
      </c>
      <c r="Z57" s="6" t="inlineStr">
        <is>
          <t>FAIBLE</t>
        </is>
      </c>
      <c r="AA57" s="6" t="inlineStr">
        <is>
          <t>FAIBLE</t>
        </is>
      </c>
      <c r="AB57" s="6" t="inlineStr">
        <is>
          <t>FAIBLE</t>
        </is>
      </c>
      <c r="AC57" s="6" t="inlineStr">
        <is>
          <t>MOYEN</t>
        </is>
      </c>
      <c r="AD57" s="6" t="inlineStr">
        <is>
          <t>FAIBLE</t>
        </is>
      </c>
      <c r="AE57" s="6" t="inlineStr">
        <is>
          <t>FAIBLE</t>
        </is>
      </c>
      <c r="AF57" s="6" t="inlineStr">
        <is>
          <t>FAIBLE</t>
        </is>
      </c>
      <c r="AG57" s="6" t="inlineStr">
        <is>
          <t>FAIBLE</t>
        </is>
      </c>
      <c r="AH57" s="6" t="inlineStr">
        <is>
          <t>FAIBLE</t>
        </is>
      </c>
      <c r="AI57" s="6" t="inlineStr">
        <is>
          <t>FAIBLE</t>
        </is>
      </c>
      <c r="AJ57" s="4" t="n">
        <v>0</v>
      </c>
      <c r="AK57" s="4" t="n"/>
      <c r="AL57" s="6" t="inlineStr">
        <is>
          <t>RETENU_V0.5_REECRIT_CONCRET</t>
        </is>
      </c>
      <c r="AM57" s="6" t="n"/>
      <c r="AN57" s="4" t="inlineStr">
        <is>
          <t>PIP-BANK-0.3</t>
        </is>
      </c>
      <c r="AO57" s="6" t="inlineStr">
        <is>
          <t>PIP-BANK-0.4</t>
        </is>
      </c>
      <c r="AP57" s="8">
        <f>IF(OR(C57="PILOTE",C57="ACTIF"),IF(AND(A57&lt;&gt;"",H57&lt;&gt;"",I57&lt;&gt;"",K57&lt;&gt;"",V57&lt;&gt;"",W57&lt;&gt;""),"OK","A_COMPLETER"),"OK_STRUCTURE")</f>
        <v/>
      </c>
    </row>
    <row r="58" ht="72" customHeight="1" s="34">
      <c r="A58" s="4" t="inlineStr">
        <is>
          <t>PIP-ACT-A-A4-014</t>
        </is>
      </c>
      <c r="B58" s="4" t="inlineStr">
        <is>
          <t>0.2</t>
        </is>
      </c>
      <c r="C58" s="4" t="inlineStr">
        <is>
          <t>PILOTE</t>
        </is>
      </c>
      <c r="D58" s="4" t="inlineStr">
        <is>
          <t>08/09/2026</t>
        </is>
      </c>
      <c r="E58" s="4" t="inlineStr">
        <is>
          <t>08/09/2026</t>
        </is>
      </c>
      <c r="F58" s="4" t="inlineStr">
        <is>
          <t>ACT</t>
        </is>
      </c>
      <c r="G58" s="4" t="inlineStr">
        <is>
          <t>Verbe d’action + objet/contexte</t>
        </is>
      </c>
      <c r="H58" s="4" t="inlineStr">
        <is>
          <t>A</t>
        </is>
      </c>
      <c r="I58" s="4" t="inlineStr">
        <is>
          <t>A4</t>
        </is>
      </c>
      <c r="J58" s="6" t="inlineStr">
        <is>
          <t>R</t>
        </is>
      </c>
      <c r="K58" s="6" t="inlineStr">
        <is>
          <t>Imaginer une ambiance à partir de sons, d’images, de matières ou d’un espace.</t>
        </is>
      </c>
      <c r="L58" s="4" t="inlineStr">
        <is>
          <t>Cela ne m’attire pas du tout</t>
        </is>
      </c>
      <c r="M58" s="4" t="inlineStr">
        <is>
          <t>Cela m’attire peu</t>
        </is>
      </c>
      <c r="N58" s="4" t="inlineStr">
        <is>
          <t>Je suis partagé(e) / sans préférence marquée</t>
        </is>
      </c>
      <c r="O58" s="4" t="inlineStr">
        <is>
          <t>Cela m’attire</t>
        </is>
      </c>
      <c r="P58" s="4" t="inlineStr">
        <is>
          <t>Cela m’attire beaucoup</t>
        </is>
      </c>
      <c r="Q58" s="4" t="n">
        <v>1</v>
      </c>
      <c r="R58" s="4" t="n">
        <v>2</v>
      </c>
      <c r="S58" s="4" t="n">
        <v>3</v>
      </c>
      <c r="T58" s="4" t="n">
        <v>4</v>
      </c>
      <c r="U58" s="4" t="n">
        <v>5</v>
      </c>
      <c r="V58" s="6" t="inlineStr">
        <is>
          <t>La formulation cible l’intérêt pour créer, concevoir ou exprimer avec ouverture. Elle mobilise un comportement caractéristique de la dimension A (Artistique) sans demander un niveau de compétence préalable.</t>
        </is>
      </c>
      <c r="W58" s="6" t="inlineStr">
        <is>
          <t>L’item relève de A4 — Créer visuellement / sensoriellement : Création mobilisant formes, images, sons, mouvements, matières, espaces ou expériences sensibles.</t>
        </is>
      </c>
      <c r="X58" s="6" t="inlineStr">
        <is>
          <t>Revue méthodologique V0.3 : surveiller compréhension du vocabulaire au pilote.</t>
        </is>
      </c>
      <c r="Y58" s="6" t="inlineStr">
        <is>
          <t>FAIBLE</t>
        </is>
      </c>
      <c r="Z58" s="6" t="inlineStr">
        <is>
          <t>FAIBLE</t>
        </is>
      </c>
      <c r="AA58" s="6" t="inlineStr">
        <is>
          <t>FAIBLE</t>
        </is>
      </c>
      <c r="AB58" s="6" t="inlineStr">
        <is>
          <t>FAIBLE</t>
        </is>
      </c>
      <c r="AC58" s="6" t="inlineStr">
        <is>
          <t>MOYEN</t>
        </is>
      </c>
      <c r="AD58" s="6" t="inlineStr">
        <is>
          <t>FAIBLE</t>
        </is>
      </c>
      <c r="AE58" s="6" t="inlineStr">
        <is>
          <t>FAIBLE</t>
        </is>
      </c>
      <c r="AF58" s="6" t="inlineStr">
        <is>
          <t>FAIBLE</t>
        </is>
      </c>
      <c r="AG58" s="6" t="inlineStr">
        <is>
          <t>FAIBLE</t>
        </is>
      </c>
      <c r="AH58" s="6" t="inlineStr">
        <is>
          <t>FAIBLE</t>
        </is>
      </c>
      <c r="AI58" s="6" t="inlineStr">
        <is>
          <t>FAIBLE</t>
        </is>
      </c>
      <c r="AJ58" s="4" t="n">
        <v>0</v>
      </c>
      <c r="AK58" s="4" t="n"/>
      <c r="AL58" s="6" t="inlineStr">
        <is>
          <t>RETENU_V0.5_REECRIT_CONCRET</t>
        </is>
      </c>
      <c r="AM58" s="6" t="n"/>
      <c r="AN58" s="4" t="inlineStr">
        <is>
          <t>PIP-BANK-0.3</t>
        </is>
      </c>
      <c r="AO58" s="6" t="inlineStr">
        <is>
          <t>PIP-BANK-0.4</t>
        </is>
      </c>
      <c r="AP58" s="8">
        <f>IF(OR(C58="PILOTE",C58="ACTIF"),IF(AND(A58&lt;&gt;"",H58&lt;&gt;"",I58&lt;&gt;"",K58&lt;&gt;"",V58&lt;&gt;"",W58&lt;&gt;""),"OK","A_COMPLETER"),"OK_STRUCTURE")</f>
        <v/>
      </c>
    </row>
    <row r="59" ht="72" customHeight="1" s="34">
      <c r="A59" s="4" t="inlineStr">
        <is>
          <t>PIP-SIT-A-A4-015</t>
        </is>
      </c>
      <c r="B59" s="4" t="inlineStr">
        <is>
          <t>0.2</t>
        </is>
      </c>
      <c r="C59" s="4" t="inlineStr">
        <is>
          <t>PILOTE</t>
        </is>
      </c>
      <c r="D59" s="4" t="inlineStr">
        <is>
          <t>08/09/2026</t>
        </is>
      </c>
      <c r="E59" s="4" t="inlineStr">
        <is>
          <t>08/09/2026</t>
        </is>
      </c>
      <c r="F59" s="4" t="inlineStr">
        <is>
          <t>SIT</t>
        </is>
      </c>
      <c r="G59" s="4" t="inlineStr">
        <is>
          <t>Situation courte avec enjeu central</t>
        </is>
      </c>
      <c r="H59" s="4" t="inlineStr">
        <is>
          <t>A</t>
        </is>
      </c>
      <c r="I59" s="4" t="inlineStr">
        <is>
          <t>A4</t>
        </is>
      </c>
      <c r="J59" s="6" t="inlineStr">
        <is>
          <t>R</t>
        </is>
      </c>
      <c r="K59" s="6" t="inlineStr">
        <is>
          <t>Concevoir une expérience où l’effet visuel, sonore ou sensoriel compte autant que la fonction.</t>
        </is>
      </c>
      <c r="L59" s="4" t="inlineStr">
        <is>
          <t>Cela ne m’attire pas du tout</t>
        </is>
      </c>
      <c r="M59" s="4" t="inlineStr">
        <is>
          <t>Cela m’attire peu</t>
        </is>
      </c>
      <c r="N59" s="4" t="inlineStr">
        <is>
          <t>Je suis partagé(e) / sans préférence marquée</t>
        </is>
      </c>
      <c r="O59" s="4" t="inlineStr">
        <is>
          <t>Cela m’attire</t>
        </is>
      </c>
      <c r="P59" s="4" t="inlineStr">
        <is>
          <t>Cela m’attire beaucoup</t>
        </is>
      </c>
      <c r="Q59" s="4" t="n">
        <v>1</v>
      </c>
      <c r="R59" s="4" t="n">
        <v>2</v>
      </c>
      <c r="S59" s="4" t="n">
        <v>3</v>
      </c>
      <c r="T59" s="4" t="n">
        <v>4</v>
      </c>
      <c r="U59" s="4" t="n">
        <v>5</v>
      </c>
      <c r="V59" s="6" t="inlineStr">
        <is>
          <t>La formulation cible l’intérêt pour créer, concevoir ou exprimer avec ouverture. Elle mobilise un comportement caractéristique de la dimension A (Artistique) sans demander un niveau de compétence préalable.</t>
        </is>
      </c>
      <c r="W59" s="6" t="inlineStr">
        <is>
          <t>L’item relève de A4 — Créer visuellement / sensoriellement : Création mobilisant formes, images, sons, mouvements, matières, espaces ou expériences sensibles.</t>
        </is>
      </c>
      <c r="X59" s="6" t="inlineStr">
        <is>
          <t>Revue méthodologique V0.3 : surveiller compréhension du vocabulaire au pilote.</t>
        </is>
      </c>
      <c r="Y59" s="6" t="inlineStr">
        <is>
          <t>FAIBLE</t>
        </is>
      </c>
      <c r="Z59" s="6" t="inlineStr">
        <is>
          <t>FAIBLE</t>
        </is>
      </c>
      <c r="AA59" s="6" t="inlineStr">
        <is>
          <t>FAIBLE</t>
        </is>
      </c>
      <c r="AB59" s="6" t="inlineStr">
        <is>
          <t>FAIBLE</t>
        </is>
      </c>
      <c r="AC59" s="6" t="inlineStr">
        <is>
          <t>MOYEN</t>
        </is>
      </c>
      <c r="AD59" s="6" t="inlineStr">
        <is>
          <t>FAIBLE</t>
        </is>
      </c>
      <c r="AE59" s="6" t="inlineStr">
        <is>
          <t>FAIBLE</t>
        </is>
      </c>
      <c r="AF59" s="6" t="inlineStr">
        <is>
          <t>FAIBLE</t>
        </is>
      </c>
      <c r="AG59" s="6" t="inlineStr">
        <is>
          <t>FAIBLE</t>
        </is>
      </c>
      <c r="AH59" s="6" t="inlineStr">
        <is>
          <t>FAIBLE</t>
        </is>
      </c>
      <c r="AI59" s="6" t="inlineStr">
        <is>
          <t>FAIBLE</t>
        </is>
      </c>
      <c r="AJ59" s="4" t="n">
        <v>0</v>
      </c>
      <c r="AK59" s="4" t="n"/>
      <c r="AL59" s="6" t="inlineStr">
        <is>
          <t>RETIRE_BANQUE72_HISTORIQUE_CONSERVE</t>
        </is>
      </c>
      <c r="AM59" s="6" t="inlineStr">
        <is>
          <t>Réduction méthodologique 120→72 : doublon de facette / priorité aux activités professionnelles observables et aux items à plus faible risque.</t>
        </is>
      </c>
      <c r="AN59" s="4" t="inlineStr">
        <is>
          <t>PIP-BANK-0.3</t>
        </is>
      </c>
      <c r="AO59" s="6" t="inlineStr">
        <is>
          <t>PIP-BANK-0.3</t>
        </is>
      </c>
      <c r="AP59" s="8">
        <f>IF(OR(C59="PILOTE",C59="ACTIF"),IF(AND(A59&lt;&gt;"",H59&lt;&gt;"",I59&lt;&gt;"",K59&lt;&gt;"",V59&lt;&gt;"",W59&lt;&gt;""),"OK","A_COMPLETER"),"OK_STRUCTURE")</f>
        <v/>
      </c>
    </row>
    <row r="60" ht="72" customHeight="1" s="34">
      <c r="A60" s="4" t="inlineStr">
        <is>
          <t>PIP-ENV-A-A4-016</t>
        </is>
      </c>
      <c r="B60" s="4" t="inlineStr">
        <is>
          <t>0.2</t>
        </is>
      </c>
      <c r="C60" s="4" t="inlineStr">
        <is>
          <t>PILOTE</t>
        </is>
      </c>
      <c r="D60" s="4" t="inlineStr">
        <is>
          <t>08/09/2026</t>
        </is>
      </c>
      <c r="E60" s="4" t="inlineStr">
        <is>
          <t>08/09/2026</t>
        </is>
      </c>
      <c r="F60" s="4" t="inlineStr">
        <is>
          <t>ENV</t>
        </is>
      </c>
      <c r="G60" s="4" t="inlineStr">
        <is>
          <t>Contexte décrit par ce qu’il permet de faire</t>
        </is>
      </c>
      <c r="H60" s="4" t="inlineStr">
        <is>
          <t>A</t>
        </is>
      </c>
      <c r="I60" s="4" t="inlineStr">
        <is>
          <t>A4</t>
        </is>
      </c>
      <c r="J60" s="6" t="inlineStr">
        <is>
          <t>R</t>
        </is>
      </c>
      <c r="K60" s="6" t="inlineStr">
        <is>
          <t>Évoluer dans un contexte où l’on crée régulièrement des contenus, des espaces ou des objets destinés à produire une impression visuelle ou sensorielle.</t>
        </is>
      </c>
      <c r="L60" s="4" t="inlineStr">
        <is>
          <t>Cela ne m’attire pas du tout</t>
        </is>
      </c>
      <c r="M60" s="4" t="inlineStr">
        <is>
          <t>Cela m’attire peu</t>
        </is>
      </c>
      <c r="N60" s="4" t="inlineStr">
        <is>
          <t>Je suis partagé(e) / sans préférence marquée</t>
        </is>
      </c>
      <c r="O60" s="4" t="inlineStr">
        <is>
          <t>Cela m’attire</t>
        </is>
      </c>
      <c r="P60" s="4" t="inlineStr">
        <is>
          <t>Cela m’attire beaucoup</t>
        </is>
      </c>
      <c r="Q60" s="4" t="n">
        <v>1</v>
      </c>
      <c r="R60" s="4" t="n">
        <v>2</v>
      </c>
      <c r="S60" s="4" t="n">
        <v>3</v>
      </c>
      <c r="T60" s="4" t="n">
        <v>4</v>
      </c>
      <c r="U60" s="4" t="n">
        <v>5</v>
      </c>
      <c r="V60" s="6" t="inlineStr">
        <is>
          <t>La formulation cible l’intérêt pour créer, concevoir ou exprimer avec ouverture. Elle mobilise un comportement caractéristique de la dimension A (Artistique) sans demander un niveau de compétence préalable.</t>
        </is>
      </c>
      <c r="W60" s="6" t="inlineStr">
        <is>
          <t>L’item relève de A4 — Créer visuellement / sensoriellement : Création mobilisant formes, images, sons, mouvements, matières, espaces ou expériences sensibles.</t>
        </is>
      </c>
      <c r="X60" s="6" t="inlineStr">
        <is>
          <t>Revue méthodologique V0.3 : surveiller compréhension du vocabulaire au pilote.</t>
        </is>
      </c>
      <c r="Y60" s="6" t="inlineStr">
        <is>
          <t>FAIBLE</t>
        </is>
      </c>
      <c r="Z60" s="6" t="inlineStr">
        <is>
          <t>FAIBLE</t>
        </is>
      </c>
      <c r="AA60" s="6" t="inlineStr">
        <is>
          <t>FAIBLE</t>
        </is>
      </c>
      <c r="AB60" s="6" t="inlineStr">
        <is>
          <t>FAIBLE</t>
        </is>
      </c>
      <c r="AC60" s="6" t="inlineStr">
        <is>
          <t>MOYEN</t>
        </is>
      </c>
      <c r="AD60" s="6" t="inlineStr">
        <is>
          <t>FAIBLE</t>
        </is>
      </c>
      <c r="AE60" s="6" t="inlineStr">
        <is>
          <t>FAIBLE</t>
        </is>
      </c>
      <c r="AF60" s="6" t="inlineStr">
        <is>
          <t>FAIBLE</t>
        </is>
      </c>
      <c r="AG60" s="6" t="inlineStr">
        <is>
          <t>FAIBLE</t>
        </is>
      </c>
      <c r="AH60" s="6" t="inlineStr">
        <is>
          <t>FAIBLE</t>
        </is>
      </c>
      <c r="AI60" s="6" t="inlineStr">
        <is>
          <t>FAIBLE</t>
        </is>
      </c>
      <c r="AJ60" s="4" t="n">
        <v>0</v>
      </c>
      <c r="AK60" s="4" t="n"/>
      <c r="AL60" s="6" t="inlineStr">
        <is>
          <t>RETIRE_BANQUE72_HISTORIQUE_CONSERVE</t>
        </is>
      </c>
      <c r="AM60" s="6" t="inlineStr">
        <is>
          <t>Réduction méthodologique 120→72 : doublon de facette / priorité aux activités professionnelles observables et aux items à plus faible risque.</t>
        </is>
      </c>
      <c r="AN60" s="4" t="inlineStr">
        <is>
          <t>PIP-BANK-0.3</t>
        </is>
      </c>
      <c r="AO60" s="6" t="inlineStr">
        <is>
          <t>PIP-BANK-0.3</t>
        </is>
      </c>
      <c r="AP60" s="8">
        <f>IF(OR(C60="PILOTE",C60="ACTIF"),IF(AND(A60&lt;&gt;"",H60&lt;&gt;"",I60&lt;&gt;"",K60&lt;&gt;"",V60&lt;&gt;"",W60&lt;&gt;""),"OK","A_COMPLETER"),"OK_STRUCTURE")</f>
        <v/>
      </c>
    </row>
    <row r="61" ht="72" customHeight="1" s="34">
      <c r="A61" s="4" t="inlineStr">
        <is>
          <t>PIP-ACT-A-A5-017</t>
        </is>
      </c>
      <c r="B61" s="4" t="inlineStr">
        <is>
          <t>0.2</t>
        </is>
      </c>
      <c r="C61" s="4" t="inlineStr">
        <is>
          <t>PILOTE</t>
        </is>
      </c>
      <c r="D61" s="4" t="inlineStr">
        <is>
          <t>08/09/2026</t>
        </is>
      </c>
      <c r="E61" s="4" t="inlineStr">
        <is>
          <t>08/09/2026</t>
        </is>
      </c>
      <c r="F61" s="4" t="inlineStr">
        <is>
          <t>ACT</t>
        </is>
      </c>
      <c r="G61" s="4" t="inlineStr">
        <is>
          <t>Verbe d’action + objet/contexte</t>
        </is>
      </c>
      <c r="H61" s="4" t="inlineStr">
        <is>
          <t>A</t>
        </is>
      </c>
      <c r="I61" s="4" t="inlineStr">
        <is>
          <t>A5</t>
        </is>
      </c>
      <c r="J61" s="6" t="inlineStr">
        <is>
          <t>I,E</t>
        </is>
      </c>
      <c r="K61" s="6" t="inlineStr">
        <is>
          <t>Explorer plusieurs pistes créatives avant de choisir celle qui convient le mieux.</t>
        </is>
      </c>
      <c r="L61" s="4" t="inlineStr">
        <is>
          <t>Cela ne m’attire pas du tout</t>
        </is>
      </c>
      <c r="M61" s="4" t="inlineStr">
        <is>
          <t>Cela m’attire peu</t>
        </is>
      </c>
      <c r="N61" s="4" t="inlineStr">
        <is>
          <t>Je suis partagé(e) / sans préférence marquée</t>
        </is>
      </c>
      <c r="O61" s="4" t="inlineStr">
        <is>
          <t>Cela m’attire</t>
        </is>
      </c>
      <c r="P61" s="4" t="inlineStr">
        <is>
          <t>Cela m’attire beaucoup</t>
        </is>
      </c>
      <c r="Q61" s="4" t="n">
        <v>1</v>
      </c>
      <c r="R61" s="4" t="n">
        <v>2</v>
      </c>
      <c r="S61" s="4" t="n">
        <v>3</v>
      </c>
      <c r="T61" s="4" t="n">
        <v>4</v>
      </c>
      <c r="U61" s="4" t="n">
        <v>5</v>
      </c>
      <c r="V61" s="6" t="inlineStr">
        <is>
          <t>La formulation cible l’intérêt pour créer, concevoir ou exprimer avec ouverture. Elle mobilise un comportement caractéristique de la dimension A (Artistique) sans demander un niveau de compétence préalable.</t>
        </is>
      </c>
      <c r="W61" s="6" t="inlineStr">
        <is>
          <t>L’item relève de A5 — Explorer des solutions ouvertes : Tâches créatives où plusieurs réponses sont possibles et l’originalité a une place réelle.</t>
        </is>
      </c>
      <c r="X61" s="6" t="inlineStr">
        <is>
          <t>Revue méthodologique V0.3 : surveiller compréhension du vocabulaire au pilote.</t>
        </is>
      </c>
      <c r="Y61" s="6" t="inlineStr">
        <is>
          <t>FAIBLE</t>
        </is>
      </c>
      <c r="Z61" s="6" t="inlineStr">
        <is>
          <t>FAIBLE</t>
        </is>
      </c>
      <c r="AA61" s="6" t="inlineStr">
        <is>
          <t>FAIBLE</t>
        </is>
      </c>
      <c r="AB61" s="6" t="inlineStr">
        <is>
          <t>FAIBLE</t>
        </is>
      </c>
      <c r="AC61" s="6" t="inlineStr">
        <is>
          <t>MOYEN</t>
        </is>
      </c>
      <c r="AD61" s="6" t="inlineStr">
        <is>
          <t>FAIBLE</t>
        </is>
      </c>
      <c r="AE61" s="6" t="inlineStr">
        <is>
          <t>FAIBLE</t>
        </is>
      </c>
      <c r="AF61" s="6" t="inlineStr">
        <is>
          <t>FAIBLE</t>
        </is>
      </c>
      <c r="AG61" s="6" t="inlineStr">
        <is>
          <t>FAIBLE</t>
        </is>
      </c>
      <c r="AH61" s="6" t="inlineStr">
        <is>
          <t>FAIBLE</t>
        </is>
      </c>
      <c r="AI61" s="6" t="inlineStr">
        <is>
          <t>FAIBLE</t>
        </is>
      </c>
      <c r="AJ61" s="4" t="n">
        <v>0</v>
      </c>
      <c r="AK61" s="4" t="n"/>
      <c r="AL61" s="6" t="inlineStr">
        <is>
          <t>RETENU_V0.5_REECRIT_CONCRET</t>
        </is>
      </c>
      <c r="AM61" s="6" t="n"/>
      <c r="AN61" s="4" t="inlineStr">
        <is>
          <t>PIP-BANK-0.3</t>
        </is>
      </c>
      <c r="AO61" s="6" t="inlineStr">
        <is>
          <t>PIP-BANK-0.4</t>
        </is>
      </c>
      <c r="AP61" s="8">
        <f>IF(OR(C61="PILOTE",C61="ACTIF"),IF(AND(A61&lt;&gt;"",H61&lt;&gt;"",I61&lt;&gt;"",K61&lt;&gt;"",V61&lt;&gt;"",W61&lt;&gt;""),"OK","A_COMPLETER"),"OK_STRUCTURE")</f>
        <v/>
      </c>
    </row>
    <row r="62" ht="72" customHeight="1" s="34">
      <c r="A62" s="4" t="inlineStr">
        <is>
          <t>PIP-ACT-A-A5-018</t>
        </is>
      </c>
      <c r="B62" s="4" t="inlineStr">
        <is>
          <t>0.2</t>
        </is>
      </c>
      <c r="C62" s="4" t="inlineStr">
        <is>
          <t>PILOTE</t>
        </is>
      </c>
      <c r="D62" s="4" t="inlineStr">
        <is>
          <t>08/09/2026</t>
        </is>
      </c>
      <c r="E62" s="4" t="inlineStr">
        <is>
          <t>08/09/2026</t>
        </is>
      </c>
      <c r="F62" s="4" t="inlineStr">
        <is>
          <t>ACT</t>
        </is>
      </c>
      <c r="G62" s="4" t="inlineStr">
        <is>
          <t>Verbe d’action + objet/contexte</t>
        </is>
      </c>
      <c r="H62" s="4" t="inlineStr">
        <is>
          <t>A</t>
        </is>
      </c>
      <c r="I62" s="4" t="inlineStr">
        <is>
          <t>A5</t>
        </is>
      </c>
      <c r="J62" s="6" t="inlineStr">
        <is>
          <t>I,E</t>
        </is>
      </c>
      <c r="K62" s="6" t="inlineStr">
        <is>
          <t>Réinventer une manière habituelle de faire pour proposer une approche originale.</t>
        </is>
      </c>
      <c r="L62" s="4" t="inlineStr">
        <is>
          <t>Cela ne m’attire pas du tout</t>
        </is>
      </c>
      <c r="M62" s="4" t="inlineStr">
        <is>
          <t>Cela m’attire peu</t>
        </is>
      </c>
      <c r="N62" s="4" t="inlineStr">
        <is>
          <t>Je suis partagé(e) / sans préférence marquée</t>
        </is>
      </c>
      <c r="O62" s="4" t="inlineStr">
        <is>
          <t>Cela m’attire</t>
        </is>
      </c>
      <c r="P62" s="4" t="inlineStr">
        <is>
          <t>Cela m’attire beaucoup</t>
        </is>
      </c>
      <c r="Q62" s="4" t="n">
        <v>1</v>
      </c>
      <c r="R62" s="4" t="n">
        <v>2</v>
      </c>
      <c r="S62" s="4" t="n">
        <v>3</v>
      </c>
      <c r="T62" s="4" t="n">
        <v>4</v>
      </c>
      <c r="U62" s="4" t="n">
        <v>5</v>
      </c>
      <c r="V62" s="6" t="inlineStr">
        <is>
          <t>La formulation cible l’intérêt pour créer, concevoir ou exprimer avec ouverture. Elle mobilise un comportement caractéristique de la dimension A (Artistique) sans demander un niveau de compétence préalable.</t>
        </is>
      </c>
      <c r="W62" s="6" t="inlineStr">
        <is>
          <t>L’item relève de A5 — Explorer des solutions ouvertes : Tâches créatives où plusieurs réponses sont possibles et l’originalité a une place réelle.</t>
        </is>
      </c>
      <c r="X62" s="6" t="inlineStr">
        <is>
          <t>Revue méthodologique V0.3 : surveiller compréhension du vocabulaire au pilote.</t>
        </is>
      </c>
      <c r="Y62" s="6" t="inlineStr">
        <is>
          <t>FAIBLE</t>
        </is>
      </c>
      <c r="Z62" s="6" t="inlineStr">
        <is>
          <t>FAIBLE</t>
        </is>
      </c>
      <c r="AA62" s="6" t="inlineStr">
        <is>
          <t>FAIBLE</t>
        </is>
      </c>
      <c r="AB62" s="6" t="inlineStr">
        <is>
          <t>FAIBLE</t>
        </is>
      </c>
      <c r="AC62" s="6" t="inlineStr">
        <is>
          <t>MOYEN</t>
        </is>
      </c>
      <c r="AD62" s="6" t="inlineStr">
        <is>
          <t>FAIBLE</t>
        </is>
      </c>
      <c r="AE62" s="6" t="inlineStr">
        <is>
          <t>FAIBLE</t>
        </is>
      </c>
      <c r="AF62" s="6" t="inlineStr">
        <is>
          <t>FAIBLE</t>
        </is>
      </c>
      <c r="AG62" s="6" t="inlineStr">
        <is>
          <t>FAIBLE</t>
        </is>
      </c>
      <c r="AH62" s="6" t="inlineStr">
        <is>
          <t>FAIBLE</t>
        </is>
      </c>
      <c r="AI62" s="6" t="inlineStr">
        <is>
          <t>FAIBLE</t>
        </is>
      </c>
      <c r="AJ62" s="4" t="n">
        <v>0</v>
      </c>
      <c r="AK62" s="4" t="n"/>
      <c r="AL62" s="6" t="inlineStr">
        <is>
          <t>RETENU_V0.5_REECRIT_CONCRET</t>
        </is>
      </c>
      <c r="AM62" s="6" t="n"/>
      <c r="AN62" s="4" t="inlineStr">
        <is>
          <t>PIP-BANK-0.3</t>
        </is>
      </c>
      <c r="AO62" s="6" t="inlineStr">
        <is>
          <t>PIP-BANK-0.4</t>
        </is>
      </c>
      <c r="AP62" s="8">
        <f>IF(OR(C62="PILOTE",C62="ACTIF"),IF(AND(A62&lt;&gt;"",H62&lt;&gt;"",I62&lt;&gt;"",K62&lt;&gt;"",V62&lt;&gt;"",W62&lt;&gt;""),"OK","A_COMPLETER"),"OK_STRUCTURE")</f>
        <v/>
      </c>
    </row>
    <row r="63" ht="72" customHeight="1" s="34">
      <c r="A63" s="4" t="inlineStr">
        <is>
          <t>PIP-SIT-A-A5-019</t>
        </is>
      </c>
      <c r="B63" s="4" t="inlineStr">
        <is>
          <t>0.2</t>
        </is>
      </c>
      <c r="C63" s="4" t="inlineStr">
        <is>
          <t>PILOTE</t>
        </is>
      </c>
      <c r="D63" s="4" t="inlineStr">
        <is>
          <t>08/09/2026</t>
        </is>
      </c>
      <c r="E63" s="4" t="inlineStr">
        <is>
          <t>08/09/2026</t>
        </is>
      </c>
      <c r="F63" s="4" t="inlineStr">
        <is>
          <t>SIT</t>
        </is>
      </c>
      <c r="G63" s="4" t="inlineStr">
        <is>
          <t>Situation courte avec enjeu central</t>
        </is>
      </c>
      <c r="H63" s="4" t="inlineStr">
        <is>
          <t>A</t>
        </is>
      </c>
      <c r="I63" s="4" t="inlineStr">
        <is>
          <t>A5</t>
        </is>
      </c>
      <c r="J63" s="6" t="inlineStr">
        <is>
          <t>I,E</t>
        </is>
      </c>
      <c r="K63" s="6" t="inlineStr">
        <is>
          <t>Travailler sur un problème pour lequel plusieurs réponses différentes peuvent être pertinentes.</t>
        </is>
      </c>
      <c r="L63" s="4" t="inlineStr">
        <is>
          <t>Cela ne m’attire pas du tout</t>
        </is>
      </c>
      <c r="M63" s="4" t="inlineStr">
        <is>
          <t>Cela m’attire peu</t>
        </is>
      </c>
      <c r="N63" s="4" t="inlineStr">
        <is>
          <t>Je suis partagé(e) / sans préférence marquée</t>
        </is>
      </c>
      <c r="O63" s="4" t="inlineStr">
        <is>
          <t>Cela m’attire</t>
        </is>
      </c>
      <c r="P63" s="4" t="inlineStr">
        <is>
          <t>Cela m’attire beaucoup</t>
        </is>
      </c>
      <c r="Q63" s="4" t="n">
        <v>1</v>
      </c>
      <c r="R63" s="4" t="n">
        <v>2</v>
      </c>
      <c r="S63" s="4" t="n">
        <v>3</v>
      </c>
      <c r="T63" s="4" t="n">
        <v>4</v>
      </c>
      <c r="U63" s="4" t="n">
        <v>5</v>
      </c>
      <c r="V63" s="6" t="inlineStr">
        <is>
          <t>La formulation cible l’intérêt pour créer, concevoir ou exprimer avec ouverture. Elle mobilise un comportement caractéristique de la dimension A (Artistique) sans demander un niveau de compétence préalable.</t>
        </is>
      </c>
      <c r="W63" s="6" t="inlineStr">
        <is>
          <t>L’item relève de A5 — Explorer des solutions ouvertes : Tâches créatives où plusieurs réponses sont possibles et l’originalité a une place réelle.</t>
        </is>
      </c>
      <c r="X63" s="6" t="inlineStr">
        <is>
          <t>Revue méthodologique V0.3 : surveiller compréhension du vocabulaire, frontière avec I au pilote.</t>
        </is>
      </c>
      <c r="Y63" s="6" t="inlineStr">
        <is>
          <t>FAIBLE</t>
        </is>
      </c>
      <c r="Z63" s="6" t="inlineStr">
        <is>
          <t>FAIBLE</t>
        </is>
      </c>
      <c r="AA63" s="6" t="inlineStr">
        <is>
          <t>FAIBLE</t>
        </is>
      </c>
      <c r="AB63" s="6" t="inlineStr">
        <is>
          <t>FAIBLE</t>
        </is>
      </c>
      <c r="AC63" s="6" t="inlineStr">
        <is>
          <t>MOYEN</t>
        </is>
      </c>
      <c r="AD63" s="6" t="inlineStr">
        <is>
          <t>FAIBLE</t>
        </is>
      </c>
      <c r="AE63" s="6" t="inlineStr">
        <is>
          <t>FAIBLE</t>
        </is>
      </c>
      <c r="AF63" s="6" t="inlineStr">
        <is>
          <t>FAIBLE</t>
        </is>
      </c>
      <c r="AG63" s="6" t="inlineStr">
        <is>
          <t>FAIBLE</t>
        </is>
      </c>
      <c r="AH63" s="6" t="inlineStr">
        <is>
          <t>FAIBLE</t>
        </is>
      </c>
      <c r="AI63" s="6" t="inlineStr">
        <is>
          <t>MOYEN</t>
        </is>
      </c>
      <c r="AJ63" s="4" t="n">
        <v>0</v>
      </c>
      <c r="AK63" s="4" t="n"/>
      <c r="AL63" s="6" t="inlineStr">
        <is>
          <t>RETIRE_BANQUE72_HISTORIQUE_CONSERVE</t>
        </is>
      </c>
      <c r="AM63" s="6" t="inlineStr">
        <is>
          <t>Réduction méthodologique 120→72 : doublon de facette / priorité aux activités professionnelles observables et aux items à plus faible risque.</t>
        </is>
      </c>
      <c r="AN63" s="4" t="inlineStr">
        <is>
          <t>PIP-BANK-0.3</t>
        </is>
      </c>
      <c r="AO63" s="6" t="inlineStr">
        <is>
          <t>PIP-BANK-0.3</t>
        </is>
      </c>
      <c r="AP63" s="8">
        <f>IF(OR(C63="PILOTE",C63="ACTIF"),IF(AND(A63&lt;&gt;"",H63&lt;&gt;"",I63&lt;&gt;"",K63&lt;&gt;"",V63&lt;&gt;"",W63&lt;&gt;""),"OK","A_COMPLETER"),"OK_STRUCTURE")</f>
        <v/>
      </c>
    </row>
    <row r="64" ht="72" customHeight="1" s="34">
      <c r="A64" s="4" t="inlineStr">
        <is>
          <t>PIP-ENV-A-A5-020</t>
        </is>
      </c>
      <c r="B64" s="4" t="inlineStr">
        <is>
          <t>0.2</t>
        </is>
      </c>
      <c r="C64" s="4" t="inlineStr">
        <is>
          <t>PILOTE</t>
        </is>
      </c>
      <c r="D64" s="4" t="inlineStr">
        <is>
          <t>08/09/2026</t>
        </is>
      </c>
      <c r="E64" s="4" t="inlineStr">
        <is>
          <t>08/09/2026</t>
        </is>
      </c>
      <c r="F64" s="4" t="inlineStr">
        <is>
          <t>ENV</t>
        </is>
      </c>
      <c r="G64" s="4" t="inlineStr">
        <is>
          <t>Contexte décrit par ce qu’il permet de faire</t>
        </is>
      </c>
      <c r="H64" s="4" t="inlineStr">
        <is>
          <t>A</t>
        </is>
      </c>
      <c r="I64" s="4" t="inlineStr">
        <is>
          <t>A5</t>
        </is>
      </c>
      <c r="J64" s="6" t="inlineStr">
        <is>
          <t>I,E</t>
        </is>
      </c>
      <c r="K64" s="6" t="inlineStr">
        <is>
          <t>Évoluer dans un contexte où les consignes laissent une place importante à l’interprétation personnelle et à l’expérimentation créative.</t>
        </is>
      </c>
      <c r="L64" s="4" t="inlineStr">
        <is>
          <t>Cela ne m’attire pas du tout</t>
        </is>
      </c>
      <c r="M64" s="4" t="inlineStr">
        <is>
          <t>Cela m’attire peu</t>
        </is>
      </c>
      <c r="N64" s="4" t="inlineStr">
        <is>
          <t>Je suis partagé(e) / sans préférence marquée</t>
        </is>
      </c>
      <c r="O64" s="4" t="inlineStr">
        <is>
          <t>Cela m’attire</t>
        </is>
      </c>
      <c r="P64" s="4" t="inlineStr">
        <is>
          <t>Cela m’attire beaucoup</t>
        </is>
      </c>
      <c r="Q64" s="4" t="n">
        <v>1</v>
      </c>
      <c r="R64" s="4" t="n">
        <v>2</v>
      </c>
      <c r="S64" s="4" t="n">
        <v>3</v>
      </c>
      <c r="T64" s="4" t="n">
        <v>4</v>
      </c>
      <c r="U64" s="4" t="n">
        <v>5</v>
      </c>
      <c r="V64" s="6" t="inlineStr">
        <is>
          <t>La formulation cible l’intérêt pour créer, concevoir ou exprimer avec ouverture. Elle mobilise un comportement caractéristique de la dimension A (Artistique) sans demander un niveau de compétence préalable.</t>
        </is>
      </c>
      <c r="W64" s="6" t="inlineStr">
        <is>
          <t>L’item relève de A5 — Explorer des solutions ouvertes : Tâches créatives où plusieurs réponses sont possibles et l’originalité a une place réelle.</t>
        </is>
      </c>
      <c r="X64" s="6" t="inlineStr">
        <is>
          <t>Revue méthodologique V0.3 : surveiller compréhension du vocabulaire au pilote.</t>
        </is>
      </c>
      <c r="Y64" s="6" t="inlineStr">
        <is>
          <t>FAIBLE</t>
        </is>
      </c>
      <c r="Z64" s="6" t="inlineStr">
        <is>
          <t>FAIBLE</t>
        </is>
      </c>
      <c r="AA64" s="6" t="inlineStr">
        <is>
          <t>FAIBLE</t>
        </is>
      </c>
      <c r="AB64" s="6" t="inlineStr">
        <is>
          <t>FAIBLE</t>
        </is>
      </c>
      <c r="AC64" s="6" t="inlineStr">
        <is>
          <t>MOYEN</t>
        </is>
      </c>
      <c r="AD64" s="6" t="inlineStr">
        <is>
          <t>FAIBLE</t>
        </is>
      </c>
      <c r="AE64" s="6" t="inlineStr">
        <is>
          <t>FAIBLE</t>
        </is>
      </c>
      <c r="AF64" s="6" t="inlineStr">
        <is>
          <t>FAIBLE</t>
        </is>
      </c>
      <c r="AG64" s="6" t="inlineStr">
        <is>
          <t>FAIBLE</t>
        </is>
      </c>
      <c r="AH64" s="6" t="inlineStr">
        <is>
          <t>FAIBLE</t>
        </is>
      </c>
      <c r="AI64" s="6" t="inlineStr">
        <is>
          <t>FAIBLE</t>
        </is>
      </c>
      <c r="AJ64" s="4" t="n">
        <v>0</v>
      </c>
      <c r="AK64" s="4" t="n"/>
      <c r="AL64" s="6" t="inlineStr">
        <is>
          <t>RETIRE_BANQUE72_HISTORIQUE_CONSERVE</t>
        </is>
      </c>
      <c r="AM64" s="6" t="inlineStr">
        <is>
          <t>Réduction méthodologique 120→72 : doublon de facette / priorité aux activités professionnelles observables et aux items à plus faible risque.</t>
        </is>
      </c>
      <c r="AN64" s="4" t="inlineStr">
        <is>
          <t>PIP-BANK-0.3</t>
        </is>
      </c>
      <c r="AO64" s="6" t="inlineStr">
        <is>
          <t>PIP-BANK-0.3</t>
        </is>
      </c>
      <c r="AP64" s="8">
        <f>IF(OR(C64="PILOTE",C64="ACTIF"),IF(AND(A64&lt;&gt;"",H64&lt;&gt;"",I64&lt;&gt;"",K64&lt;&gt;"",V64&lt;&gt;"",W64&lt;&gt;""),"OK","A_COMPLETER"),"OK_STRUCTURE")</f>
        <v/>
      </c>
    </row>
    <row r="65" ht="72" customHeight="1" s="34">
      <c r="A65" s="4" t="inlineStr">
        <is>
          <t>PIP-ACT-S-S1-001</t>
        </is>
      </c>
      <c r="B65" s="4" t="inlineStr">
        <is>
          <t>0.2</t>
        </is>
      </c>
      <c r="C65" s="4" t="inlineStr">
        <is>
          <t>PILOTE</t>
        </is>
      </c>
      <c r="D65" s="4" t="inlineStr">
        <is>
          <t>08/09/2026</t>
        </is>
      </c>
      <c r="E65" s="4" t="inlineStr">
        <is>
          <t>08/09/2026</t>
        </is>
      </c>
      <c r="F65" s="4" t="inlineStr">
        <is>
          <t>ACT</t>
        </is>
      </c>
      <c r="G65" s="4" t="inlineStr">
        <is>
          <t>Verbe d’action + objet/contexte</t>
        </is>
      </c>
      <c r="H65" s="4" t="inlineStr">
        <is>
          <t>S</t>
        </is>
      </c>
      <c r="I65" s="4" t="inlineStr">
        <is>
          <t>S1</t>
        </is>
      </c>
      <c r="J65" s="6" t="inlineStr">
        <is>
          <t>I</t>
        </is>
      </c>
      <c r="K65" s="6" t="inlineStr">
        <is>
          <t>Expliquer un sujet à une personne pour l’aider à le comprendre.</t>
        </is>
      </c>
      <c r="L65" s="4" t="inlineStr">
        <is>
          <t>Cela ne m’attire pas du tout</t>
        </is>
      </c>
      <c r="M65" s="4" t="inlineStr">
        <is>
          <t>Cela m’attire peu</t>
        </is>
      </c>
      <c r="N65" s="4" t="inlineStr">
        <is>
          <t>Je suis partagé(e) / sans préférence marquée</t>
        </is>
      </c>
      <c r="O65" s="4" t="inlineStr">
        <is>
          <t>Cela m’attire</t>
        </is>
      </c>
      <c r="P65" s="4" t="inlineStr">
        <is>
          <t>Cela m’attire beaucoup</t>
        </is>
      </c>
      <c r="Q65" s="4" t="n">
        <v>1</v>
      </c>
      <c r="R65" s="4" t="n">
        <v>2</v>
      </c>
      <c r="S65" s="4" t="n">
        <v>3</v>
      </c>
      <c r="T65" s="4" t="n">
        <v>4</v>
      </c>
      <c r="U65" s="4" t="n">
        <v>5</v>
      </c>
      <c r="V65" s="6" t="inlineStr">
        <is>
          <t>La formulation cible l’intérêt pour aider, développer, soutenir ou servir autrui. Elle mobilise un comportement caractéristique de la dimension S (Social) sans demander un niveau de compétence préalable.</t>
        </is>
      </c>
      <c r="W65" s="6" t="inlineStr">
        <is>
          <t>L’item relève de S1 — Enseigner / transmettre : Faire apprendre, expliquer et développer des connaissances ou savoir-faire chez autrui.</t>
        </is>
      </c>
      <c r="X65" s="6" t="inlineStr">
        <is>
          <t>Revue méthodologique V0.3 : surveiller désirabilité sociale, stéréotypes de genre historiques liés au soin/service au pilote.</t>
        </is>
      </c>
      <c r="Y65" s="6" t="inlineStr">
        <is>
          <t>MOYEN</t>
        </is>
      </c>
      <c r="Z65" s="6" t="inlineStr">
        <is>
          <t>FAIBLE</t>
        </is>
      </c>
      <c r="AA65" s="6" t="inlineStr">
        <is>
          <t>FAIBLE</t>
        </is>
      </c>
      <c r="AB65" s="6" t="inlineStr">
        <is>
          <t>FAIBLE</t>
        </is>
      </c>
      <c r="AC65" s="6" t="inlineStr">
        <is>
          <t>FAIBLE</t>
        </is>
      </c>
      <c r="AD65" s="6" t="inlineStr">
        <is>
          <t>FAIBLE</t>
        </is>
      </c>
      <c r="AE65" s="6" t="inlineStr">
        <is>
          <t>FAIBLE</t>
        </is>
      </c>
      <c r="AF65" s="6" t="inlineStr">
        <is>
          <t>FAIBLE</t>
        </is>
      </c>
      <c r="AG65" s="6" t="inlineStr">
        <is>
          <t>FAIBLE</t>
        </is>
      </c>
      <c r="AH65" s="6" t="inlineStr">
        <is>
          <t>MOYEN</t>
        </is>
      </c>
      <c r="AI65" s="6" t="inlineStr">
        <is>
          <t>FAIBLE</t>
        </is>
      </c>
      <c r="AJ65" s="4" t="n">
        <v>0</v>
      </c>
      <c r="AK65" s="4" t="n"/>
      <c r="AL65" s="6" t="inlineStr">
        <is>
          <t>RETENU_V0.5_REECRIT_CONCRET</t>
        </is>
      </c>
      <c r="AM65" s="6" t="n"/>
      <c r="AN65" s="4" t="inlineStr">
        <is>
          <t>PIP-BANK-0.3</t>
        </is>
      </c>
      <c r="AO65" s="6" t="inlineStr">
        <is>
          <t>PIP-BANK-0.4</t>
        </is>
      </c>
      <c r="AP65" s="8">
        <f>IF(OR(C65="PILOTE",C65="ACTIF"),IF(AND(A65&lt;&gt;"",H65&lt;&gt;"",I65&lt;&gt;"",K65&lt;&gt;"",V65&lt;&gt;"",W65&lt;&gt;""),"OK","A_COMPLETER"),"OK_STRUCTURE")</f>
        <v/>
      </c>
    </row>
    <row r="66" ht="72" customHeight="1" s="34">
      <c r="A66" s="4" t="inlineStr">
        <is>
          <t>PIP-ACT-S-S1-002</t>
        </is>
      </c>
      <c r="B66" s="4" t="inlineStr">
        <is>
          <t>0.2</t>
        </is>
      </c>
      <c r="C66" s="4" t="inlineStr">
        <is>
          <t>PILOTE</t>
        </is>
      </c>
      <c r="D66" s="4" t="inlineStr">
        <is>
          <t>08/09/2026</t>
        </is>
      </c>
      <c r="E66" s="4" t="inlineStr">
        <is>
          <t>08/09/2026</t>
        </is>
      </c>
      <c r="F66" s="4" t="inlineStr">
        <is>
          <t>ACT</t>
        </is>
      </c>
      <c r="G66" s="4" t="inlineStr">
        <is>
          <t>Verbe d’action + objet/contexte</t>
        </is>
      </c>
      <c r="H66" s="4" t="inlineStr">
        <is>
          <t>S</t>
        </is>
      </c>
      <c r="I66" s="4" t="inlineStr">
        <is>
          <t>S1</t>
        </is>
      </c>
      <c r="J66" s="6" t="inlineStr">
        <is>
          <t>I</t>
        </is>
      </c>
      <c r="K66" s="6" t="inlineStr">
        <is>
          <t>Montrer à quelqu’un comment réaliser une tâche afin qu’il puisse ensuite la faire seul.</t>
        </is>
      </c>
      <c r="L66" s="4" t="inlineStr">
        <is>
          <t>Cela ne m’attire pas du tout</t>
        </is>
      </c>
      <c r="M66" s="4" t="inlineStr">
        <is>
          <t>Cela m’attire peu</t>
        </is>
      </c>
      <c r="N66" s="4" t="inlineStr">
        <is>
          <t>Je suis partagé(e) / sans préférence marquée</t>
        </is>
      </c>
      <c r="O66" s="4" t="inlineStr">
        <is>
          <t>Cela m’attire</t>
        </is>
      </c>
      <c r="P66" s="4" t="inlineStr">
        <is>
          <t>Cela m’attire beaucoup</t>
        </is>
      </c>
      <c r="Q66" s="4" t="n">
        <v>1</v>
      </c>
      <c r="R66" s="4" t="n">
        <v>2</v>
      </c>
      <c r="S66" s="4" t="n">
        <v>3</v>
      </c>
      <c r="T66" s="4" t="n">
        <v>4</v>
      </c>
      <c r="U66" s="4" t="n">
        <v>5</v>
      </c>
      <c r="V66" s="6" t="inlineStr">
        <is>
          <t>La formulation cible l’intérêt pour aider, développer, soutenir ou servir autrui. Elle mobilise un comportement caractéristique de la dimension S (Social) sans demander un niveau de compétence préalable.</t>
        </is>
      </c>
      <c r="W66" s="6" t="inlineStr">
        <is>
          <t>L’item relève de S1 — Enseigner / transmettre : Faire apprendre, expliquer et développer des connaissances ou savoir-faire chez autrui.</t>
        </is>
      </c>
      <c r="X66" s="6" t="inlineStr">
        <is>
          <t>Revue méthodologique V0.3 : surveiller désirabilité sociale, stéréotypes de genre historiques liés au soin/service au pilote.</t>
        </is>
      </c>
      <c r="Y66" s="6" t="inlineStr">
        <is>
          <t>MOYEN</t>
        </is>
      </c>
      <c r="Z66" s="6" t="inlineStr">
        <is>
          <t>FAIBLE</t>
        </is>
      </c>
      <c r="AA66" s="6" t="inlineStr">
        <is>
          <t>FAIBLE</t>
        </is>
      </c>
      <c r="AB66" s="6" t="inlineStr">
        <is>
          <t>FAIBLE</t>
        </is>
      </c>
      <c r="AC66" s="6" t="inlineStr">
        <is>
          <t>FAIBLE</t>
        </is>
      </c>
      <c r="AD66" s="6" t="inlineStr">
        <is>
          <t>FAIBLE</t>
        </is>
      </c>
      <c r="AE66" s="6" t="inlineStr">
        <is>
          <t>FAIBLE</t>
        </is>
      </c>
      <c r="AF66" s="6" t="inlineStr">
        <is>
          <t>FAIBLE</t>
        </is>
      </c>
      <c r="AG66" s="6" t="inlineStr">
        <is>
          <t>FAIBLE</t>
        </is>
      </c>
      <c r="AH66" s="6" t="inlineStr">
        <is>
          <t>MOYEN</t>
        </is>
      </c>
      <c r="AI66" s="6" t="inlineStr">
        <is>
          <t>FAIBLE</t>
        </is>
      </c>
      <c r="AJ66" s="4" t="n">
        <v>0</v>
      </c>
      <c r="AK66" s="4" t="n"/>
      <c r="AL66" s="6" t="inlineStr">
        <is>
          <t>RETENU_V0.5_REECRIT_CONCRET</t>
        </is>
      </c>
      <c r="AM66" s="6" t="n"/>
      <c r="AN66" s="4" t="inlineStr">
        <is>
          <t>PIP-BANK-0.3</t>
        </is>
      </c>
      <c r="AO66" s="6" t="inlineStr">
        <is>
          <t>PIP-BANK-0.4</t>
        </is>
      </c>
      <c r="AP66" s="8">
        <f>IF(OR(C66="PILOTE",C66="ACTIF"),IF(AND(A66&lt;&gt;"",H66&lt;&gt;"",I66&lt;&gt;"",K66&lt;&gt;"",V66&lt;&gt;"",W66&lt;&gt;""),"OK","A_COMPLETER"),"OK_STRUCTURE")</f>
        <v/>
      </c>
    </row>
    <row r="67" ht="72" customHeight="1" s="34">
      <c r="A67" s="4" t="inlineStr">
        <is>
          <t>PIP-SIT-S-S1-003</t>
        </is>
      </c>
      <c r="B67" s="4" t="inlineStr">
        <is>
          <t>0.2</t>
        </is>
      </c>
      <c r="C67" s="4" t="inlineStr">
        <is>
          <t>PILOTE</t>
        </is>
      </c>
      <c r="D67" s="4" t="inlineStr">
        <is>
          <t>08/09/2026</t>
        </is>
      </c>
      <c r="E67" s="4" t="inlineStr">
        <is>
          <t>08/09/2026</t>
        </is>
      </c>
      <c r="F67" s="4" t="inlineStr">
        <is>
          <t>SIT</t>
        </is>
      </c>
      <c r="G67" s="4" t="inlineStr">
        <is>
          <t>Situation courte avec enjeu central</t>
        </is>
      </c>
      <c r="H67" s="4" t="inlineStr">
        <is>
          <t>S</t>
        </is>
      </c>
      <c r="I67" s="4" t="inlineStr">
        <is>
          <t>S1</t>
        </is>
      </c>
      <c r="J67" s="6" t="inlineStr">
        <is>
          <t>I</t>
        </is>
      </c>
      <c r="K67" s="6" t="inlineStr">
        <is>
          <t>Adapter sa manière d’expliquer lorsqu’une personne ne comprend pas du premier coup.</t>
        </is>
      </c>
      <c r="L67" s="4" t="inlineStr">
        <is>
          <t>Cela ne m’attire pas du tout</t>
        </is>
      </c>
      <c r="M67" s="4" t="inlineStr">
        <is>
          <t>Cela m’attire peu</t>
        </is>
      </c>
      <c r="N67" s="4" t="inlineStr">
        <is>
          <t>Je suis partagé(e) / sans préférence marquée</t>
        </is>
      </c>
      <c r="O67" s="4" t="inlineStr">
        <is>
          <t>Cela m’attire</t>
        </is>
      </c>
      <c r="P67" s="4" t="inlineStr">
        <is>
          <t>Cela m’attire beaucoup</t>
        </is>
      </c>
      <c r="Q67" s="4" t="n">
        <v>1</v>
      </c>
      <c r="R67" s="4" t="n">
        <v>2</v>
      </c>
      <c r="S67" s="4" t="n">
        <v>3</v>
      </c>
      <c r="T67" s="4" t="n">
        <v>4</v>
      </c>
      <c r="U67" s="4" t="n">
        <v>5</v>
      </c>
      <c r="V67" s="6" t="inlineStr">
        <is>
          <t>La formulation cible l’intérêt pour aider, développer, soutenir ou servir autrui. Elle mobilise un comportement caractéristique de la dimension S (Social) sans demander un niveau de compétence préalable.</t>
        </is>
      </c>
      <c r="W67" s="6" t="inlineStr">
        <is>
          <t>L’item relève de S1 — Enseigner / transmettre : Faire apprendre, expliquer et développer des connaissances ou savoir-faire chez autrui.</t>
        </is>
      </c>
      <c r="X67" s="6" t="inlineStr">
        <is>
          <t>Revue méthodologique V0.3 : surveiller désirabilité sociale, stéréotypes de genre historiques liés au soin/service au pilote.</t>
        </is>
      </c>
      <c r="Y67" s="6" t="inlineStr">
        <is>
          <t>MOYEN</t>
        </is>
      </c>
      <c r="Z67" s="6" t="inlineStr">
        <is>
          <t>FAIBLE</t>
        </is>
      </c>
      <c r="AA67" s="6" t="inlineStr">
        <is>
          <t>FAIBLE</t>
        </is>
      </c>
      <c r="AB67" s="6" t="inlineStr">
        <is>
          <t>FAIBLE</t>
        </is>
      </c>
      <c r="AC67" s="6" t="inlineStr">
        <is>
          <t>FAIBLE</t>
        </is>
      </c>
      <c r="AD67" s="6" t="inlineStr">
        <is>
          <t>FAIBLE</t>
        </is>
      </c>
      <c r="AE67" s="6" t="inlineStr">
        <is>
          <t>FAIBLE</t>
        </is>
      </c>
      <c r="AF67" s="6" t="inlineStr">
        <is>
          <t>FAIBLE</t>
        </is>
      </c>
      <c r="AG67" s="6" t="inlineStr">
        <is>
          <t>FAIBLE</t>
        </is>
      </c>
      <c r="AH67" s="6" t="inlineStr">
        <is>
          <t>MOYEN</t>
        </is>
      </c>
      <c r="AI67" s="6" t="inlineStr">
        <is>
          <t>FAIBLE</t>
        </is>
      </c>
      <c r="AJ67" s="4" t="n">
        <v>0</v>
      </c>
      <c r="AK67" s="4" t="n"/>
      <c r="AL67" s="6" t="inlineStr">
        <is>
          <t>RETENU_V0.5_REECRIT_CONCRET</t>
        </is>
      </c>
      <c r="AM67" s="6" t="n"/>
      <c r="AN67" s="4" t="inlineStr">
        <is>
          <t>PIP-BANK-0.3</t>
        </is>
      </c>
      <c r="AO67" s="6" t="inlineStr">
        <is>
          <t>PIP-BANK-0.4</t>
        </is>
      </c>
      <c r="AP67" s="8">
        <f>IF(OR(C67="PILOTE",C67="ACTIF"),IF(AND(A67&lt;&gt;"",H67&lt;&gt;"",I67&lt;&gt;"",K67&lt;&gt;"",V67&lt;&gt;"",W67&lt;&gt;""),"OK","A_COMPLETER"),"OK_STRUCTURE")</f>
        <v/>
      </c>
    </row>
    <row r="68" ht="72" customHeight="1" s="34">
      <c r="A68" s="4" t="inlineStr">
        <is>
          <t>PIP-ENV-S-S1-004</t>
        </is>
      </c>
      <c r="B68" s="4" t="inlineStr">
        <is>
          <t>0.2</t>
        </is>
      </c>
      <c r="C68" s="4" t="inlineStr">
        <is>
          <t>PILOTE</t>
        </is>
      </c>
      <c r="D68" s="4" t="inlineStr">
        <is>
          <t>08/09/2026</t>
        </is>
      </c>
      <c r="E68" s="4" t="inlineStr">
        <is>
          <t>08/09/2026</t>
        </is>
      </c>
      <c r="F68" s="4" t="inlineStr">
        <is>
          <t>ENV</t>
        </is>
      </c>
      <c r="G68" s="4" t="inlineStr">
        <is>
          <t>Contexte décrit par ce qu’il permet de faire</t>
        </is>
      </c>
      <c r="H68" s="4" t="inlineStr">
        <is>
          <t>S</t>
        </is>
      </c>
      <c r="I68" s="4" t="inlineStr">
        <is>
          <t>S1</t>
        </is>
      </c>
      <c r="J68" s="6" t="inlineStr">
        <is>
          <t>I</t>
        </is>
      </c>
      <c r="K68" s="6" t="inlineStr">
        <is>
          <t>Travailler dans un contexte où l’on aide régulièrement d’autres personnes à apprendre ou à progresser.</t>
        </is>
      </c>
      <c r="L68" s="4" t="inlineStr">
        <is>
          <t>Cela ne m’attire pas du tout</t>
        </is>
      </c>
      <c r="M68" s="4" t="inlineStr">
        <is>
          <t>Cela m’attire peu</t>
        </is>
      </c>
      <c r="N68" s="4" t="inlineStr">
        <is>
          <t>Je suis partagé(e) / sans préférence marquée</t>
        </is>
      </c>
      <c r="O68" s="4" t="inlineStr">
        <is>
          <t>Cela m’attire</t>
        </is>
      </c>
      <c r="P68" s="4" t="inlineStr">
        <is>
          <t>Cela m’attire beaucoup</t>
        </is>
      </c>
      <c r="Q68" s="4" t="n">
        <v>1</v>
      </c>
      <c r="R68" s="4" t="n">
        <v>2</v>
      </c>
      <c r="S68" s="4" t="n">
        <v>3</v>
      </c>
      <c r="T68" s="4" t="n">
        <v>4</v>
      </c>
      <c r="U68" s="4" t="n">
        <v>5</v>
      </c>
      <c r="V68" s="6" t="inlineStr">
        <is>
          <t>La formulation cible l’intérêt pour aider, développer, soutenir ou servir autrui. Elle mobilise un comportement caractéristique de la dimension S (Social) sans demander un niveau de compétence préalable.</t>
        </is>
      </c>
      <c r="W68" s="6" t="inlineStr">
        <is>
          <t>L’item relève de S1 — Enseigner / transmettre : Faire apprendre, expliquer et développer des connaissances ou savoir-faire chez autrui.</t>
        </is>
      </c>
      <c r="X68" s="6" t="inlineStr">
        <is>
          <t>Revue méthodologique V0.3 : surveiller désirabilité sociale, stéréotypes de genre historiques liés au soin/service au pilote.</t>
        </is>
      </c>
      <c r="Y68" s="6" t="inlineStr">
        <is>
          <t>MOYEN</t>
        </is>
      </c>
      <c r="Z68" s="6" t="inlineStr">
        <is>
          <t>FAIBLE</t>
        </is>
      </c>
      <c r="AA68" s="6" t="inlineStr">
        <is>
          <t>FAIBLE</t>
        </is>
      </c>
      <c r="AB68" s="6" t="inlineStr">
        <is>
          <t>FAIBLE</t>
        </is>
      </c>
      <c r="AC68" s="6" t="inlineStr">
        <is>
          <t>FAIBLE</t>
        </is>
      </c>
      <c r="AD68" s="6" t="inlineStr">
        <is>
          <t>FAIBLE</t>
        </is>
      </c>
      <c r="AE68" s="6" t="inlineStr">
        <is>
          <t>FAIBLE</t>
        </is>
      </c>
      <c r="AF68" s="6" t="inlineStr">
        <is>
          <t>FAIBLE</t>
        </is>
      </c>
      <c r="AG68" s="6" t="inlineStr">
        <is>
          <t>FAIBLE</t>
        </is>
      </c>
      <c r="AH68" s="6" t="inlineStr">
        <is>
          <t>MOYEN</t>
        </is>
      </c>
      <c r="AI68" s="6" t="inlineStr">
        <is>
          <t>FAIBLE</t>
        </is>
      </c>
      <c r="AJ68" s="4" t="n">
        <v>0</v>
      </c>
      <c r="AK68" s="4" t="n"/>
      <c r="AL68" s="6" t="inlineStr">
        <is>
          <t>RETIRE_BANQUE72_HISTORIQUE_CONSERVE</t>
        </is>
      </c>
      <c r="AM68" s="6" t="inlineStr">
        <is>
          <t>Réduction méthodologique 120→72 : doublon de facette / priorité aux activités professionnelles observables et aux items à plus faible risque.</t>
        </is>
      </c>
      <c r="AN68" s="4" t="inlineStr">
        <is>
          <t>PIP-BANK-0.3</t>
        </is>
      </c>
      <c r="AO68" s="6" t="inlineStr">
        <is>
          <t>PIP-BANK-0.3</t>
        </is>
      </c>
      <c r="AP68" s="8">
        <f>IF(OR(C68="PILOTE",C68="ACTIF"),IF(AND(A68&lt;&gt;"",H68&lt;&gt;"",I68&lt;&gt;"",K68&lt;&gt;"",V68&lt;&gt;"",W68&lt;&gt;""),"OK","A_COMPLETER"),"OK_STRUCTURE")</f>
        <v/>
      </c>
    </row>
    <row r="69" ht="72" customHeight="1" s="34">
      <c r="A69" s="4" t="inlineStr">
        <is>
          <t>PIP-ACT-S-S2-005</t>
        </is>
      </c>
      <c r="B69" s="4" t="inlineStr">
        <is>
          <t>0.2</t>
        </is>
      </c>
      <c r="C69" s="4" t="inlineStr">
        <is>
          <t>PILOTE</t>
        </is>
      </c>
      <c r="D69" s="4" t="inlineStr">
        <is>
          <t>08/09/2026</t>
        </is>
      </c>
      <c r="E69" s="4" t="inlineStr">
        <is>
          <t>08/09/2026</t>
        </is>
      </c>
      <c r="F69" s="4" t="inlineStr">
        <is>
          <t>ACT</t>
        </is>
      </c>
      <c r="G69" s="4" t="inlineStr">
        <is>
          <t>Verbe d’action + objet/contexte</t>
        </is>
      </c>
      <c r="H69" s="4" t="inlineStr">
        <is>
          <t>S</t>
        </is>
      </c>
      <c r="I69" s="4" t="inlineStr">
        <is>
          <t>S2</t>
        </is>
      </c>
      <c r="J69" s="6" t="inlineStr">
        <is>
          <t>E</t>
        </is>
      </c>
      <c r="K69" s="6" t="inlineStr">
        <is>
          <t>Accompagner une personne dans la réalisation d’un objectif qui compte pour elle.</t>
        </is>
      </c>
      <c r="L69" s="4" t="inlineStr">
        <is>
          <t>Cela ne m’attire pas du tout</t>
        </is>
      </c>
      <c r="M69" s="4" t="inlineStr">
        <is>
          <t>Cela m’attire peu</t>
        </is>
      </c>
      <c r="N69" s="4" t="inlineStr">
        <is>
          <t>Je suis partagé(e) / sans préférence marquée</t>
        </is>
      </c>
      <c r="O69" s="4" t="inlineStr">
        <is>
          <t>Cela m’attire</t>
        </is>
      </c>
      <c r="P69" s="4" t="inlineStr">
        <is>
          <t>Cela m’attire beaucoup</t>
        </is>
      </c>
      <c r="Q69" s="4" t="n">
        <v>1</v>
      </c>
      <c r="R69" s="4" t="n">
        <v>2</v>
      </c>
      <c r="S69" s="4" t="n">
        <v>3</v>
      </c>
      <c r="T69" s="4" t="n">
        <v>4</v>
      </c>
      <c r="U69" s="4" t="n">
        <v>5</v>
      </c>
      <c r="V69" s="6" t="inlineStr">
        <is>
          <t>La formulation cible l’intérêt pour aider, développer, soutenir ou servir autrui. Elle mobilise un comportement caractéristique de la dimension S (Social) sans demander un niveau de compétence préalable.</t>
        </is>
      </c>
      <c r="W69" s="6" t="inlineStr">
        <is>
          <t>L’item relève de S2 — Aider / soutenir / accompagner : Soutenir une personne face à une difficulté, un changement ou un objectif.</t>
        </is>
      </c>
      <c r="X69" s="6" t="inlineStr">
        <is>
          <t>Revue méthodologique V0.3 : surveiller désirabilité sociale, stéréotypes de genre historiques liés au soin/service au pilote.</t>
        </is>
      </c>
      <c r="Y69" s="6" t="inlineStr">
        <is>
          <t>MOYEN</t>
        </is>
      </c>
      <c r="Z69" s="6" t="inlineStr">
        <is>
          <t>FAIBLE</t>
        </is>
      </c>
      <c r="AA69" s="6" t="inlineStr">
        <is>
          <t>FAIBLE</t>
        </is>
      </c>
      <c r="AB69" s="6" t="inlineStr">
        <is>
          <t>FAIBLE</t>
        </is>
      </c>
      <c r="AC69" s="6" t="inlineStr">
        <is>
          <t>FAIBLE</t>
        </is>
      </c>
      <c r="AD69" s="6" t="inlineStr">
        <is>
          <t>FAIBLE</t>
        </is>
      </c>
      <c r="AE69" s="6" t="inlineStr">
        <is>
          <t>FAIBLE</t>
        </is>
      </c>
      <c r="AF69" s="6" t="inlineStr">
        <is>
          <t>FAIBLE</t>
        </is>
      </c>
      <c r="AG69" s="6" t="inlineStr">
        <is>
          <t>FAIBLE</t>
        </is>
      </c>
      <c r="AH69" s="6" t="inlineStr">
        <is>
          <t>MOYEN</t>
        </is>
      </c>
      <c r="AI69" s="6" t="inlineStr">
        <is>
          <t>FAIBLE</t>
        </is>
      </c>
      <c r="AJ69" s="4" t="n">
        <v>0</v>
      </c>
      <c r="AK69" s="4" t="n"/>
      <c r="AL69" s="6" t="inlineStr">
        <is>
          <t>RETENU_V0.5_REECRIT_CONCRET</t>
        </is>
      </c>
      <c r="AM69" s="6" t="n"/>
      <c r="AN69" s="4" t="inlineStr">
        <is>
          <t>PIP-BANK-0.3</t>
        </is>
      </c>
      <c r="AO69" s="6" t="inlineStr">
        <is>
          <t>PIP-BANK-0.4</t>
        </is>
      </c>
      <c r="AP69" s="8">
        <f>IF(OR(C69="PILOTE",C69="ACTIF"),IF(AND(A69&lt;&gt;"",H69&lt;&gt;"",I69&lt;&gt;"",K69&lt;&gt;"",V69&lt;&gt;"",W69&lt;&gt;""),"OK","A_COMPLETER"),"OK_STRUCTURE")</f>
        <v/>
      </c>
    </row>
    <row r="70" ht="72" customHeight="1" s="34">
      <c r="A70" s="4" t="inlineStr">
        <is>
          <t>PIP-ACT-S-S2-006</t>
        </is>
      </c>
      <c r="B70" s="4" t="inlineStr">
        <is>
          <t>0.2</t>
        </is>
      </c>
      <c r="C70" s="4" t="inlineStr">
        <is>
          <t>PILOTE</t>
        </is>
      </c>
      <c r="D70" s="4" t="inlineStr">
        <is>
          <t>08/09/2026</t>
        </is>
      </c>
      <c r="E70" s="4" t="inlineStr">
        <is>
          <t>08/09/2026</t>
        </is>
      </c>
      <c r="F70" s="4" t="inlineStr">
        <is>
          <t>ACT</t>
        </is>
      </c>
      <c r="G70" s="4" t="inlineStr">
        <is>
          <t>Verbe d’action + objet/contexte</t>
        </is>
      </c>
      <c r="H70" s="4" t="inlineStr">
        <is>
          <t>S</t>
        </is>
      </c>
      <c r="I70" s="4" t="inlineStr">
        <is>
          <t>S2</t>
        </is>
      </c>
      <c r="J70" s="6" t="inlineStr">
        <is>
          <t>E</t>
        </is>
      </c>
      <c r="K70" s="6" t="inlineStr">
        <is>
          <t>Soutenir quelqu’un qui rencontre une difficulté dans son parcours.</t>
        </is>
      </c>
      <c r="L70" s="4" t="inlineStr">
        <is>
          <t>Cela ne m’attire pas du tout</t>
        </is>
      </c>
      <c r="M70" s="4" t="inlineStr">
        <is>
          <t>Cela m’attire peu</t>
        </is>
      </c>
      <c r="N70" s="4" t="inlineStr">
        <is>
          <t>Je suis partagé(e) / sans préférence marquée</t>
        </is>
      </c>
      <c r="O70" s="4" t="inlineStr">
        <is>
          <t>Cela m’attire</t>
        </is>
      </c>
      <c r="P70" s="4" t="inlineStr">
        <is>
          <t>Cela m’attire beaucoup</t>
        </is>
      </c>
      <c r="Q70" s="4" t="n">
        <v>1</v>
      </c>
      <c r="R70" s="4" t="n">
        <v>2</v>
      </c>
      <c r="S70" s="4" t="n">
        <v>3</v>
      </c>
      <c r="T70" s="4" t="n">
        <v>4</v>
      </c>
      <c r="U70" s="4" t="n">
        <v>5</v>
      </c>
      <c r="V70" s="6" t="inlineStr">
        <is>
          <t>La formulation cible l’intérêt pour aider, développer, soutenir ou servir autrui. Elle mobilise un comportement caractéristique de la dimension S (Social) sans demander un niveau de compétence préalable.</t>
        </is>
      </c>
      <c r="W70" s="6" t="inlineStr">
        <is>
          <t>L’item relève de S2 — Aider / soutenir / accompagner : Soutenir une personne face à une difficulté, un changement ou un objectif.</t>
        </is>
      </c>
      <c r="X70" s="6" t="inlineStr">
        <is>
          <t>Revue méthodologique V0.3 : surveiller désirabilité sociale, stéréotypes de genre historiques liés au soin/service au pilote.</t>
        </is>
      </c>
      <c r="Y70" s="6" t="inlineStr">
        <is>
          <t>MOYEN</t>
        </is>
      </c>
      <c r="Z70" s="6" t="inlineStr">
        <is>
          <t>FAIBLE</t>
        </is>
      </c>
      <c r="AA70" s="6" t="inlineStr">
        <is>
          <t>FAIBLE</t>
        </is>
      </c>
      <c r="AB70" s="6" t="inlineStr">
        <is>
          <t>FAIBLE</t>
        </is>
      </c>
      <c r="AC70" s="6" t="inlineStr">
        <is>
          <t>FAIBLE</t>
        </is>
      </c>
      <c r="AD70" s="6" t="inlineStr">
        <is>
          <t>FAIBLE</t>
        </is>
      </c>
      <c r="AE70" s="6" t="inlineStr">
        <is>
          <t>FAIBLE</t>
        </is>
      </c>
      <c r="AF70" s="6" t="inlineStr">
        <is>
          <t>FAIBLE</t>
        </is>
      </c>
      <c r="AG70" s="6" t="inlineStr">
        <is>
          <t>FAIBLE</t>
        </is>
      </c>
      <c r="AH70" s="6" t="inlineStr">
        <is>
          <t>MOYEN</t>
        </is>
      </c>
      <c r="AI70" s="6" t="inlineStr">
        <is>
          <t>FAIBLE</t>
        </is>
      </c>
      <c r="AJ70" s="4" t="n">
        <v>0</v>
      </c>
      <c r="AK70" s="4" t="n"/>
      <c r="AL70" s="6" t="inlineStr">
        <is>
          <t>RETENU_V0.5_REECRIT_CONCRET</t>
        </is>
      </c>
      <c r="AM70" s="6" t="n"/>
      <c r="AN70" s="4" t="inlineStr">
        <is>
          <t>PIP-BANK-0.3</t>
        </is>
      </c>
      <c r="AO70" s="6" t="inlineStr">
        <is>
          <t>PIP-BANK-0.4</t>
        </is>
      </c>
      <c r="AP70" s="8">
        <f>IF(OR(C70="PILOTE",C70="ACTIF"),IF(AND(A70&lt;&gt;"",H70&lt;&gt;"",I70&lt;&gt;"",K70&lt;&gt;"",V70&lt;&gt;"",W70&lt;&gt;""),"OK","A_COMPLETER"),"OK_STRUCTURE")</f>
        <v/>
      </c>
    </row>
    <row r="71" ht="72" customHeight="1" s="34">
      <c r="A71" s="4" t="inlineStr">
        <is>
          <t>PIP-SIT-S-S2-007</t>
        </is>
      </c>
      <c r="B71" s="4" t="inlineStr">
        <is>
          <t>0.2</t>
        </is>
      </c>
      <c r="C71" s="4" t="inlineStr">
        <is>
          <t>PILOTE</t>
        </is>
      </c>
      <c r="D71" s="4" t="inlineStr">
        <is>
          <t>08/09/2026</t>
        </is>
      </c>
      <c r="E71" s="4" t="inlineStr">
        <is>
          <t>08/09/2026</t>
        </is>
      </c>
      <c r="F71" s="4" t="inlineStr">
        <is>
          <t>SIT</t>
        </is>
      </c>
      <c r="G71" s="4" t="inlineStr">
        <is>
          <t>Situation courte avec enjeu central</t>
        </is>
      </c>
      <c r="H71" s="4" t="inlineStr">
        <is>
          <t>S</t>
        </is>
      </c>
      <c r="I71" s="4" t="inlineStr">
        <is>
          <t>S2</t>
        </is>
      </c>
      <c r="J71" s="6" t="inlineStr">
        <is>
          <t>E</t>
        </is>
      </c>
      <c r="K71" s="6" t="inlineStr">
        <is>
          <t>Être aux côtés d’une personne pendant une période de changement et l’aider à avancer.</t>
        </is>
      </c>
      <c r="L71" s="4" t="inlineStr">
        <is>
          <t>Cela ne m’attire pas du tout</t>
        </is>
      </c>
      <c r="M71" s="4" t="inlineStr">
        <is>
          <t>Cela m’attire peu</t>
        </is>
      </c>
      <c r="N71" s="4" t="inlineStr">
        <is>
          <t>Je suis partagé(e) / sans préférence marquée</t>
        </is>
      </c>
      <c r="O71" s="4" t="inlineStr">
        <is>
          <t>Cela m’attire</t>
        </is>
      </c>
      <c r="P71" s="4" t="inlineStr">
        <is>
          <t>Cela m’attire beaucoup</t>
        </is>
      </c>
      <c r="Q71" s="4" t="n">
        <v>1</v>
      </c>
      <c r="R71" s="4" t="n">
        <v>2</v>
      </c>
      <c r="S71" s="4" t="n">
        <v>3</v>
      </c>
      <c r="T71" s="4" t="n">
        <v>4</v>
      </c>
      <c r="U71" s="4" t="n">
        <v>5</v>
      </c>
      <c r="V71" s="6" t="inlineStr">
        <is>
          <t>La formulation cible l’intérêt pour aider, développer, soutenir ou servir autrui. Elle mobilise un comportement caractéristique de la dimension S (Social) sans demander un niveau de compétence préalable.</t>
        </is>
      </c>
      <c r="W71" s="6" t="inlineStr">
        <is>
          <t>L’item relève de S2 — Aider / soutenir / accompagner : Soutenir une personne face à une difficulté, un changement ou un objectif.</t>
        </is>
      </c>
      <c r="X71" s="6" t="inlineStr">
        <is>
          <t>Revue méthodologique V0.3 : surveiller désirabilité sociale, stéréotypes de genre historiques liés au soin/service au pilote.</t>
        </is>
      </c>
      <c r="Y71" s="6" t="inlineStr">
        <is>
          <t>MOYEN</t>
        </is>
      </c>
      <c r="Z71" s="6" t="inlineStr">
        <is>
          <t>FAIBLE</t>
        </is>
      </c>
      <c r="AA71" s="6" t="inlineStr">
        <is>
          <t>FAIBLE</t>
        </is>
      </c>
      <c r="AB71" s="6" t="inlineStr">
        <is>
          <t>FAIBLE</t>
        </is>
      </c>
      <c r="AC71" s="6" t="inlineStr">
        <is>
          <t>FAIBLE</t>
        </is>
      </c>
      <c r="AD71" s="6" t="inlineStr">
        <is>
          <t>FAIBLE</t>
        </is>
      </c>
      <c r="AE71" s="6" t="inlineStr">
        <is>
          <t>FAIBLE</t>
        </is>
      </c>
      <c r="AF71" s="6" t="inlineStr">
        <is>
          <t>FAIBLE</t>
        </is>
      </c>
      <c r="AG71" s="6" t="inlineStr">
        <is>
          <t>FAIBLE</t>
        </is>
      </c>
      <c r="AH71" s="6" t="inlineStr">
        <is>
          <t>MOYEN</t>
        </is>
      </c>
      <c r="AI71" s="6" t="inlineStr">
        <is>
          <t>FAIBLE</t>
        </is>
      </c>
      <c r="AJ71" s="4" t="n">
        <v>0</v>
      </c>
      <c r="AK71" s="4" t="n"/>
      <c r="AL71" s="6" t="inlineStr">
        <is>
          <t>RETENU_V0.5_REECRIT_CONCRET</t>
        </is>
      </c>
      <c r="AM71" s="6" t="n"/>
      <c r="AN71" s="4" t="inlineStr">
        <is>
          <t>PIP-BANK-0.3</t>
        </is>
      </c>
      <c r="AO71" s="6" t="inlineStr">
        <is>
          <t>PIP-BANK-0.4</t>
        </is>
      </c>
      <c r="AP71" s="8">
        <f>IF(OR(C71="PILOTE",C71="ACTIF"),IF(AND(A71&lt;&gt;"",H71&lt;&gt;"",I71&lt;&gt;"",K71&lt;&gt;"",V71&lt;&gt;"",W71&lt;&gt;""),"OK","A_COMPLETER"),"OK_STRUCTURE")</f>
        <v/>
      </c>
    </row>
    <row r="72" ht="72" customHeight="1" s="34">
      <c r="A72" s="4" t="inlineStr">
        <is>
          <t>PIP-ENV-S-S2-008</t>
        </is>
      </c>
      <c r="B72" s="4" t="inlineStr">
        <is>
          <t>0.2</t>
        </is>
      </c>
      <c r="C72" s="4" t="inlineStr">
        <is>
          <t>PILOTE</t>
        </is>
      </c>
      <c r="D72" s="4" t="inlineStr">
        <is>
          <t>08/09/2026</t>
        </is>
      </c>
      <c r="E72" s="4" t="inlineStr">
        <is>
          <t>08/09/2026</t>
        </is>
      </c>
      <c r="F72" s="4" t="inlineStr">
        <is>
          <t>ENV</t>
        </is>
      </c>
      <c r="G72" s="4" t="inlineStr">
        <is>
          <t>Contexte décrit par ce qu’il permet de faire</t>
        </is>
      </c>
      <c r="H72" s="4" t="inlineStr">
        <is>
          <t>S</t>
        </is>
      </c>
      <c r="I72" s="4" t="inlineStr">
        <is>
          <t>S2</t>
        </is>
      </c>
      <c r="J72" s="6" t="inlineStr">
        <is>
          <t>E</t>
        </is>
      </c>
      <c r="K72" s="6" t="inlineStr">
        <is>
          <t>Évoluer dans un contexte où une part importante du travail consiste à soutenir directement des personnes dans leur progression.</t>
        </is>
      </c>
      <c r="L72" s="4" t="inlineStr">
        <is>
          <t>Cela ne m’attire pas du tout</t>
        </is>
      </c>
      <c r="M72" s="4" t="inlineStr">
        <is>
          <t>Cela m’attire peu</t>
        </is>
      </c>
      <c r="N72" s="4" t="inlineStr">
        <is>
          <t>Je suis partagé(e) / sans préférence marquée</t>
        </is>
      </c>
      <c r="O72" s="4" t="inlineStr">
        <is>
          <t>Cela m’attire</t>
        </is>
      </c>
      <c r="P72" s="4" t="inlineStr">
        <is>
          <t>Cela m’attire beaucoup</t>
        </is>
      </c>
      <c r="Q72" s="4" t="n">
        <v>1</v>
      </c>
      <c r="R72" s="4" t="n">
        <v>2</v>
      </c>
      <c r="S72" s="4" t="n">
        <v>3</v>
      </c>
      <c r="T72" s="4" t="n">
        <v>4</v>
      </c>
      <c r="U72" s="4" t="n">
        <v>5</v>
      </c>
      <c r="V72" s="6" t="inlineStr">
        <is>
          <t>La formulation cible l’intérêt pour aider, développer, soutenir ou servir autrui. Elle mobilise un comportement caractéristique de la dimension S (Social) sans demander un niveau de compétence préalable.</t>
        </is>
      </c>
      <c r="W72" s="6" t="inlineStr">
        <is>
          <t>L’item relève de S2 — Aider / soutenir / accompagner : Soutenir une personne face à une difficulté, un changement ou un objectif.</t>
        </is>
      </c>
      <c r="X72" s="6" t="inlineStr">
        <is>
          <t>Revue méthodologique V0.3 : surveiller désirabilité sociale, stéréotypes de genre historiques liés au soin/service au pilote.</t>
        </is>
      </c>
      <c r="Y72" s="6" t="inlineStr">
        <is>
          <t>MOYEN</t>
        </is>
      </c>
      <c r="Z72" s="6" t="inlineStr">
        <is>
          <t>FAIBLE</t>
        </is>
      </c>
      <c r="AA72" s="6" t="inlineStr">
        <is>
          <t>FAIBLE</t>
        </is>
      </c>
      <c r="AB72" s="6" t="inlineStr">
        <is>
          <t>FAIBLE</t>
        </is>
      </c>
      <c r="AC72" s="6" t="inlineStr">
        <is>
          <t>FAIBLE</t>
        </is>
      </c>
      <c r="AD72" s="6" t="inlineStr">
        <is>
          <t>FAIBLE</t>
        </is>
      </c>
      <c r="AE72" s="6" t="inlineStr">
        <is>
          <t>FAIBLE</t>
        </is>
      </c>
      <c r="AF72" s="6" t="inlineStr">
        <is>
          <t>FAIBLE</t>
        </is>
      </c>
      <c r="AG72" s="6" t="inlineStr">
        <is>
          <t>FAIBLE</t>
        </is>
      </c>
      <c r="AH72" s="6" t="inlineStr">
        <is>
          <t>MOYEN</t>
        </is>
      </c>
      <c r="AI72" s="6" t="inlineStr">
        <is>
          <t>FAIBLE</t>
        </is>
      </c>
      <c r="AJ72" s="4" t="n">
        <v>0</v>
      </c>
      <c r="AK72" s="4" t="n"/>
      <c r="AL72" s="6" t="inlineStr">
        <is>
          <t>RETIRE_BANQUE72_HISTORIQUE_CONSERVE</t>
        </is>
      </c>
      <c r="AM72" s="6" t="inlineStr">
        <is>
          <t>Réduction méthodologique 120→72 : doublon de facette / priorité aux activités professionnelles observables et aux items à plus faible risque.</t>
        </is>
      </c>
      <c r="AN72" s="4" t="inlineStr">
        <is>
          <t>PIP-BANK-0.3</t>
        </is>
      </c>
      <c r="AO72" s="6" t="inlineStr">
        <is>
          <t>PIP-BANK-0.3</t>
        </is>
      </c>
      <c r="AP72" s="8">
        <f>IF(OR(C72="PILOTE",C72="ACTIF"),IF(AND(A72&lt;&gt;"",H72&lt;&gt;"",I72&lt;&gt;"",K72&lt;&gt;"",V72&lt;&gt;"",W72&lt;&gt;""),"OK","A_COMPLETER"),"OK_STRUCTURE")</f>
        <v/>
      </c>
    </row>
    <row r="73" ht="72" customHeight="1" s="34">
      <c r="A73" s="4" t="inlineStr">
        <is>
          <t>PIP-ACT-S-S3-009</t>
        </is>
      </c>
      <c r="B73" s="4" t="inlineStr">
        <is>
          <t>0.2</t>
        </is>
      </c>
      <c r="C73" s="4" t="inlineStr">
        <is>
          <t>PILOTE</t>
        </is>
      </c>
      <c r="D73" s="4" t="inlineStr">
        <is>
          <t>08/09/2026</t>
        </is>
      </c>
      <c r="E73" s="4" t="inlineStr">
        <is>
          <t>08/09/2026</t>
        </is>
      </c>
      <c r="F73" s="4" t="inlineStr">
        <is>
          <t>ACT</t>
        </is>
      </c>
      <c r="G73" s="4" t="inlineStr">
        <is>
          <t>Verbe d’action + objet/contexte</t>
        </is>
      </c>
      <c r="H73" s="4" t="inlineStr">
        <is>
          <t>S</t>
        </is>
      </c>
      <c r="I73" s="4" t="inlineStr">
        <is>
          <t>S3</t>
        </is>
      </c>
      <c r="J73" s="6" t="inlineStr">
        <is>
          <t>E,I</t>
        </is>
      </c>
      <c r="K73" s="6" t="inlineStr">
        <is>
          <t>Écouter la situation d’une personne puis l’aider à identifier les options qui s’offrent à elle.</t>
        </is>
      </c>
      <c r="L73" s="4" t="inlineStr">
        <is>
          <t>Cela ne m’attire pas du tout</t>
        </is>
      </c>
      <c r="M73" s="4" t="inlineStr">
        <is>
          <t>Cela m’attire peu</t>
        </is>
      </c>
      <c r="N73" s="4" t="inlineStr">
        <is>
          <t>Je suis partagé(e) / sans préférence marquée</t>
        </is>
      </c>
      <c r="O73" s="4" t="inlineStr">
        <is>
          <t>Cela m’attire</t>
        </is>
      </c>
      <c r="P73" s="4" t="inlineStr">
        <is>
          <t>Cela m’attire beaucoup</t>
        </is>
      </c>
      <c r="Q73" s="4" t="n">
        <v>1</v>
      </c>
      <c r="R73" s="4" t="n">
        <v>2</v>
      </c>
      <c r="S73" s="4" t="n">
        <v>3</v>
      </c>
      <c r="T73" s="4" t="n">
        <v>4</v>
      </c>
      <c r="U73" s="4" t="n">
        <v>5</v>
      </c>
      <c r="V73" s="6" t="inlineStr">
        <is>
          <t>La formulation cible l’intérêt pour aider, développer, soutenir ou servir autrui. Elle mobilise un comportement caractéristique de la dimension S (Social) sans demander un niveau de compétence préalable.</t>
        </is>
      </c>
      <c r="W73" s="6" t="inlineStr">
        <is>
          <t>L’item relève de S3 — Conseiller / guider / orienter : Aider une personne à comprendre ses options ou avancer dans une décision.</t>
        </is>
      </c>
      <c r="X73" s="6" t="inlineStr">
        <is>
          <t>Revue méthodologique V0.3 : surveiller désirabilité sociale, frontière avec I, stéréotypes de genre historiques liés au soin/service au pilote.</t>
        </is>
      </c>
      <c r="Y73" s="6" t="inlineStr">
        <is>
          <t>MOYEN</t>
        </is>
      </c>
      <c r="Z73" s="6" t="inlineStr">
        <is>
          <t>FAIBLE</t>
        </is>
      </c>
      <c r="AA73" s="6" t="inlineStr">
        <is>
          <t>FAIBLE</t>
        </is>
      </c>
      <c r="AB73" s="6" t="inlineStr">
        <is>
          <t>FAIBLE</t>
        </is>
      </c>
      <c r="AC73" s="6" t="inlineStr">
        <is>
          <t>FAIBLE</t>
        </is>
      </c>
      <c r="AD73" s="6" t="inlineStr">
        <is>
          <t>FAIBLE</t>
        </is>
      </c>
      <c r="AE73" s="6" t="inlineStr">
        <is>
          <t>FAIBLE</t>
        </is>
      </c>
      <c r="AF73" s="6" t="inlineStr">
        <is>
          <t>FAIBLE</t>
        </is>
      </c>
      <c r="AG73" s="6" t="inlineStr">
        <is>
          <t>FAIBLE</t>
        </is>
      </c>
      <c r="AH73" s="6" t="inlineStr">
        <is>
          <t>MOYEN</t>
        </is>
      </c>
      <c r="AI73" s="6" t="inlineStr">
        <is>
          <t>MOYEN</t>
        </is>
      </c>
      <c r="AJ73" s="4" t="n">
        <v>0</v>
      </c>
      <c r="AK73" s="4" t="n"/>
      <c r="AL73" s="6" t="inlineStr">
        <is>
          <t>RETENU_V0.5_REECRIT_CONCRET</t>
        </is>
      </c>
      <c r="AM73" s="6" t="n"/>
      <c r="AN73" s="4" t="inlineStr">
        <is>
          <t>PIP-BANK-0.3</t>
        </is>
      </c>
      <c r="AO73" s="6" t="inlineStr">
        <is>
          <t>PIP-BANK-0.4</t>
        </is>
      </c>
      <c r="AP73" s="8">
        <f>IF(OR(C73="PILOTE",C73="ACTIF"),IF(AND(A73&lt;&gt;"",H73&lt;&gt;"",I73&lt;&gt;"",K73&lt;&gt;"",V73&lt;&gt;"",W73&lt;&gt;""),"OK","A_COMPLETER"),"OK_STRUCTURE")</f>
        <v/>
      </c>
    </row>
    <row r="74" ht="72" customHeight="1" s="34">
      <c r="A74" s="4" t="inlineStr">
        <is>
          <t>PIP-ACT-S-S3-010</t>
        </is>
      </c>
      <c r="B74" s="4" t="inlineStr">
        <is>
          <t>0.2</t>
        </is>
      </c>
      <c r="C74" s="4" t="inlineStr">
        <is>
          <t>PILOTE</t>
        </is>
      </c>
      <c r="D74" s="4" t="inlineStr">
        <is>
          <t>08/09/2026</t>
        </is>
      </c>
      <c r="E74" s="4" t="inlineStr">
        <is>
          <t>08/09/2026</t>
        </is>
      </c>
      <c r="F74" s="4" t="inlineStr">
        <is>
          <t>ACT</t>
        </is>
      </c>
      <c r="G74" s="4" t="inlineStr">
        <is>
          <t>Verbe d’action + objet/contexte</t>
        </is>
      </c>
      <c r="H74" s="4" t="inlineStr">
        <is>
          <t>S</t>
        </is>
      </c>
      <c r="I74" s="4" t="inlineStr">
        <is>
          <t>S3</t>
        </is>
      </c>
      <c r="J74" s="6" t="inlineStr">
        <is>
          <t>E,I</t>
        </is>
      </c>
      <c r="K74" s="6" t="inlineStr">
        <is>
          <t>Donner des informations utiles pour aider quelqu’un à faire un choix.</t>
        </is>
      </c>
      <c r="L74" s="4" t="inlineStr">
        <is>
          <t>Cela ne m’attire pas du tout</t>
        </is>
      </c>
      <c r="M74" s="4" t="inlineStr">
        <is>
          <t>Cela m’attire peu</t>
        </is>
      </c>
      <c r="N74" s="4" t="inlineStr">
        <is>
          <t>Je suis partagé(e) / sans préférence marquée</t>
        </is>
      </c>
      <c r="O74" s="4" t="inlineStr">
        <is>
          <t>Cela m’attire</t>
        </is>
      </c>
      <c r="P74" s="4" t="inlineStr">
        <is>
          <t>Cela m’attire beaucoup</t>
        </is>
      </c>
      <c r="Q74" s="4" t="n">
        <v>1</v>
      </c>
      <c r="R74" s="4" t="n">
        <v>2</v>
      </c>
      <c r="S74" s="4" t="n">
        <v>3</v>
      </c>
      <c r="T74" s="4" t="n">
        <v>4</v>
      </c>
      <c r="U74" s="4" t="n">
        <v>5</v>
      </c>
      <c r="V74" s="6" t="inlineStr">
        <is>
          <t>La formulation cible l’intérêt pour aider, développer, soutenir ou servir autrui. Elle mobilise un comportement caractéristique de la dimension S (Social) sans demander un niveau de compétence préalable.</t>
        </is>
      </c>
      <c r="W74" s="6" t="inlineStr">
        <is>
          <t>L’item relève de S3 — Conseiller / guider / orienter : Aider une personne à comprendre ses options ou avancer dans une décision.</t>
        </is>
      </c>
      <c r="X74" s="6" t="inlineStr">
        <is>
          <t>Revue méthodologique V0.3 : surveiller désirabilité sociale, stéréotypes de genre historiques liés au soin/service au pilote.</t>
        </is>
      </c>
      <c r="Y74" s="6" t="inlineStr">
        <is>
          <t>MOYEN</t>
        </is>
      </c>
      <c r="Z74" s="6" t="inlineStr">
        <is>
          <t>FAIBLE</t>
        </is>
      </c>
      <c r="AA74" s="6" t="inlineStr">
        <is>
          <t>FAIBLE</t>
        </is>
      </c>
      <c r="AB74" s="6" t="inlineStr">
        <is>
          <t>FAIBLE</t>
        </is>
      </c>
      <c r="AC74" s="6" t="inlineStr">
        <is>
          <t>FAIBLE</t>
        </is>
      </c>
      <c r="AD74" s="6" t="inlineStr">
        <is>
          <t>FAIBLE</t>
        </is>
      </c>
      <c r="AE74" s="6" t="inlineStr">
        <is>
          <t>FAIBLE</t>
        </is>
      </c>
      <c r="AF74" s="6" t="inlineStr">
        <is>
          <t>FAIBLE</t>
        </is>
      </c>
      <c r="AG74" s="6" t="inlineStr">
        <is>
          <t>FAIBLE</t>
        </is>
      </c>
      <c r="AH74" s="6" t="inlineStr">
        <is>
          <t>MOYEN</t>
        </is>
      </c>
      <c r="AI74" s="6" t="inlineStr">
        <is>
          <t>FAIBLE</t>
        </is>
      </c>
      <c r="AJ74" s="4" t="n">
        <v>0</v>
      </c>
      <c r="AK74" s="4" t="n"/>
      <c r="AL74" s="6" t="inlineStr">
        <is>
          <t>RETENU_V0.5_REECRIT_CONCRET</t>
        </is>
      </c>
      <c r="AM74" s="6" t="n"/>
      <c r="AN74" s="4" t="inlineStr">
        <is>
          <t>PIP-BANK-0.3</t>
        </is>
      </c>
      <c r="AO74" s="6" t="inlineStr">
        <is>
          <t>PIP-BANK-0.4</t>
        </is>
      </c>
      <c r="AP74" s="8">
        <f>IF(OR(C74="PILOTE",C74="ACTIF"),IF(AND(A74&lt;&gt;"",H74&lt;&gt;"",I74&lt;&gt;"",K74&lt;&gt;"",V74&lt;&gt;"",W74&lt;&gt;""),"OK","A_COMPLETER"),"OK_STRUCTURE")</f>
        <v/>
      </c>
    </row>
    <row r="75" ht="72" customHeight="1" s="34">
      <c r="A75" s="4" t="inlineStr">
        <is>
          <t>PIP-SIT-S-S3-011</t>
        </is>
      </c>
      <c r="B75" s="4" t="inlineStr">
        <is>
          <t>0.2</t>
        </is>
      </c>
      <c r="C75" s="4" t="inlineStr">
        <is>
          <t>PILOTE</t>
        </is>
      </c>
      <c r="D75" s="4" t="inlineStr">
        <is>
          <t>08/09/2026</t>
        </is>
      </c>
      <c r="E75" s="4" t="inlineStr">
        <is>
          <t>08/09/2026</t>
        </is>
      </c>
      <c r="F75" s="4" t="inlineStr">
        <is>
          <t>SIT</t>
        </is>
      </c>
      <c r="G75" s="4" t="inlineStr">
        <is>
          <t>Situation courte avec enjeu central</t>
        </is>
      </c>
      <c r="H75" s="4" t="inlineStr">
        <is>
          <t>S</t>
        </is>
      </c>
      <c r="I75" s="4" t="inlineStr">
        <is>
          <t>S3</t>
        </is>
      </c>
      <c r="J75" s="6" t="inlineStr">
        <is>
          <t>E,I</t>
        </is>
      </c>
      <c r="K75" s="6" t="inlineStr">
        <is>
          <t>Aider une personne indécise à clarifier ce qui lui conviendrait le mieux sans décider à sa place.</t>
        </is>
      </c>
      <c r="L75" s="4" t="inlineStr">
        <is>
          <t>Cela ne m’attire pas du tout</t>
        </is>
      </c>
      <c r="M75" s="4" t="inlineStr">
        <is>
          <t>Cela m’attire peu</t>
        </is>
      </c>
      <c r="N75" s="4" t="inlineStr">
        <is>
          <t>Je suis partagé(e) / sans préférence marquée</t>
        </is>
      </c>
      <c r="O75" s="4" t="inlineStr">
        <is>
          <t>Cela m’attire</t>
        </is>
      </c>
      <c r="P75" s="4" t="inlineStr">
        <is>
          <t>Cela m’attire beaucoup</t>
        </is>
      </c>
      <c r="Q75" s="4" t="n">
        <v>1</v>
      </c>
      <c r="R75" s="4" t="n">
        <v>2</v>
      </c>
      <c r="S75" s="4" t="n">
        <v>3</v>
      </c>
      <c r="T75" s="4" t="n">
        <v>4</v>
      </c>
      <c r="U75" s="4" t="n">
        <v>5</v>
      </c>
      <c r="V75" s="6" t="inlineStr">
        <is>
          <t>La formulation cible l’intérêt pour aider, développer, soutenir ou servir autrui. Elle mobilise un comportement caractéristique de la dimension S (Social) sans demander un niveau de compétence préalable.</t>
        </is>
      </c>
      <c r="W75" s="6" t="inlineStr">
        <is>
          <t>L’item relève de S3 — Conseiller / guider / orienter : Aider une personne à comprendre ses options ou avancer dans une décision.</t>
        </is>
      </c>
      <c r="X75" s="6" t="inlineStr">
        <is>
          <t>Revue méthodologique V0.3 : surveiller désirabilité sociale, frontière avec E, stéréotypes de genre historiques liés au soin/service au pilote.</t>
        </is>
      </c>
      <c r="Y75" s="6" t="inlineStr">
        <is>
          <t>MOYEN</t>
        </is>
      </c>
      <c r="Z75" s="6" t="inlineStr">
        <is>
          <t>FAIBLE</t>
        </is>
      </c>
      <c r="AA75" s="6" t="inlineStr">
        <is>
          <t>FAIBLE</t>
        </is>
      </c>
      <c r="AB75" s="6" t="inlineStr">
        <is>
          <t>FAIBLE</t>
        </is>
      </c>
      <c r="AC75" s="6" t="inlineStr">
        <is>
          <t>FAIBLE</t>
        </is>
      </c>
      <c r="AD75" s="6" t="inlineStr">
        <is>
          <t>FAIBLE</t>
        </is>
      </c>
      <c r="AE75" s="6" t="inlineStr">
        <is>
          <t>FAIBLE</t>
        </is>
      </c>
      <c r="AF75" s="6" t="inlineStr">
        <is>
          <t>FAIBLE</t>
        </is>
      </c>
      <c r="AG75" s="6" t="inlineStr">
        <is>
          <t>FAIBLE</t>
        </is>
      </c>
      <c r="AH75" s="6" t="inlineStr">
        <is>
          <t>MOYEN</t>
        </is>
      </c>
      <c r="AI75" s="6" t="inlineStr">
        <is>
          <t>MOYEN</t>
        </is>
      </c>
      <c r="AJ75" s="4" t="n">
        <v>0</v>
      </c>
      <c r="AK75" s="4" t="n"/>
      <c r="AL75" s="6" t="inlineStr">
        <is>
          <t>RETIRE_BANQUE72_HISTORIQUE_CONSERVE</t>
        </is>
      </c>
      <c r="AM75" s="6" t="inlineStr">
        <is>
          <t>Réduction méthodologique 120→72 : doublon de facette / priorité aux activités professionnelles observables et aux items à plus faible risque.</t>
        </is>
      </c>
      <c r="AN75" s="4" t="inlineStr">
        <is>
          <t>PIP-BANK-0.3</t>
        </is>
      </c>
      <c r="AO75" s="6" t="inlineStr">
        <is>
          <t>PIP-BANK-0.3</t>
        </is>
      </c>
      <c r="AP75" s="8">
        <f>IF(OR(C75="PILOTE",C75="ACTIF"),IF(AND(A75&lt;&gt;"",H75&lt;&gt;"",I75&lt;&gt;"",K75&lt;&gt;"",V75&lt;&gt;"",W75&lt;&gt;""),"OK","A_COMPLETER"),"OK_STRUCTURE")</f>
        <v/>
      </c>
    </row>
    <row r="76" ht="72" customHeight="1" s="34">
      <c r="A76" s="4" t="inlineStr">
        <is>
          <t>PIP-ENV-S-S3-012</t>
        </is>
      </c>
      <c r="B76" s="4" t="inlineStr">
        <is>
          <t>0.2</t>
        </is>
      </c>
      <c r="C76" s="4" t="inlineStr">
        <is>
          <t>PILOTE</t>
        </is>
      </c>
      <c r="D76" s="4" t="inlineStr">
        <is>
          <t>08/09/2026</t>
        </is>
      </c>
      <c r="E76" s="4" t="inlineStr">
        <is>
          <t>08/09/2026</t>
        </is>
      </c>
      <c r="F76" s="4" t="inlineStr">
        <is>
          <t>ENV</t>
        </is>
      </c>
      <c r="G76" s="4" t="inlineStr">
        <is>
          <t>Contexte décrit par ce qu’il permet de faire</t>
        </is>
      </c>
      <c r="H76" s="4" t="inlineStr">
        <is>
          <t>S</t>
        </is>
      </c>
      <c r="I76" s="4" t="inlineStr">
        <is>
          <t>S3</t>
        </is>
      </c>
      <c r="J76" s="6" t="inlineStr">
        <is>
          <t>E,I</t>
        </is>
      </c>
      <c r="K76" s="6" t="inlineStr">
        <is>
          <t>Travailler dans un contexte où l’on conseille et oriente régulièrement des personnes en fonction de leur situation.</t>
        </is>
      </c>
      <c r="L76" s="4" t="inlineStr">
        <is>
          <t>Cela ne m’attire pas du tout</t>
        </is>
      </c>
      <c r="M76" s="4" t="inlineStr">
        <is>
          <t>Cela m’attire peu</t>
        </is>
      </c>
      <c r="N76" s="4" t="inlineStr">
        <is>
          <t>Je suis partagé(e) / sans préférence marquée</t>
        </is>
      </c>
      <c r="O76" s="4" t="inlineStr">
        <is>
          <t>Cela m’attire</t>
        </is>
      </c>
      <c r="P76" s="4" t="inlineStr">
        <is>
          <t>Cela m’attire beaucoup</t>
        </is>
      </c>
      <c r="Q76" s="4" t="n">
        <v>1</v>
      </c>
      <c r="R76" s="4" t="n">
        <v>2</v>
      </c>
      <c r="S76" s="4" t="n">
        <v>3</v>
      </c>
      <c r="T76" s="4" t="n">
        <v>4</v>
      </c>
      <c r="U76" s="4" t="n">
        <v>5</v>
      </c>
      <c r="V76" s="6" t="inlineStr">
        <is>
          <t>La formulation cible l’intérêt pour aider, développer, soutenir ou servir autrui. Elle mobilise un comportement caractéristique de la dimension S (Social) sans demander un niveau de compétence préalable.</t>
        </is>
      </c>
      <c r="W76" s="6" t="inlineStr">
        <is>
          <t>L’item relève de S3 — Conseiller / guider / orienter : Aider une personne à comprendre ses options ou avancer dans une décision.</t>
        </is>
      </c>
      <c r="X76" s="6" t="inlineStr">
        <is>
          <t>Revue méthodologique V0.3 : surveiller désirabilité sociale, stéréotypes de genre historiques liés au soin/service au pilote.</t>
        </is>
      </c>
      <c r="Y76" s="6" t="inlineStr">
        <is>
          <t>MOYEN</t>
        </is>
      </c>
      <c r="Z76" s="6" t="inlineStr">
        <is>
          <t>FAIBLE</t>
        </is>
      </c>
      <c r="AA76" s="6" t="inlineStr">
        <is>
          <t>FAIBLE</t>
        </is>
      </c>
      <c r="AB76" s="6" t="inlineStr">
        <is>
          <t>FAIBLE</t>
        </is>
      </c>
      <c r="AC76" s="6" t="inlineStr">
        <is>
          <t>FAIBLE</t>
        </is>
      </c>
      <c r="AD76" s="6" t="inlineStr">
        <is>
          <t>FAIBLE</t>
        </is>
      </c>
      <c r="AE76" s="6" t="inlineStr">
        <is>
          <t>FAIBLE</t>
        </is>
      </c>
      <c r="AF76" s="6" t="inlineStr">
        <is>
          <t>FAIBLE</t>
        </is>
      </c>
      <c r="AG76" s="6" t="inlineStr">
        <is>
          <t>FAIBLE</t>
        </is>
      </c>
      <c r="AH76" s="6" t="inlineStr">
        <is>
          <t>MOYEN</t>
        </is>
      </c>
      <c r="AI76" s="6" t="inlineStr">
        <is>
          <t>FAIBLE</t>
        </is>
      </c>
      <c r="AJ76" s="4" t="n">
        <v>0</v>
      </c>
      <c r="AK76" s="4" t="n"/>
      <c r="AL76" s="6" t="inlineStr">
        <is>
          <t>RETIRE_BANQUE72_HISTORIQUE_CONSERVE</t>
        </is>
      </c>
      <c r="AM76" s="6" t="inlineStr">
        <is>
          <t>Réduction méthodologique 120→72 : doublon de facette / priorité aux activités professionnelles observables et aux items à plus faible risque.</t>
        </is>
      </c>
      <c r="AN76" s="4" t="inlineStr">
        <is>
          <t>PIP-BANK-0.3</t>
        </is>
      </c>
      <c r="AO76" s="6" t="inlineStr">
        <is>
          <t>PIP-BANK-0.3</t>
        </is>
      </c>
      <c r="AP76" s="8">
        <f>IF(OR(C76="PILOTE",C76="ACTIF"),IF(AND(A76&lt;&gt;"",H76&lt;&gt;"",I76&lt;&gt;"",K76&lt;&gt;"",V76&lt;&gt;"",W76&lt;&gt;""),"OK","A_COMPLETER"),"OK_STRUCTURE")</f>
        <v/>
      </c>
    </row>
    <row r="77" ht="72" customHeight="1" s="34">
      <c r="A77" s="4" t="inlineStr">
        <is>
          <t>PIP-ACT-S-S4-013</t>
        </is>
      </c>
      <c r="B77" s="4" t="inlineStr">
        <is>
          <t>0.2</t>
        </is>
      </c>
      <c r="C77" s="4" t="inlineStr">
        <is>
          <t>PILOTE</t>
        </is>
      </c>
      <c r="D77" s="4" t="inlineStr">
        <is>
          <t>08/09/2026</t>
        </is>
      </c>
      <c r="E77" s="4" t="inlineStr">
        <is>
          <t>08/09/2026</t>
        </is>
      </c>
      <c r="F77" s="4" t="inlineStr">
        <is>
          <t>ACT</t>
        </is>
      </c>
      <c r="G77" s="4" t="inlineStr">
        <is>
          <t>Verbe d’action + objet/contexte</t>
        </is>
      </c>
      <c r="H77" s="4" t="inlineStr">
        <is>
          <t>S</t>
        </is>
      </c>
      <c r="I77" s="4" t="inlineStr">
        <is>
          <t>S4</t>
        </is>
      </c>
      <c r="J77" s="6" t="inlineStr">
        <is>
          <t>R,I</t>
        </is>
      </c>
      <c r="K77" s="6" t="inlineStr">
        <is>
          <t>Prendre soin d’une personne qui a besoin d’aide pour préserver ou retrouver son bien-être.</t>
        </is>
      </c>
      <c r="L77" s="4" t="inlineStr">
        <is>
          <t>Cela ne m’attire pas du tout</t>
        </is>
      </c>
      <c r="M77" s="4" t="inlineStr">
        <is>
          <t>Cela m’attire peu</t>
        </is>
      </c>
      <c r="N77" s="4" t="inlineStr">
        <is>
          <t>Je suis partagé(e) / sans préférence marquée</t>
        </is>
      </c>
      <c r="O77" s="4" t="inlineStr">
        <is>
          <t>Cela m’attire</t>
        </is>
      </c>
      <c r="P77" s="4" t="inlineStr">
        <is>
          <t>Cela m’attire beaucoup</t>
        </is>
      </c>
      <c r="Q77" s="4" t="n">
        <v>1</v>
      </c>
      <c r="R77" s="4" t="n">
        <v>2</v>
      </c>
      <c r="S77" s="4" t="n">
        <v>3</v>
      </c>
      <c r="T77" s="4" t="n">
        <v>4</v>
      </c>
      <c r="U77" s="4" t="n">
        <v>5</v>
      </c>
      <c r="V77" s="6" t="inlineStr">
        <is>
          <t>La formulation cible l’intérêt pour aider, développer, soutenir ou servir autrui. Elle mobilise un comportement caractéristique de la dimension S (Social) sans demander un niveau de compétence préalable.</t>
        </is>
      </c>
      <c r="W77" s="6" t="inlineStr">
        <is>
          <t>L’item relève de S4 — Soigner / prendre soin : Contribuer directement à la santé, au bien-être, à la sécurité ou au rétablissement d’une personne.</t>
        </is>
      </c>
      <c r="X77" s="6" t="inlineStr">
        <is>
          <t>Revue méthodologique V0.3 : surveiller projection en cas de limitation physique ou sensorielle, désirabilité sociale, stéréotypes de genre historiques liés au soin/service au pilote.</t>
        </is>
      </c>
      <c r="Y77" s="6" t="inlineStr">
        <is>
          <t>MOYEN</t>
        </is>
      </c>
      <c r="Z77" s="6" t="inlineStr">
        <is>
          <t>FAIBLE</t>
        </is>
      </c>
      <c r="AA77" s="6" t="inlineStr">
        <is>
          <t>FAIBLE</t>
        </is>
      </c>
      <c r="AB77" s="6" t="inlineStr">
        <is>
          <t>FAIBLE</t>
        </is>
      </c>
      <c r="AC77" s="6" t="inlineStr">
        <is>
          <t>FAIBLE</t>
        </is>
      </c>
      <c r="AD77" s="6" t="inlineStr">
        <is>
          <t>MOYEN</t>
        </is>
      </c>
      <c r="AE77" s="6" t="inlineStr">
        <is>
          <t>FAIBLE</t>
        </is>
      </c>
      <c r="AF77" s="6" t="inlineStr">
        <is>
          <t>FAIBLE</t>
        </is>
      </c>
      <c r="AG77" s="6" t="inlineStr">
        <is>
          <t>FAIBLE</t>
        </is>
      </c>
      <c r="AH77" s="6" t="inlineStr">
        <is>
          <t>MOYEN</t>
        </is>
      </c>
      <c r="AI77" s="6" t="inlineStr">
        <is>
          <t>FAIBLE</t>
        </is>
      </c>
      <c r="AJ77" s="4" t="n">
        <v>0</v>
      </c>
      <c r="AK77" s="4" t="n"/>
      <c r="AL77" s="6" t="inlineStr">
        <is>
          <t>RETENU_V0.5_REECRIT_CONCRET</t>
        </is>
      </c>
      <c r="AM77" s="6" t="n"/>
      <c r="AN77" s="4" t="inlineStr">
        <is>
          <t>PIP-BANK-0.3</t>
        </is>
      </c>
      <c r="AO77" s="6" t="inlineStr">
        <is>
          <t>PIP-BANK-0.4</t>
        </is>
      </c>
      <c r="AP77" s="8">
        <f>IF(OR(C77="PILOTE",C77="ACTIF"),IF(AND(A77&lt;&gt;"",H77&lt;&gt;"",I77&lt;&gt;"",K77&lt;&gt;"",V77&lt;&gt;"",W77&lt;&gt;""),"OK","A_COMPLETER"),"OK_STRUCTURE")</f>
        <v/>
      </c>
    </row>
    <row r="78" ht="72" customHeight="1" s="34">
      <c r="A78" s="4" t="inlineStr">
        <is>
          <t>PIP-ACT-S-S4-014</t>
        </is>
      </c>
      <c r="B78" s="4" t="inlineStr">
        <is>
          <t>0.2</t>
        </is>
      </c>
      <c r="C78" s="4" t="inlineStr">
        <is>
          <t>PILOTE</t>
        </is>
      </c>
      <c r="D78" s="4" t="inlineStr">
        <is>
          <t>08/09/2026</t>
        </is>
      </c>
      <c r="E78" s="4" t="inlineStr">
        <is>
          <t>08/09/2026</t>
        </is>
      </c>
      <c r="F78" s="4" t="inlineStr">
        <is>
          <t>ACT</t>
        </is>
      </c>
      <c r="G78" s="4" t="inlineStr">
        <is>
          <t>Verbe d’action + objet/contexte</t>
        </is>
      </c>
      <c r="H78" s="4" t="inlineStr">
        <is>
          <t>S</t>
        </is>
      </c>
      <c r="I78" s="4" t="inlineStr">
        <is>
          <t>S4</t>
        </is>
      </c>
      <c r="J78" s="6" t="inlineStr">
        <is>
          <t>R,I</t>
        </is>
      </c>
      <c r="K78" s="6" t="inlineStr">
        <is>
          <t>Réaliser des gestes d’assistance destinés à protéger la santé ou la sécurité d’une personne.</t>
        </is>
      </c>
      <c r="L78" s="4" t="inlineStr">
        <is>
          <t>Cela ne m’attire pas du tout</t>
        </is>
      </c>
      <c r="M78" s="4" t="inlineStr">
        <is>
          <t>Cela m’attire peu</t>
        </is>
      </c>
      <c r="N78" s="4" t="inlineStr">
        <is>
          <t>Je suis partagé(e) / sans préférence marquée</t>
        </is>
      </c>
      <c r="O78" s="4" t="inlineStr">
        <is>
          <t>Cela m’attire</t>
        </is>
      </c>
      <c r="P78" s="4" t="inlineStr">
        <is>
          <t>Cela m’attire beaucoup</t>
        </is>
      </c>
      <c r="Q78" s="4" t="n">
        <v>1</v>
      </c>
      <c r="R78" s="4" t="n">
        <v>2</v>
      </c>
      <c r="S78" s="4" t="n">
        <v>3</v>
      </c>
      <c r="T78" s="4" t="n">
        <v>4</v>
      </c>
      <c r="U78" s="4" t="n">
        <v>5</v>
      </c>
      <c r="V78" s="6" t="inlineStr">
        <is>
          <t>La formulation cible l’intérêt pour aider, développer, soutenir ou servir autrui. Elle mobilise un comportement caractéristique de la dimension S (Social) sans demander un niveau de compétence préalable.</t>
        </is>
      </c>
      <c r="W78" s="6" t="inlineStr">
        <is>
          <t>L’item relève de S4 — Soigner / prendre soin : Contribuer directement à la santé, au bien-être, à la sécurité ou au rétablissement d’une personne.</t>
        </is>
      </c>
      <c r="X78" s="6" t="inlineStr">
        <is>
          <t>Revue méthodologique V0.3 : surveiller projection en cas de limitation physique ou sensorielle, familiarité avec le contexte professionnel, désirabilité sociale, stéréotypes de genre historiques liés au soin/service au pilote.</t>
        </is>
      </c>
      <c r="Y78" s="6" t="inlineStr">
        <is>
          <t>MOYEN</t>
        </is>
      </c>
      <c r="Z78" s="6" t="inlineStr">
        <is>
          <t>FAIBLE</t>
        </is>
      </c>
      <c r="AA78" s="6" t="inlineStr">
        <is>
          <t>FAIBLE</t>
        </is>
      </c>
      <c r="AB78" s="6" t="inlineStr">
        <is>
          <t>FAIBLE</t>
        </is>
      </c>
      <c r="AC78" s="6" t="inlineStr">
        <is>
          <t>FAIBLE</t>
        </is>
      </c>
      <c r="AD78" s="6" t="inlineStr">
        <is>
          <t>MOYEN</t>
        </is>
      </c>
      <c r="AE78" s="6" t="inlineStr">
        <is>
          <t>FAIBLE</t>
        </is>
      </c>
      <c r="AF78" s="6" t="inlineStr">
        <is>
          <t>FAIBLE</t>
        </is>
      </c>
      <c r="AG78" s="6" t="inlineStr">
        <is>
          <t>MOYEN</t>
        </is>
      </c>
      <c r="AH78" s="6" t="inlineStr">
        <is>
          <t>MOYEN</t>
        </is>
      </c>
      <c r="AI78" s="6" t="inlineStr">
        <is>
          <t>FAIBLE</t>
        </is>
      </c>
      <c r="AJ78" s="4" t="n">
        <v>0</v>
      </c>
      <c r="AK78" s="4" t="n"/>
      <c r="AL78" s="6" t="inlineStr">
        <is>
          <t>RETENU_V0.5_REECRIT_CONCRET</t>
        </is>
      </c>
      <c r="AM78" s="6" t="n"/>
      <c r="AN78" s="4" t="inlineStr">
        <is>
          <t>PIP-BANK-0.3</t>
        </is>
      </c>
      <c r="AO78" s="6" t="inlineStr">
        <is>
          <t>PIP-BANK-0.4</t>
        </is>
      </c>
      <c r="AP78" s="8">
        <f>IF(OR(C78="PILOTE",C78="ACTIF"),IF(AND(A78&lt;&gt;"",H78&lt;&gt;"",I78&lt;&gt;"",K78&lt;&gt;"",V78&lt;&gt;"",W78&lt;&gt;""),"OK","A_COMPLETER"),"OK_STRUCTURE")</f>
        <v/>
      </c>
    </row>
    <row r="79" ht="72" customHeight="1" s="34">
      <c r="A79" s="4" t="inlineStr">
        <is>
          <t>PIP-SIT-S-S4-015</t>
        </is>
      </c>
      <c r="B79" s="4" t="inlineStr">
        <is>
          <t>0.2</t>
        </is>
      </c>
      <c r="C79" s="4" t="inlineStr">
        <is>
          <t>PILOTE</t>
        </is>
      </c>
      <c r="D79" s="4" t="inlineStr">
        <is>
          <t>08/09/2026</t>
        </is>
      </c>
      <c r="E79" s="4" t="inlineStr">
        <is>
          <t>08/09/2026</t>
        </is>
      </c>
      <c r="F79" s="4" t="inlineStr">
        <is>
          <t>SIT</t>
        </is>
      </c>
      <c r="G79" s="4" t="inlineStr">
        <is>
          <t>Situation courte avec enjeu central</t>
        </is>
      </c>
      <c r="H79" s="4" t="inlineStr">
        <is>
          <t>S</t>
        </is>
      </c>
      <c r="I79" s="4" t="inlineStr">
        <is>
          <t>S4</t>
        </is>
      </c>
      <c r="J79" s="6" t="inlineStr">
        <is>
          <t>R,I</t>
        </is>
      </c>
      <c r="K79" s="6" t="inlineStr">
        <is>
          <t>Intervenir auprès d’une personne fragilisée afin de l’aider à retrouver davantage d’autonomie.</t>
        </is>
      </c>
      <c r="L79" s="4" t="inlineStr">
        <is>
          <t>Cela ne m’attire pas du tout</t>
        </is>
      </c>
      <c r="M79" s="4" t="inlineStr">
        <is>
          <t>Cela m’attire peu</t>
        </is>
      </c>
      <c r="N79" s="4" t="inlineStr">
        <is>
          <t>Je suis partagé(e) / sans préférence marquée</t>
        </is>
      </c>
      <c r="O79" s="4" t="inlineStr">
        <is>
          <t>Cela m’attire</t>
        </is>
      </c>
      <c r="P79" s="4" t="inlineStr">
        <is>
          <t>Cela m’attire beaucoup</t>
        </is>
      </c>
      <c r="Q79" s="4" t="n">
        <v>1</v>
      </c>
      <c r="R79" s="4" t="n">
        <v>2</v>
      </c>
      <c r="S79" s="4" t="n">
        <v>3</v>
      </c>
      <c r="T79" s="4" t="n">
        <v>4</v>
      </c>
      <c r="U79" s="4" t="n">
        <v>5</v>
      </c>
      <c r="V79" s="6" t="inlineStr">
        <is>
          <t>La formulation cible l’intérêt pour aider, développer, soutenir ou servir autrui. Elle mobilise un comportement caractéristique de la dimension S (Social) sans demander un niveau de compétence préalable.</t>
        </is>
      </c>
      <c r="W79" s="6" t="inlineStr">
        <is>
          <t>L’item relève de S4 — Soigner / prendre soin : Contribuer directement à la santé, au bien-être, à la sécurité ou au rétablissement d’une personne.</t>
        </is>
      </c>
      <c r="X79" s="6" t="inlineStr">
        <is>
          <t>Revue méthodologique V0.3 : surveiller projection en cas de limitation physique ou sensorielle, désirabilité sociale, stéréotypes de genre historiques liés au soin/service au pilote.</t>
        </is>
      </c>
      <c r="Y79" s="6" t="inlineStr">
        <is>
          <t>MOYEN</t>
        </is>
      </c>
      <c r="Z79" s="6" t="inlineStr">
        <is>
          <t>FAIBLE</t>
        </is>
      </c>
      <c r="AA79" s="6" t="inlineStr">
        <is>
          <t>FAIBLE</t>
        </is>
      </c>
      <c r="AB79" s="6" t="inlineStr">
        <is>
          <t>FAIBLE</t>
        </is>
      </c>
      <c r="AC79" s="6" t="inlineStr">
        <is>
          <t>FAIBLE</t>
        </is>
      </c>
      <c r="AD79" s="6" t="inlineStr">
        <is>
          <t>MOYEN</t>
        </is>
      </c>
      <c r="AE79" s="6" t="inlineStr">
        <is>
          <t>FAIBLE</t>
        </is>
      </c>
      <c r="AF79" s="6" t="inlineStr">
        <is>
          <t>FAIBLE</t>
        </is>
      </c>
      <c r="AG79" s="6" t="inlineStr">
        <is>
          <t>FAIBLE</t>
        </is>
      </c>
      <c r="AH79" s="6" t="inlineStr">
        <is>
          <t>MOYEN</t>
        </is>
      </c>
      <c r="AI79" s="6" t="inlineStr">
        <is>
          <t>FAIBLE</t>
        </is>
      </c>
      <c r="AJ79" s="4" t="n">
        <v>0</v>
      </c>
      <c r="AK79" s="4" t="n"/>
      <c r="AL79" s="6" t="inlineStr">
        <is>
          <t>RETIRE_BANQUE72_HISTORIQUE_CONSERVE</t>
        </is>
      </c>
      <c r="AM79" s="6" t="inlineStr">
        <is>
          <t>Réduction méthodologique 120→72 : doublon de facette / priorité aux activités professionnelles observables et aux items à plus faible risque.</t>
        </is>
      </c>
      <c r="AN79" s="4" t="inlineStr">
        <is>
          <t>PIP-BANK-0.3</t>
        </is>
      </c>
      <c r="AO79" s="6" t="inlineStr">
        <is>
          <t>PIP-BANK-0.3</t>
        </is>
      </c>
      <c r="AP79" s="8">
        <f>IF(OR(C79="PILOTE",C79="ACTIF"),IF(AND(A79&lt;&gt;"",H79&lt;&gt;"",I79&lt;&gt;"",K79&lt;&gt;"",V79&lt;&gt;"",W79&lt;&gt;""),"OK","A_COMPLETER"),"OK_STRUCTURE")</f>
        <v/>
      </c>
    </row>
    <row r="80" ht="72" customHeight="1" s="34">
      <c r="A80" s="4" t="inlineStr">
        <is>
          <t>PIP-ENV-S-S4-016</t>
        </is>
      </c>
      <c r="B80" s="4" t="inlineStr">
        <is>
          <t>0.2</t>
        </is>
      </c>
      <c r="C80" s="4" t="inlineStr">
        <is>
          <t>PILOTE</t>
        </is>
      </c>
      <c r="D80" s="4" t="inlineStr">
        <is>
          <t>08/09/2026</t>
        </is>
      </c>
      <c r="E80" s="4" t="inlineStr">
        <is>
          <t>08/09/2026</t>
        </is>
      </c>
      <c r="F80" s="4" t="inlineStr">
        <is>
          <t>ENV</t>
        </is>
      </c>
      <c r="G80" s="4" t="inlineStr">
        <is>
          <t>Contexte décrit par ce qu’il permet de faire</t>
        </is>
      </c>
      <c r="H80" s="4" t="inlineStr">
        <is>
          <t>S</t>
        </is>
      </c>
      <c r="I80" s="4" t="inlineStr">
        <is>
          <t>S4</t>
        </is>
      </c>
      <c r="J80" s="6" t="inlineStr">
        <is>
          <t>R,I</t>
        </is>
      </c>
      <c r="K80" s="6" t="inlineStr">
        <is>
          <t>Évoluer dans un contexte où l’on contribue directement à la santé, au bien-être ou à la sécurité des personnes.</t>
        </is>
      </c>
      <c r="L80" s="4" t="inlineStr">
        <is>
          <t>Cela ne m’attire pas du tout</t>
        </is>
      </c>
      <c r="M80" s="4" t="inlineStr">
        <is>
          <t>Cela m’attire peu</t>
        </is>
      </c>
      <c r="N80" s="4" t="inlineStr">
        <is>
          <t>Je suis partagé(e) / sans préférence marquée</t>
        </is>
      </c>
      <c r="O80" s="4" t="inlineStr">
        <is>
          <t>Cela m’attire</t>
        </is>
      </c>
      <c r="P80" s="4" t="inlineStr">
        <is>
          <t>Cela m’attire beaucoup</t>
        </is>
      </c>
      <c r="Q80" s="4" t="n">
        <v>1</v>
      </c>
      <c r="R80" s="4" t="n">
        <v>2</v>
      </c>
      <c r="S80" s="4" t="n">
        <v>3</v>
      </c>
      <c r="T80" s="4" t="n">
        <v>4</v>
      </c>
      <c r="U80" s="4" t="n">
        <v>5</v>
      </c>
      <c r="V80" s="6" t="inlineStr">
        <is>
          <t>La formulation cible l’intérêt pour aider, développer, soutenir ou servir autrui. Elle mobilise un comportement caractéristique de la dimension S (Social) sans demander un niveau de compétence préalable.</t>
        </is>
      </c>
      <c r="W80" s="6" t="inlineStr">
        <is>
          <t>L’item relève de S4 — Soigner / prendre soin : Contribuer directement à la santé, au bien-être, à la sécurité ou au rétablissement d’une personne.</t>
        </is>
      </c>
      <c r="X80" s="6" t="inlineStr">
        <is>
          <t>Revue méthodologique V0.3 : surveiller projection en cas de limitation physique ou sensorielle, familiarité avec le contexte professionnel, désirabilité sociale, stéréotypes de genre historiques liés au soin/service au pilote.</t>
        </is>
      </c>
      <c r="Y80" s="6" t="inlineStr">
        <is>
          <t>MOYEN</t>
        </is>
      </c>
      <c r="Z80" s="6" t="inlineStr">
        <is>
          <t>FAIBLE</t>
        </is>
      </c>
      <c r="AA80" s="6" t="inlineStr">
        <is>
          <t>FAIBLE</t>
        </is>
      </c>
      <c r="AB80" s="6" t="inlineStr">
        <is>
          <t>FAIBLE</t>
        </is>
      </c>
      <c r="AC80" s="6" t="inlineStr">
        <is>
          <t>FAIBLE</t>
        </is>
      </c>
      <c r="AD80" s="6" t="inlineStr">
        <is>
          <t>MOYEN</t>
        </is>
      </c>
      <c r="AE80" s="6" t="inlineStr">
        <is>
          <t>FAIBLE</t>
        </is>
      </c>
      <c r="AF80" s="6" t="inlineStr">
        <is>
          <t>FAIBLE</t>
        </is>
      </c>
      <c r="AG80" s="6" t="inlineStr">
        <is>
          <t>MOYEN</t>
        </is>
      </c>
      <c r="AH80" s="6" t="inlineStr">
        <is>
          <t>MOYEN</t>
        </is>
      </c>
      <c r="AI80" s="6" t="inlineStr">
        <is>
          <t>FAIBLE</t>
        </is>
      </c>
      <c r="AJ80" s="4" t="n">
        <v>0</v>
      </c>
      <c r="AK80" s="4" t="n"/>
      <c r="AL80" s="6" t="inlineStr">
        <is>
          <t>RETIRE_BANQUE72_HISTORIQUE_CONSERVE</t>
        </is>
      </c>
      <c r="AM80" s="6" t="inlineStr">
        <is>
          <t>Réduction méthodologique 120→72 : doublon de facette / priorité aux activités professionnelles observables et aux items à plus faible risque.</t>
        </is>
      </c>
      <c r="AN80" s="4" t="inlineStr">
        <is>
          <t>PIP-BANK-0.3</t>
        </is>
      </c>
      <c r="AO80" s="6" t="inlineStr">
        <is>
          <t>PIP-BANK-0.3</t>
        </is>
      </c>
      <c r="AP80" s="8">
        <f>IF(OR(C80="PILOTE",C80="ACTIF"),IF(AND(A80&lt;&gt;"",H80&lt;&gt;"",I80&lt;&gt;"",K80&lt;&gt;"",V80&lt;&gt;"",W80&lt;&gt;""),"OK","A_COMPLETER"),"OK_STRUCTURE")</f>
        <v/>
      </c>
    </row>
    <row r="81" ht="72" customHeight="1" s="34">
      <c r="A81" s="4" t="inlineStr">
        <is>
          <t>PIP-ACT-S-S5-017</t>
        </is>
      </c>
      <c r="B81" s="4" t="inlineStr">
        <is>
          <t>0.2</t>
        </is>
      </c>
      <c r="C81" s="4" t="inlineStr">
        <is>
          <t>PILOTE</t>
        </is>
      </c>
      <c r="D81" s="4" t="inlineStr">
        <is>
          <t>08/09/2026</t>
        </is>
      </c>
      <c r="E81" s="4" t="inlineStr">
        <is>
          <t>08/09/2026</t>
        </is>
      </c>
      <c r="F81" s="4" t="inlineStr">
        <is>
          <t>ACT</t>
        </is>
      </c>
      <c r="G81" s="4" t="inlineStr">
        <is>
          <t>Verbe d’action + objet/contexte</t>
        </is>
      </c>
      <c r="H81" s="4" t="inlineStr">
        <is>
          <t>S</t>
        </is>
      </c>
      <c r="I81" s="4" t="inlineStr">
        <is>
          <t>S5</t>
        </is>
      </c>
      <c r="J81" s="6" t="inlineStr">
        <is>
          <t>E,C</t>
        </is>
      </c>
      <c r="K81" s="6" t="inlineStr">
        <is>
          <t>Accueillir une personne et l’aider à obtenir le service dont elle a besoin.</t>
        </is>
      </c>
      <c r="L81" s="4" t="inlineStr">
        <is>
          <t>Cela ne m’attire pas du tout</t>
        </is>
      </c>
      <c r="M81" s="4" t="inlineStr">
        <is>
          <t>Cela m’attire peu</t>
        </is>
      </c>
      <c r="N81" s="4" t="inlineStr">
        <is>
          <t>Je suis partagé(e) / sans préférence marquée</t>
        </is>
      </c>
      <c r="O81" s="4" t="inlineStr">
        <is>
          <t>Cela m’attire</t>
        </is>
      </c>
      <c r="P81" s="4" t="inlineStr">
        <is>
          <t>Cela m’attire beaucoup</t>
        </is>
      </c>
      <c r="Q81" s="4" t="n">
        <v>1</v>
      </c>
      <c r="R81" s="4" t="n">
        <v>2</v>
      </c>
      <c r="S81" s="4" t="n">
        <v>3</v>
      </c>
      <c r="T81" s="4" t="n">
        <v>4</v>
      </c>
      <c r="U81" s="4" t="n">
        <v>5</v>
      </c>
      <c r="V81" s="6" t="inlineStr">
        <is>
          <t>La formulation cible l’intérêt pour aider, développer, soutenir ou servir autrui. Elle mobilise un comportement caractéristique de la dimension S (Social) sans demander un niveau de compétence préalable.</t>
        </is>
      </c>
      <c r="W81" s="6" t="inlineStr">
        <is>
          <t>L’item relève de S5 — Servir / assister directement : Rendre un service concret ou personnalisé répondant à un besoin d’autrui.</t>
        </is>
      </c>
      <c r="X81" s="6" t="inlineStr">
        <is>
          <t>Revue méthodologique V0.3 : surveiller désirabilité sociale, stéréotypes de genre historiques liés au soin/service au pilote.</t>
        </is>
      </c>
      <c r="Y81" s="6" t="inlineStr">
        <is>
          <t>MOYEN</t>
        </is>
      </c>
      <c r="Z81" s="6" t="inlineStr">
        <is>
          <t>FAIBLE</t>
        </is>
      </c>
      <c r="AA81" s="6" t="inlineStr">
        <is>
          <t>FAIBLE</t>
        </is>
      </c>
      <c r="AB81" s="6" t="inlineStr">
        <is>
          <t>FAIBLE</t>
        </is>
      </c>
      <c r="AC81" s="6" t="inlineStr">
        <is>
          <t>FAIBLE</t>
        </is>
      </c>
      <c r="AD81" s="6" t="inlineStr">
        <is>
          <t>FAIBLE</t>
        </is>
      </c>
      <c r="AE81" s="6" t="inlineStr">
        <is>
          <t>FAIBLE</t>
        </is>
      </c>
      <c r="AF81" s="6" t="inlineStr">
        <is>
          <t>FAIBLE</t>
        </is>
      </c>
      <c r="AG81" s="6" t="inlineStr">
        <is>
          <t>FAIBLE</t>
        </is>
      </c>
      <c r="AH81" s="6" t="inlineStr">
        <is>
          <t>MOYEN</t>
        </is>
      </c>
      <c r="AI81" s="6" t="inlineStr">
        <is>
          <t>FAIBLE</t>
        </is>
      </c>
      <c r="AJ81" s="4" t="n">
        <v>0</v>
      </c>
      <c r="AK81" s="4" t="n"/>
      <c r="AL81" s="6" t="inlineStr">
        <is>
          <t>RETENU_V0.5_REECRIT_CONCRET</t>
        </is>
      </c>
      <c r="AM81" s="6" t="n"/>
      <c r="AN81" s="4" t="inlineStr">
        <is>
          <t>PIP-BANK-0.3</t>
        </is>
      </c>
      <c r="AO81" s="6" t="inlineStr">
        <is>
          <t>PIP-BANK-0.4</t>
        </is>
      </c>
      <c r="AP81" s="8">
        <f>IF(OR(C81="PILOTE",C81="ACTIF"),IF(AND(A81&lt;&gt;"",H81&lt;&gt;"",I81&lt;&gt;"",K81&lt;&gt;"",V81&lt;&gt;"",W81&lt;&gt;""),"OK","A_COMPLETER"),"OK_STRUCTURE")</f>
        <v/>
      </c>
    </row>
    <row r="82" ht="72" customHeight="1" s="34">
      <c r="A82" s="4" t="inlineStr">
        <is>
          <t>PIP-ACT-S-S5-018</t>
        </is>
      </c>
      <c r="B82" s="4" t="inlineStr">
        <is>
          <t>0.2</t>
        </is>
      </c>
      <c r="C82" s="4" t="inlineStr">
        <is>
          <t>PILOTE</t>
        </is>
      </c>
      <c r="D82" s="4" t="inlineStr">
        <is>
          <t>08/09/2026</t>
        </is>
      </c>
      <c r="E82" s="4" t="inlineStr">
        <is>
          <t>08/09/2026</t>
        </is>
      </c>
      <c r="F82" s="4" t="inlineStr">
        <is>
          <t>ACT</t>
        </is>
      </c>
      <c r="G82" s="4" t="inlineStr">
        <is>
          <t>Verbe d’action + objet/contexte</t>
        </is>
      </c>
      <c r="H82" s="4" t="inlineStr">
        <is>
          <t>S</t>
        </is>
      </c>
      <c r="I82" s="4" t="inlineStr">
        <is>
          <t>S5</t>
        </is>
      </c>
      <c r="J82" s="6" t="inlineStr">
        <is>
          <t>E,C</t>
        </is>
      </c>
      <c r="K82" s="6" t="inlineStr">
        <is>
          <t>Répondre concrètement à une demande afin de faciliter la démarche d’une personne.</t>
        </is>
      </c>
      <c r="L82" s="4" t="inlineStr">
        <is>
          <t>Cela ne m’attire pas du tout</t>
        </is>
      </c>
      <c r="M82" s="4" t="inlineStr">
        <is>
          <t>Cela m’attire peu</t>
        </is>
      </c>
      <c r="N82" s="4" t="inlineStr">
        <is>
          <t>Je suis partagé(e) / sans préférence marquée</t>
        </is>
      </c>
      <c r="O82" s="4" t="inlineStr">
        <is>
          <t>Cela m’attire</t>
        </is>
      </c>
      <c r="P82" s="4" t="inlineStr">
        <is>
          <t>Cela m’attire beaucoup</t>
        </is>
      </c>
      <c r="Q82" s="4" t="n">
        <v>1</v>
      </c>
      <c r="R82" s="4" t="n">
        <v>2</v>
      </c>
      <c r="S82" s="4" t="n">
        <v>3</v>
      </c>
      <c r="T82" s="4" t="n">
        <v>4</v>
      </c>
      <c r="U82" s="4" t="n">
        <v>5</v>
      </c>
      <c r="V82" s="6" t="inlineStr">
        <is>
          <t>La formulation cible l’intérêt pour aider, développer, soutenir ou servir autrui. Elle mobilise un comportement caractéristique de la dimension S (Social) sans demander un niveau de compétence préalable.</t>
        </is>
      </c>
      <c r="W82" s="6" t="inlineStr">
        <is>
          <t>L’item relève de S5 — Servir / assister directement : Rendre un service concret ou personnalisé répondant à un besoin d’autrui.</t>
        </is>
      </c>
      <c r="X82" s="6" t="inlineStr">
        <is>
          <t>Revue méthodologique V0.3 : surveiller désirabilité sociale, stéréotypes de genre historiques liés au soin/service au pilote.</t>
        </is>
      </c>
      <c r="Y82" s="6" t="inlineStr">
        <is>
          <t>MOYEN</t>
        </is>
      </c>
      <c r="Z82" s="6" t="inlineStr">
        <is>
          <t>FAIBLE</t>
        </is>
      </c>
      <c r="AA82" s="6" t="inlineStr">
        <is>
          <t>FAIBLE</t>
        </is>
      </c>
      <c r="AB82" s="6" t="inlineStr">
        <is>
          <t>FAIBLE</t>
        </is>
      </c>
      <c r="AC82" s="6" t="inlineStr">
        <is>
          <t>FAIBLE</t>
        </is>
      </c>
      <c r="AD82" s="6" t="inlineStr">
        <is>
          <t>FAIBLE</t>
        </is>
      </c>
      <c r="AE82" s="6" t="inlineStr">
        <is>
          <t>FAIBLE</t>
        </is>
      </c>
      <c r="AF82" s="6" t="inlineStr">
        <is>
          <t>FAIBLE</t>
        </is>
      </c>
      <c r="AG82" s="6" t="inlineStr">
        <is>
          <t>FAIBLE</t>
        </is>
      </c>
      <c r="AH82" s="6" t="inlineStr">
        <is>
          <t>MOYEN</t>
        </is>
      </c>
      <c r="AI82" s="6" t="inlineStr">
        <is>
          <t>FAIBLE</t>
        </is>
      </c>
      <c r="AJ82" s="4" t="n">
        <v>0</v>
      </c>
      <c r="AK82" s="4" t="n"/>
      <c r="AL82" s="6" t="inlineStr">
        <is>
          <t>RETENU_V0.5_REECRIT_CONCRET</t>
        </is>
      </c>
      <c r="AM82" s="6" t="n"/>
      <c r="AN82" s="4" t="inlineStr">
        <is>
          <t>PIP-BANK-0.3</t>
        </is>
      </c>
      <c r="AO82" s="6" t="inlineStr">
        <is>
          <t>PIP-BANK-0.4</t>
        </is>
      </c>
      <c r="AP82" s="8">
        <f>IF(OR(C82="PILOTE",C82="ACTIF"),IF(AND(A82&lt;&gt;"",H82&lt;&gt;"",I82&lt;&gt;"",K82&lt;&gt;"",V82&lt;&gt;"",W82&lt;&gt;""),"OK","A_COMPLETER"),"OK_STRUCTURE")</f>
        <v/>
      </c>
    </row>
    <row r="83" ht="72" customHeight="1" s="34">
      <c r="A83" s="4" t="inlineStr">
        <is>
          <t>PIP-SIT-S-S5-019</t>
        </is>
      </c>
      <c r="B83" s="4" t="inlineStr">
        <is>
          <t>0.2</t>
        </is>
      </c>
      <c r="C83" s="4" t="inlineStr">
        <is>
          <t>PILOTE</t>
        </is>
      </c>
      <c r="D83" s="4" t="inlineStr">
        <is>
          <t>08/09/2026</t>
        </is>
      </c>
      <c r="E83" s="4" t="inlineStr">
        <is>
          <t>08/09/2026</t>
        </is>
      </c>
      <c r="F83" s="4" t="inlineStr">
        <is>
          <t>SIT</t>
        </is>
      </c>
      <c r="G83" s="4" t="inlineStr">
        <is>
          <t>Situation courte avec enjeu central</t>
        </is>
      </c>
      <c r="H83" s="4" t="inlineStr">
        <is>
          <t>S</t>
        </is>
      </c>
      <c r="I83" s="4" t="inlineStr">
        <is>
          <t>S5</t>
        </is>
      </c>
      <c r="J83" s="6" t="inlineStr">
        <is>
          <t>E,C</t>
        </is>
      </c>
      <c r="K83" s="6" t="inlineStr">
        <is>
          <t>Aider un usager ou un client qui ne sait pas comment accomplir une démarche.</t>
        </is>
      </c>
      <c r="L83" s="4" t="inlineStr">
        <is>
          <t>Cela ne m’attire pas du tout</t>
        </is>
      </c>
      <c r="M83" s="4" t="inlineStr">
        <is>
          <t>Cela m’attire peu</t>
        </is>
      </c>
      <c r="N83" s="4" t="inlineStr">
        <is>
          <t>Je suis partagé(e) / sans préférence marquée</t>
        </is>
      </c>
      <c r="O83" s="4" t="inlineStr">
        <is>
          <t>Cela m’attire</t>
        </is>
      </c>
      <c r="P83" s="4" t="inlineStr">
        <is>
          <t>Cela m’attire beaucoup</t>
        </is>
      </c>
      <c r="Q83" s="4" t="n">
        <v>1</v>
      </c>
      <c r="R83" s="4" t="n">
        <v>2</v>
      </c>
      <c r="S83" s="4" t="n">
        <v>3</v>
      </c>
      <c r="T83" s="4" t="n">
        <v>4</v>
      </c>
      <c r="U83" s="4" t="n">
        <v>5</v>
      </c>
      <c r="V83" s="6" t="inlineStr">
        <is>
          <t>La formulation cible l’intérêt pour aider, développer, soutenir ou servir autrui. Elle mobilise un comportement caractéristique de la dimension S (Social) sans demander un niveau de compétence préalable.</t>
        </is>
      </c>
      <c r="W83" s="6" t="inlineStr">
        <is>
          <t>L’item relève de S5 — Servir / assister directement : Rendre un service concret ou personnalisé répondant à un besoin d’autrui.</t>
        </is>
      </c>
      <c r="X83" s="6" t="inlineStr">
        <is>
          <t>Revue méthodologique V0.3 : surveiller familiarité avec le contexte professionnel, désirabilité sociale, stéréotypes de genre historiques liés au soin/service au pilote.</t>
        </is>
      </c>
      <c r="Y83" s="6" t="inlineStr">
        <is>
          <t>MOYEN</t>
        </is>
      </c>
      <c r="Z83" s="6" t="inlineStr">
        <is>
          <t>FAIBLE</t>
        </is>
      </c>
      <c r="AA83" s="6" t="inlineStr">
        <is>
          <t>FAIBLE</t>
        </is>
      </c>
      <c r="AB83" s="6" t="inlineStr">
        <is>
          <t>FAIBLE</t>
        </is>
      </c>
      <c r="AC83" s="6" t="inlineStr">
        <is>
          <t>FAIBLE</t>
        </is>
      </c>
      <c r="AD83" s="6" t="inlineStr">
        <is>
          <t>FAIBLE</t>
        </is>
      </c>
      <c r="AE83" s="6" t="inlineStr">
        <is>
          <t>FAIBLE</t>
        </is>
      </c>
      <c r="AF83" s="6" t="inlineStr">
        <is>
          <t>FAIBLE</t>
        </is>
      </c>
      <c r="AG83" s="6" t="inlineStr">
        <is>
          <t>MOYEN</t>
        </is>
      </c>
      <c r="AH83" s="6" t="inlineStr">
        <is>
          <t>MOYEN</t>
        </is>
      </c>
      <c r="AI83" s="6" t="inlineStr">
        <is>
          <t>FAIBLE</t>
        </is>
      </c>
      <c r="AJ83" s="4" t="n">
        <v>0</v>
      </c>
      <c r="AK83" s="4" t="n"/>
      <c r="AL83" s="6" t="inlineStr">
        <is>
          <t>RETIRE_BANQUE72_HISTORIQUE_CONSERVE</t>
        </is>
      </c>
      <c r="AM83" s="6" t="inlineStr">
        <is>
          <t>Réduction méthodologique 120→72 : doublon de facette / priorité aux activités professionnelles observables et aux items à plus faible risque.</t>
        </is>
      </c>
      <c r="AN83" s="4" t="inlineStr">
        <is>
          <t>PIP-BANK-0.3</t>
        </is>
      </c>
      <c r="AO83" s="6" t="inlineStr">
        <is>
          <t>PIP-BANK-0.3</t>
        </is>
      </c>
      <c r="AP83" s="8">
        <f>IF(OR(C83="PILOTE",C83="ACTIF"),IF(AND(A83&lt;&gt;"",H83&lt;&gt;"",I83&lt;&gt;"",K83&lt;&gt;"",V83&lt;&gt;"",W83&lt;&gt;""),"OK","A_COMPLETER"),"OK_STRUCTURE")</f>
        <v/>
      </c>
    </row>
    <row r="84" ht="72" customHeight="1" s="34">
      <c r="A84" s="4" t="inlineStr">
        <is>
          <t>PIP-ENV-S-S5-020</t>
        </is>
      </c>
      <c r="B84" s="4" t="inlineStr">
        <is>
          <t>0.2</t>
        </is>
      </c>
      <c r="C84" s="4" t="inlineStr">
        <is>
          <t>PILOTE</t>
        </is>
      </c>
      <c r="D84" s="4" t="inlineStr">
        <is>
          <t>08/09/2026</t>
        </is>
      </c>
      <c r="E84" s="4" t="inlineStr">
        <is>
          <t>08/09/2026</t>
        </is>
      </c>
      <c r="F84" s="4" t="inlineStr">
        <is>
          <t>ENV</t>
        </is>
      </c>
      <c r="G84" s="4" t="inlineStr">
        <is>
          <t>Contexte décrit par ce qu’il permet de faire</t>
        </is>
      </c>
      <c r="H84" s="4" t="inlineStr">
        <is>
          <t>S</t>
        </is>
      </c>
      <c r="I84" s="4" t="inlineStr">
        <is>
          <t>S5</t>
        </is>
      </c>
      <c r="J84" s="6" t="inlineStr">
        <is>
          <t>E,C</t>
        </is>
      </c>
      <c r="K84" s="6" t="inlineStr">
        <is>
          <t>Travailler dans un contexte où l’on rend directement des services utiles à des personnes aux besoins variés.</t>
        </is>
      </c>
      <c r="L84" s="4" t="inlineStr">
        <is>
          <t>Cela ne m’attire pas du tout</t>
        </is>
      </c>
      <c r="M84" s="4" t="inlineStr">
        <is>
          <t>Cela m’attire peu</t>
        </is>
      </c>
      <c r="N84" s="4" t="inlineStr">
        <is>
          <t>Je suis partagé(e) / sans préférence marquée</t>
        </is>
      </c>
      <c r="O84" s="4" t="inlineStr">
        <is>
          <t>Cela m’attire</t>
        </is>
      </c>
      <c r="P84" s="4" t="inlineStr">
        <is>
          <t>Cela m’attire beaucoup</t>
        </is>
      </c>
      <c r="Q84" s="4" t="n">
        <v>1</v>
      </c>
      <c r="R84" s="4" t="n">
        <v>2</v>
      </c>
      <c r="S84" s="4" t="n">
        <v>3</v>
      </c>
      <c r="T84" s="4" t="n">
        <v>4</v>
      </c>
      <c r="U84" s="4" t="n">
        <v>5</v>
      </c>
      <c r="V84" s="6" t="inlineStr">
        <is>
          <t>La formulation cible l’intérêt pour aider, développer, soutenir ou servir autrui. Elle mobilise un comportement caractéristique de la dimension S (Social) sans demander un niveau de compétence préalable.</t>
        </is>
      </c>
      <c r="W84" s="6" t="inlineStr">
        <is>
          <t>L’item relève de S5 — Servir / assister directement : Rendre un service concret ou personnalisé répondant à un besoin d’autrui.</t>
        </is>
      </c>
      <c r="X84" s="6" t="inlineStr">
        <is>
          <t>Revue méthodologique V0.3 : surveiller désirabilité sociale, stéréotypes de genre historiques liés au soin/service au pilote.</t>
        </is>
      </c>
      <c r="Y84" s="6" t="inlineStr">
        <is>
          <t>MOYEN</t>
        </is>
      </c>
      <c r="Z84" s="6" t="inlineStr">
        <is>
          <t>FAIBLE</t>
        </is>
      </c>
      <c r="AA84" s="6" t="inlineStr">
        <is>
          <t>FAIBLE</t>
        </is>
      </c>
      <c r="AB84" s="6" t="inlineStr">
        <is>
          <t>FAIBLE</t>
        </is>
      </c>
      <c r="AC84" s="6" t="inlineStr">
        <is>
          <t>FAIBLE</t>
        </is>
      </c>
      <c r="AD84" s="6" t="inlineStr">
        <is>
          <t>FAIBLE</t>
        </is>
      </c>
      <c r="AE84" s="6" t="inlineStr">
        <is>
          <t>FAIBLE</t>
        </is>
      </c>
      <c r="AF84" s="6" t="inlineStr">
        <is>
          <t>FAIBLE</t>
        </is>
      </c>
      <c r="AG84" s="6" t="inlineStr">
        <is>
          <t>FAIBLE</t>
        </is>
      </c>
      <c r="AH84" s="6" t="inlineStr">
        <is>
          <t>MOYEN</t>
        </is>
      </c>
      <c r="AI84" s="6" t="inlineStr">
        <is>
          <t>FAIBLE</t>
        </is>
      </c>
      <c r="AJ84" s="4" t="n">
        <v>0</v>
      </c>
      <c r="AK84" s="4" t="n"/>
      <c r="AL84" s="6" t="inlineStr">
        <is>
          <t>RETIRE_BANQUE72_HISTORIQUE_CONSERVE</t>
        </is>
      </c>
      <c r="AM84" s="6" t="inlineStr">
        <is>
          <t>Réduction méthodologique 120→72 : doublon de facette / priorité aux activités professionnelles observables et aux items à plus faible risque.</t>
        </is>
      </c>
      <c r="AN84" s="4" t="inlineStr">
        <is>
          <t>PIP-BANK-0.3</t>
        </is>
      </c>
      <c r="AO84" s="6" t="inlineStr">
        <is>
          <t>PIP-BANK-0.3</t>
        </is>
      </c>
      <c r="AP84" s="8">
        <f>IF(OR(C84="PILOTE",C84="ACTIF"),IF(AND(A84&lt;&gt;"",H84&lt;&gt;"",I84&lt;&gt;"",K84&lt;&gt;"",V84&lt;&gt;"",W84&lt;&gt;""),"OK","A_COMPLETER"),"OK_STRUCTURE")</f>
        <v/>
      </c>
    </row>
    <row r="85" ht="72" customHeight="1" s="34">
      <c r="A85" s="4" t="inlineStr">
        <is>
          <t>PIP-ACT-E-E1-001</t>
        </is>
      </c>
      <c r="B85" s="4" t="inlineStr">
        <is>
          <t>0.2</t>
        </is>
      </c>
      <c r="C85" s="4" t="inlineStr">
        <is>
          <t>PILOTE</t>
        </is>
      </c>
      <c r="D85" s="4" t="inlineStr">
        <is>
          <t>08/09/2026</t>
        </is>
      </c>
      <c r="E85" s="4" t="inlineStr">
        <is>
          <t>08/09/2026</t>
        </is>
      </c>
      <c r="F85" s="4" t="inlineStr">
        <is>
          <t>ACT</t>
        </is>
      </c>
      <c r="G85" s="4" t="inlineStr">
        <is>
          <t>Verbe d’action + objet/contexte</t>
        </is>
      </c>
      <c r="H85" s="4" t="inlineStr">
        <is>
          <t>E</t>
        </is>
      </c>
      <c r="I85" s="4" t="inlineStr">
        <is>
          <t>E1</t>
        </is>
      </c>
      <c r="J85" s="6" t="inlineStr">
        <is>
          <t>A</t>
        </is>
      </c>
      <c r="K85" s="6" t="inlineStr">
        <is>
          <t>Lancer un nouveau projet à partir d’une idée ou d’une opportunité.</t>
        </is>
      </c>
      <c r="L85" s="4" t="inlineStr">
        <is>
          <t>Cela ne m’attire pas du tout</t>
        </is>
      </c>
      <c r="M85" s="4" t="inlineStr">
        <is>
          <t>Cela m’attire peu</t>
        </is>
      </c>
      <c r="N85" s="4" t="inlineStr">
        <is>
          <t>Je suis partagé(e) / sans préférence marquée</t>
        </is>
      </c>
      <c r="O85" s="4" t="inlineStr">
        <is>
          <t>Cela m’attire</t>
        </is>
      </c>
      <c r="P85" s="4" t="inlineStr">
        <is>
          <t>Cela m’attire beaucoup</t>
        </is>
      </c>
      <c r="Q85" s="4" t="n">
        <v>1</v>
      </c>
      <c r="R85" s="4" t="n">
        <v>2</v>
      </c>
      <c r="S85" s="4" t="n">
        <v>3</v>
      </c>
      <c r="T85" s="4" t="n">
        <v>4</v>
      </c>
      <c r="U85" s="4" t="n">
        <v>5</v>
      </c>
      <c r="V85" s="6" t="inlineStr">
        <is>
          <t>La formulation cible l’intérêt pour initier, influencer, décider et faire avancer. Elle mobilise un comportement caractéristique de la dimension E (Entreprenant) sans demander un niveau de compétence préalable.</t>
        </is>
      </c>
      <c r="W85" s="6" t="inlineStr">
        <is>
          <t>L’item relève de E1 — Initier / entreprendre / développer : Lancer, faire croître ou transformer une activité, un projet ou une opportunité.</t>
        </is>
      </c>
      <c r="X85" s="6" t="inlineStr">
        <is>
          <t>Revue méthodologique V0.3 : surveiller compréhension du vocabulaire, désirabilité sociale, effet de prestige/statut au pilote.</t>
        </is>
      </c>
      <c r="Y85" s="6" t="inlineStr">
        <is>
          <t>FAIBLE</t>
        </is>
      </c>
      <c r="Z85" s="6" t="inlineStr">
        <is>
          <t>FAIBLE</t>
        </is>
      </c>
      <c r="AA85" s="6" t="inlineStr">
        <is>
          <t>FAIBLE</t>
        </is>
      </c>
      <c r="AB85" s="6" t="inlineStr">
        <is>
          <t>FAIBLE</t>
        </is>
      </c>
      <c r="AC85" s="6" t="inlineStr">
        <is>
          <t>MOYEN</t>
        </is>
      </c>
      <c r="AD85" s="6" t="inlineStr">
        <is>
          <t>FAIBLE</t>
        </is>
      </c>
      <c r="AE85" s="6" t="inlineStr">
        <is>
          <t>FAIBLE</t>
        </is>
      </c>
      <c r="AF85" s="6" t="inlineStr">
        <is>
          <t>MOYEN</t>
        </is>
      </c>
      <c r="AG85" s="6" t="inlineStr">
        <is>
          <t>FAIBLE</t>
        </is>
      </c>
      <c r="AH85" s="6" t="inlineStr">
        <is>
          <t>MOYEN</t>
        </is>
      </c>
      <c r="AI85" s="6" t="inlineStr">
        <is>
          <t>FAIBLE</t>
        </is>
      </c>
      <c r="AJ85" s="4" t="n">
        <v>0</v>
      </c>
      <c r="AK85" s="4" t="n"/>
      <c r="AL85" s="6" t="inlineStr">
        <is>
          <t>RETENU_V0.5_REECRIT_CONCRET</t>
        </is>
      </c>
      <c r="AM85" s="6" t="n"/>
      <c r="AN85" s="4" t="inlineStr">
        <is>
          <t>PIP-BANK-0.3</t>
        </is>
      </c>
      <c r="AO85" s="6" t="inlineStr">
        <is>
          <t>PIP-BANK-0.4</t>
        </is>
      </c>
      <c r="AP85" s="8">
        <f>IF(OR(C85="PILOTE",C85="ACTIF"),IF(AND(A85&lt;&gt;"",H85&lt;&gt;"",I85&lt;&gt;"",K85&lt;&gt;"",V85&lt;&gt;"",W85&lt;&gt;""),"OK","A_COMPLETER"),"OK_STRUCTURE")</f>
        <v/>
      </c>
    </row>
    <row r="86" ht="72" customHeight="1" s="34">
      <c r="A86" s="4" t="inlineStr">
        <is>
          <t>PIP-ACT-E-E1-002</t>
        </is>
      </c>
      <c r="B86" s="4" t="inlineStr">
        <is>
          <t>0.2</t>
        </is>
      </c>
      <c r="C86" s="4" t="inlineStr">
        <is>
          <t>PILOTE</t>
        </is>
      </c>
      <c r="D86" s="4" t="inlineStr">
        <is>
          <t>08/09/2026</t>
        </is>
      </c>
      <c r="E86" s="4" t="inlineStr">
        <is>
          <t>08/09/2026</t>
        </is>
      </c>
      <c r="F86" s="4" t="inlineStr">
        <is>
          <t>ACT</t>
        </is>
      </c>
      <c r="G86" s="4" t="inlineStr">
        <is>
          <t>Verbe d’action + objet/contexte</t>
        </is>
      </c>
      <c r="H86" s="4" t="inlineStr">
        <is>
          <t>E</t>
        </is>
      </c>
      <c r="I86" s="4" t="inlineStr">
        <is>
          <t>E1</t>
        </is>
      </c>
      <c r="J86" s="6" t="inlineStr">
        <is>
          <t>A</t>
        </is>
      </c>
      <c r="K86" s="6" t="inlineStr">
        <is>
          <t>Faire progresser un projet en identifiant de nouvelles possibilités de développement.</t>
        </is>
      </c>
      <c r="L86" s="4" t="inlineStr">
        <is>
          <t>Cela ne m’attire pas du tout</t>
        </is>
      </c>
      <c r="M86" s="4" t="inlineStr">
        <is>
          <t>Cela m’attire peu</t>
        </is>
      </c>
      <c r="N86" s="4" t="inlineStr">
        <is>
          <t>Je suis partagé(e) / sans préférence marquée</t>
        </is>
      </c>
      <c r="O86" s="4" t="inlineStr">
        <is>
          <t>Cela m’attire</t>
        </is>
      </c>
      <c r="P86" s="4" t="inlineStr">
        <is>
          <t>Cela m’attire beaucoup</t>
        </is>
      </c>
      <c r="Q86" s="4" t="n">
        <v>1</v>
      </c>
      <c r="R86" s="4" t="n">
        <v>2</v>
      </c>
      <c r="S86" s="4" t="n">
        <v>3</v>
      </c>
      <c r="T86" s="4" t="n">
        <v>4</v>
      </c>
      <c r="U86" s="4" t="n">
        <v>5</v>
      </c>
      <c r="V86" s="6" t="inlineStr">
        <is>
          <t>La formulation cible l’intérêt pour initier, influencer, décider et faire avancer. Elle mobilise un comportement caractéristique de la dimension E (Entreprenant) sans demander un niveau de compétence préalable.</t>
        </is>
      </c>
      <c r="W86" s="6" t="inlineStr">
        <is>
          <t>L’item relève de E1 — Initier / entreprendre / développer : Lancer, faire croître ou transformer une activité, un projet ou une opportunité.</t>
        </is>
      </c>
      <c r="X86" s="6" t="inlineStr">
        <is>
          <t>Revue méthodologique V0.3 : surveiller compréhension du vocabulaire, désirabilité sociale, effet de prestige/statut au pilote.</t>
        </is>
      </c>
      <c r="Y86" s="6" t="inlineStr">
        <is>
          <t>FAIBLE</t>
        </is>
      </c>
      <c r="Z86" s="6" t="inlineStr">
        <is>
          <t>FAIBLE</t>
        </is>
      </c>
      <c r="AA86" s="6" t="inlineStr">
        <is>
          <t>FAIBLE</t>
        </is>
      </c>
      <c r="AB86" s="6" t="inlineStr">
        <is>
          <t>FAIBLE</t>
        </is>
      </c>
      <c r="AC86" s="6" t="inlineStr">
        <is>
          <t>MOYEN</t>
        </is>
      </c>
      <c r="AD86" s="6" t="inlineStr">
        <is>
          <t>FAIBLE</t>
        </is>
      </c>
      <c r="AE86" s="6" t="inlineStr">
        <is>
          <t>FAIBLE</t>
        </is>
      </c>
      <c r="AF86" s="6" t="inlineStr">
        <is>
          <t>MOYEN</t>
        </is>
      </c>
      <c r="AG86" s="6" t="inlineStr">
        <is>
          <t>FAIBLE</t>
        </is>
      </c>
      <c r="AH86" s="6" t="inlineStr">
        <is>
          <t>MOYEN</t>
        </is>
      </c>
      <c r="AI86" s="6" t="inlineStr">
        <is>
          <t>FAIBLE</t>
        </is>
      </c>
      <c r="AJ86" s="4" t="n">
        <v>0</v>
      </c>
      <c r="AK86" s="4" t="n"/>
      <c r="AL86" s="6" t="inlineStr">
        <is>
          <t>RETENU_V0.5_REECRIT_CONCRET</t>
        </is>
      </c>
      <c r="AM86" s="6" t="n"/>
      <c r="AN86" s="4" t="inlineStr">
        <is>
          <t>PIP-BANK-0.3</t>
        </is>
      </c>
      <c r="AO86" s="6" t="inlineStr">
        <is>
          <t>PIP-BANK-0.4</t>
        </is>
      </c>
      <c r="AP86" s="8">
        <f>IF(OR(C86="PILOTE",C86="ACTIF"),IF(AND(A86&lt;&gt;"",H86&lt;&gt;"",I86&lt;&gt;"",K86&lt;&gt;"",V86&lt;&gt;"",W86&lt;&gt;""),"OK","A_COMPLETER"),"OK_STRUCTURE")</f>
        <v/>
      </c>
    </row>
    <row r="87" ht="72" customHeight="1" s="34">
      <c r="A87" s="4" t="inlineStr">
        <is>
          <t>PIP-SIT-E-E1-003</t>
        </is>
      </c>
      <c r="B87" s="4" t="inlineStr">
        <is>
          <t>0.2</t>
        </is>
      </c>
      <c r="C87" s="4" t="inlineStr">
        <is>
          <t>PILOTE</t>
        </is>
      </c>
      <c r="D87" s="4" t="inlineStr">
        <is>
          <t>08/09/2026</t>
        </is>
      </c>
      <c r="E87" s="4" t="inlineStr">
        <is>
          <t>08/09/2026</t>
        </is>
      </c>
      <c r="F87" s="4" t="inlineStr">
        <is>
          <t>SIT</t>
        </is>
      </c>
      <c r="G87" s="4" t="inlineStr">
        <is>
          <t>Situation courte avec enjeu central</t>
        </is>
      </c>
      <c r="H87" s="4" t="inlineStr">
        <is>
          <t>E</t>
        </is>
      </c>
      <c r="I87" s="4" t="inlineStr">
        <is>
          <t>E1</t>
        </is>
      </c>
      <c r="J87" s="6" t="inlineStr">
        <is>
          <t>A</t>
        </is>
      </c>
      <c r="K87" s="6" t="inlineStr">
        <is>
          <t>Voir une opportunité et prendre l’initiative de la transformer en projet concret.</t>
        </is>
      </c>
      <c r="L87" s="4" t="inlineStr">
        <is>
          <t>Cela ne m’attire pas du tout</t>
        </is>
      </c>
      <c r="M87" s="4" t="inlineStr">
        <is>
          <t>Cela m’attire peu</t>
        </is>
      </c>
      <c r="N87" s="4" t="inlineStr">
        <is>
          <t>Je suis partagé(e) / sans préférence marquée</t>
        </is>
      </c>
      <c r="O87" s="4" t="inlineStr">
        <is>
          <t>Cela m’attire</t>
        </is>
      </c>
      <c r="P87" s="4" t="inlineStr">
        <is>
          <t>Cela m’attire beaucoup</t>
        </is>
      </c>
      <c r="Q87" s="4" t="n">
        <v>1</v>
      </c>
      <c r="R87" s="4" t="n">
        <v>2</v>
      </c>
      <c r="S87" s="4" t="n">
        <v>3</v>
      </c>
      <c r="T87" s="4" t="n">
        <v>4</v>
      </c>
      <c r="U87" s="4" t="n">
        <v>5</v>
      </c>
      <c r="V87" s="6" t="inlineStr">
        <is>
          <t>La formulation cible l’intérêt pour initier, influencer, décider et faire avancer. Elle mobilise un comportement caractéristique de la dimension E (Entreprenant) sans demander un niveau de compétence préalable.</t>
        </is>
      </c>
      <c r="W87" s="6" t="inlineStr">
        <is>
          <t>L’item relève de E1 — Initier / entreprendre / développer : Lancer, faire croître ou transformer une activité, un projet ou une opportunité.</t>
        </is>
      </c>
      <c r="X87" s="6" t="inlineStr">
        <is>
          <t>Revue méthodologique V0.3 : surveiller compréhension du vocabulaire, désirabilité sociale, effet de prestige/statut au pilote.</t>
        </is>
      </c>
      <c r="Y87" s="6" t="inlineStr">
        <is>
          <t>FAIBLE</t>
        </is>
      </c>
      <c r="Z87" s="6" t="inlineStr">
        <is>
          <t>FAIBLE</t>
        </is>
      </c>
      <c r="AA87" s="6" t="inlineStr">
        <is>
          <t>FAIBLE</t>
        </is>
      </c>
      <c r="AB87" s="6" t="inlineStr">
        <is>
          <t>FAIBLE</t>
        </is>
      </c>
      <c r="AC87" s="6" t="inlineStr">
        <is>
          <t>MOYEN</t>
        </is>
      </c>
      <c r="AD87" s="6" t="inlineStr">
        <is>
          <t>FAIBLE</t>
        </is>
      </c>
      <c r="AE87" s="6" t="inlineStr">
        <is>
          <t>FAIBLE</t>
        </is>
      </c>
      <c r="AF87" s="6" t="inlineStr">
        <is>
          <t>MOYEN</t>
        </is>
      </c>
      <c r="AG87" s="6" t="inlineStr">
        <is>
          <t>FAIBLE</t>
        </is>
      </c>
      <c r="AH87" s="6" t="inlineStr">
        <is>
          <t>MOYEN</t>
        </is>
      </c>
      <c r="AI87" s="6" t="inlineStr">
        <is>
          <t>FAIBLE</t>
        </is>
      </c>
      <c r="AJ87" s="4" t="n">
        <v>0</v>
      </c>
      <c r="AK87" s="4" t="n"/>
      <c r="AL87" s="6" t="inlineStr">
        <is>
          <t>RETENU_V0.5_REECRIT_CONCRET</t>
        </is>
      </c>
      <c r="AM87" s="6" t="n"/>
      <c r="AN87" s="4" t="inlineStr">
        <is>
          <t>PIP-BANK-0.3</t>
        </is>
      </c>
      <c r="AO87" s="6" t="inlineStr">
        <is>
          <t>PIP-BANK-0.4</t>
        </is>
      </c>
      <c r="AP87" s="8">
        <f>IF(OR(C87="PILOTE",C87="ACTIF"),IF(AND(A87&lt;&gt;"",H87&lt;&gt;"",I87&lt;&gt;"",K87&lt;&gt;"",V87&lt;&gt;"",W87&lt;&gt;""),"OK","A_COMPLETER"),"OK_STRUCTURE")</f>
        <v/>
      </c>
    </row>
    <row r="88" ht="72" customHeight="1" s="34">
      <c r="A88" s="4" t="inlineStr">
        <is>
          <t>PIP-ENV-E-E1-004</t>
        </is>
      </c>
      <c r="B88" s="4" t="inlineStr">
        <is>
          <t>0.2</t>
        </is>
      </c>
      <c r="C88" s="4" t="inlineStr">
        <is>
          <t>PILOTE</t>
        </is>
      </c>
      <c r="D88" s="4" t="inlineStr">
        <is>
          <t>08/09/2026</t>
        </is>
      </c>
      <c r="E88" s="4" t="inlineStr">
        <is>
          <t>08/09/2026</t>
        </is>
      </c>
      <c r="F88" s="4" t="inlineStr">
        <is>
          <t>ENV</t>
        </is>
      </c>
      <c r="G88" s="4" t="inlineStr">
        <is>
          <t>Contexte décrit par ce qu’il permet de faire</t>
        </is>
      </c>
      <c r="H88" s="4" t="inlineStr">
        <is>
          <t>E</t>
        </is>
      </c>
      <c r="I88" s="4" t="inlineStr">
        <is>
          <t>E1</t>
        </is>
      </c>
      <c r="J88" s="6" t="inlineStr">
        <is>
          <t>A</t>
        </is>
      </c>
      <c r="K88" s="6" t="inlineStr">
        <is>
          <t>Évoluer dans un contexte où l’on peut proposer des initiatives et faire avancer de nouveaux projets.</t>
        </is>
      </c>
      <c r="L88" s="4" t="inlineStr">
        <is>
          <t>Cela ne m’attire pas du tout</t>
        </is>
      </c>
      <c r="M88" s="4" t="inlineStr">
        <is>
          <t>Cela m’attire peu</t>
        </is>
      </c>
      <c r="N88" s="4" t="inlineStr">
        <is>
          <t>Je suis partagé(e) / sans préférence marquée</t>
        </is>
      </c>
      <c r="O88" s="4" t="inlineStr">
        <is>
          <t>Cela m’attire</t>
        </is>
      </c>
      <c r="P88" s="4" t="inlineStr">
        <is>
          <t>Cela m’attire beaucoup</t>
        </is>
      </c>
      <c r="Q88" s="4" t="n">
        <v>1</v>
      </c>
      <c r="R88" s="4" t="n">
        <v>2</v>
      </c>
      <c r="S88" s="4" t="n">
        <v>3</v>
      </c>
      <c r="T88" s="4" t="n">
        <v>4</v>
      </c>
      <c r="U88" s="4" t="n">
        <v>5</v>
      </c>
      <c r="V88" s="6" t="inlineStr">
        <is>
          <t>La formulation cible l’intérêt pour initier, influencer, décider et faire avancer. Elle mobilise un comportement caractéristique de la dimension E (Entreprenant) sans demander un niveau de compétence préalable.</t>
        </is>
      </c>
      <c r="W88" s="6" t="inlineStr">
        <is>
          <t>L’item relève de E1 — Initier / entreprendre / développer : Lancer, faire croître ou transformer une activité, un projet ou une opportunité.</t>
        </is>
      </c>
      <c r="X88" s="6" t="inlineStr">
        <is>
          <t>Revue méthodologique V0.3 : surveiller compréhension du vocabulaire, désirabilité sociale, effet de prestige/statut au pilote.</t>
        </is>
      </c>
      <c r="Y88" s="6" t="inlineStr">
        <is>
          <t>FAIBLE</t>
        </is>
      </c>
      <c r="Z88" s="6" t="inlineStr">
        <is>
          <t>FAIBLE</t>
        </is>
      </c>
      <c r="AA88" s="6" t="inlineStr">
        <is>
          <t>FAIBLE</t>
        </is>
      </c>
      <c r="AB88" s="6" t="inlineStr">
        <is>
          <t>FAIBLE</t>
        </is>
      </c>
      <c r="AC88" s="6" t="inlineStr">
        <is>
          <t>MOYEN</t>
        </is>
      </c>
      <c r="AD88" s="6" t="inlineStr">
        <is>
          <t>FAIBLE</t>
        </is>
      </c>
      <c r="AE88" s="6" t="inlineStr">
        <is>
          <t>FAIBLE</t>
        </is>
      </c>
      <c r="AF88" s="6" t="inlineStr">
        <is>
          <t>MOYEN</t>
        </is>
      </c>
      <c r="AG88" s="6" t="inlineStr">
        <is>
          <t>FAIBLE</t>
        </is>
      </c>
      <c r="AH88" s="6" t="inlineStr">
        <is>
          <t>MOYEN</t>
        </is>
      </c>
      <c r="AI88" s="6" t="inlineStr">
        <is>
          <t>FAIBLE</t>
        </is>
      </c>
      <c r="AJ88" s="4" t="n">
        <v>0</v>
      </c>
      <c r="AK88" s="4" t="n"/>
      <c r="AL88" s="6" t="inlineStr">
        <is>
          <t>RETIRE_BANQUE72_HISTORIQUE_CONSERVE</t>
        </is>
      </c>
      <c r="AM88" s="6" t="inlineStr">
        <is>
          <t>Réduction méthodologique 120→72 : doublon de facette / priorité aux activités professionnelles observables et aux items à plus faible risque.</t>
        </is>
      </c>
      <c r="AN88" s="4" t="inlineStr">
        <is>
          <t>PIP-BANK-0.3</t>
        </is>
      </c>
      <c r="AO88" s="6" t="inlineStr">
        <is>
          <t>PIP-BANK-0.3</t>
        </is>
      </c>
      <c r="AP88" s="8">
        <f>IF(OR(C88="PILOTE",C88="ACTIF"),IF(AND(A88&lt;&gt;"",H88&lt;&gt;"",I88&lt;&gt;"",K88&lt;&gt;"",V88&lt;&gt;"",W88&lt;&gt;""),"OK","A_COMPLETER"),"OK_STRUCTURE")</f>
        <v/>
      </c>
    </row>
    <row r="89" ht="72" customHeight="1" s="34">
      <c r="A89" s="4" t="inlineStr">
        <is>
          <t>PIP-ACT-E-E2-005</t>
        </is>
      </c>
      <c r="B89" s="4" t="inlineStr">
        <is>
          <t>0.2</t>
        </is>
      </c>
      <c r="C89" s="4" t="inlineStr">
        <is>
          <t>PILOTE</t>
        </is>
      </c>
      <c r="D89" s="4" t="inlineStr">
        <is>
          <t>08/09/2026</t>
        </is>
      </c>
      <c r="E89" s="4" t="inlineStr">
        <is>
          <t>08/09/2026</t>
        </is>
      </c>
      <c r="F89" s="4" t="inlineStr">
        <is>
          <t>ACT</t>
        </is>
      </c>
      <c r="G89" s="4" t="inlineStr">
        <is>
          <t>Verbe d’action + objet/contexte</t>
        </is>
      </c>
      <c r="H89" s="4" t="inlineStr">
        <is>
          <t>E</t>
        </is>
      </c>
      <c r="I89" s="4" t="inlineStr">
        <is>
          <t>E2</t>
        </is>
      </c>
      <c r="J89" s="6" t="inlineStr">
        <is>
          <t>S</t>
        </is>
      </c>
      <c r="K89" s="6" t="inlineStr">
        <is>
          <t>Présenter une proposition de façon à donner envie d’y adhérer.</t>
        </is>
      </c>
      <c r="L89" s="4" t="inlineStr">
        <is>
          <t>Cela ne m’attire pas du tout</t>
        </is>
      </c>
      <c r="M89" s="4" t="inlineStr">
        <is>
          <t>Cela m’attire peu</t>
        </is>
      </c>
      <c r="N89" s="4" t="inlineStr">
        <is>
          <t>Je suis partagé(e) / sans préférence marquée</t>
        </is>
      </c>
      <c r="O89" s="4" t="inlineStr">
        <is>
          <t>Cela m’attire</t>
        </is>
      </c>
      <c r="P89" s="4" t="inlineStr">
        <is>
          <t>Cela m’attire beaucoup</t>
        </is>
      </c>
      <c r="Q89" s="4" t="n">
        <v>1</v>
      </c>
      <c r="R89" s="4" t="n">
        <v>2</v>
      </c>
      <c r="S89" s="4" t="n">
        <v>3</v>
      </c>
      <c r="T89" s="4" t="n">
        <v>4</v>
      </c>
      <c r="U89" s="4" t="n">
        <v>5</v>
      </c>
      <c r="V89" s="6" t="inlineStr">
        <is>
          <t>La formulation cible l’intérêt pour initier, influencer, décider et faire avancer. Elle mobilise un comportement caractéristique de la dimension E (Entreprenant) sans demander un niveau de compétence préalable.</t>
        </is>
      </c>
      <c r="W89" s="6" t="inlineStr">
        <is>
          <t>L’item relève de E2 — Convaincre / vendre / promouvoir : Présenter une proposition et obtenir l’adhésion d’un client, public ou partenaire.</t>
        </is>
      </c>
      <c r="X89" s="6" t="inlineStr">
        <is>
          <t>Revue méthodologique V0.3 : surveiller compréhension du vocabulaire, désirabilité sociale, effet de prestige/statut au pilote.</t>
        </is>
      </c>
      <c r="Y89" s="6" t="inlineStr">
        <is>
          <t>FAIBLE</t>
        </is>
      </c>
      <c r="Z89" s="6" t="inlineStr">
        <is>
          <t>FAIBLE</t>
        </is>
      </c>
      <c r="AA89" s="6" t="inlineStr">
        <is>
          <t>FAIBLE</t>
        </is>
      </c>
      <c r="AB89" s="6" t="inlineStr">
        <is>
          <t>FAIBLE</t>
        </is>
      </c>
      <c r="AC89" s="6" t="inlineStr">
        <is>
          <t>MOYEN</t>
        </is>
      </c>
      <c r="AD89" s="6" t="inlineStr">
        <is>
          <t>FAIBLE</t>
        </is>
      </c>
      <c r="AE89" s="6" t="inlineStr">
        <is>
          <t>FAIBLE</t>
        </is>
      </c>
      <c r="AF89" s="6" t="inlineStr">
        <is>
          <t>MOYEN</t>
        </is>
      </c>
      <c r="AG89" s="6" t="inlineStr">
        <is>
          <t>FAIBLE</t>
        </is>
      </c>
      <c r="AH89" s="6" t="inlineStr">
        <is>
          <t>MOYEN</t>
        </is>
      </c>
      <c r="AI89" s="6" t="inlineStr">
        <is>
          <t>FAIBLE</t>
        </is>
      </c>
      <c r="AJ89" s="4" t="n">
        <v>0</v>
      </c>
      <c r="AK89" s="4" t="n"/>
      <c r="AL89" s="6" t="inlineStr">
        <is>
          <t>RETENU_V0.5_REECRIT_CONCRET</t>
        </is>
      </c>
      <c r="AM89" s="6" t="n"/>
      <c r="AN89" s="4" t="inlineStr">
        <is>
          <t>PIP-BANK-0.3</t>
        </is>
      </c>
      <c r="AO89" s="6" t="inlineStr">
        <is>
          <t>PIP-BANK-0.4</t>
        </is>
      </c>
      <c r="AP89" s="8">
        <f>IF(OR(C89="PILOTE",C89="ACTIF"),IF(AND(A89&lt;&gt;"",H89&lt;&gt;"",I89&lt;&gt;"",K89&lt;&gt;"",V89&lt;&gt;"",W89&lt;&gt;""),"OK","A_COMPLETER"),"OK_STRUCTURE")</f>
        <v/>
      </c>
    </row>
    <row r="90" ht="72" customHeight="1" s="34">
      <c r="A90" s="4" t="inlineStr">
        <is>
          <t>PIP-ACT-E-E2-006</t>
        </is>
      </c>
      <c r="B90" s="4" t="inlineStr">
        <is>
          <t>0.2</t>
        </is>
      </c>
      <c r="C90" s="4" t="inlineStr">
        <is>
          <t>PILOTE</t>
        </is>
      </c>
      <c r="D90" s="4" t="inlineStr">
        <is>
          <t>08/09/2026</t>
        </is>
      </c>
      <c r="E90" s="4" t="inlineStr">
        <is>
          <t>08/09/2026</t>
        </is>
      </c>
      <c r="F90" s="4" t="inlineStr">
        <is>
          <t>ACT</t>
        </is>
      </c>
      <c r="G90" s="4" t="inlineStr">
        <is>
          <t>Verbe d’action + objet/contexte</t>
        </is>
      </c>
      <c r="H90" s="4" t="inlineStr">
        <is>
          <t>E</t>
        </is>
      </c>
      <c r="I90" s="4" t="inlineStr">
        <is>
          <t>E2</t>
        </is>
      </c>
      <c r="J90" s="6" t="inlineStr">
        <is>
          <t>S</t>
        </is>
      </c>
      <c r="K90" s="6" t="inlineStr">
        <is>
          <t>Promouvoir un produit, un service ou une idée auprès d’un public.</t>
        </is>
      </c>
      <c r="L90" s="4" t="inlineStr">
        <is>
          <t>Cela ne m’attire pas du tout</t>
        </is>
      </c>
      <c r="M90" s="4" t="inlineStr">
        <is>
          <t>Cela m’attire peu</t>
        </is>
      </c>
      <c r="N90" s="4" t="inlineStr">
        <is>
          <t>Je suis partagé(e) / sans préférence marquée</t>
        </is>
      </c>
      <c r="O90" s="4" t="inlineStr">
        <is>
          <t>Cela m’attire</t>
        </is>
      </c>
      <c r="P90" s="4" t="inlineStr">
        <is>
          <t>Cela m’attire beaucoup</t>
        </is>
      </c>
      <c r="Q90" s="4" t="n">
        <v>1</v>
      </c>
      <c r="R90" s="4" t="n">
        <v>2</v>
      </c>
      <c r="S90" s="4" t="n">
        <v>3</v>
      </c>
      <c r="T90" s="4" t="n">
        <v>4</v>
      </c>
      <c r="U90" s="4" t="n">
        <v>5</v>
      </c>
      <c r="V90" s="6" t="inlineStr">
        <is>
          <t>La formulation cible l’intérêt pour initier, influencer, décider et faire avancer. Elle mobilise un comportement caractéristique de la dimension E (Entreprenant) sans demander un niveau de compétence préalable.</t>
        </is>
      </c>
      <c r="W90" s="6" t="inlineStr">
        <is>
          <t>L’item relève de E2 — Convaincre / vendre / promouvoir : Présenter une proposition et obtenir l’adhésion d’un client, public ou partenaire.</t>
        </is>
      </c>
      <c r="X90" s="6" t="inlineStr">
        <is>
          <t>Revue méthodologique V0.3 : surveiller compréhension du vocabulaire, désirabilité sociale, effet de prestige/statut au pilote.</t>
        </is>
      </c>
      <c r="Y90" s="6" t="inlineStr">
        <is>
          <t>FAIBLE</t>
        </is>
      </c>
      <c r="Z90" s="6" t="inlineStr">
        <is>
          <t>FAIBLE</t>
        </is>
      </c>
      <c r="AA90" s="6" t="inlineStr">
        <is>
          <t>FAIBLE</t>
        </is>
      </c>
      <c r="AB90" s="6" t="inlineStr">
        <is>
          <t>FAIBLE</t>
        </is>
      </c>
      <c r="AC90" s="6" t="inlineStr">
        <is>
          <t>MOYEN</t>
        </is>
      </c>
      <c r="AD90" s="6" t="inlineStr">
        <is>
          <t>FAIBLE</t>
        </is>
      </c>
      <c r="AE90" s="6" t="inlineStr">
        <is>
          <t>FAIBLE</t>
        </is>
      </c>
      <c r="AF90" s="6" t="inlineStr">
        <is>
          <t>MOYEN</t>
        </is>
      </c>
      <c r="AG90" s="6" t="inlineStr">
        <is>
          <t>FAIBLE</t>
        </is>
      </c>
      <c r="AH90" s="6" t="inlineStr">
        <is>
          <t>MOYEN</t>
        </is>
      </c>
      <c r="AI90" s="6" t="inlineStr">
        <is>
          <t>FAIBLE</t>
        </is>
      </c>
      <c r="AJ90" s="4" t="n">
        <v>0</v>
      </c>
      <c r="AK90" s="4" t="n"/>
      <c r="AL90" s="6" t="inlineStr">
        <is>
          <t>RETENU_V0.5_REECRIT_CONCRET</t>
        </is>
      </c>
      <c r="AM90" s="6" t="n"/>
      <c r="AN90" s="4" t="inlineStr">
        <is>
          <t>PIP-BANK-0.3</t>
        </is>
      </c>
      <c r="AO90" s="6" t="inlineStr">
        <is>
          <t>PIP-BANK-0.4</t>
        </is>
      </c>
      <c r="AP90" s="8">
        <f>IF(OR(C90="PILOTE",C90="ACTIF"),IF(AND(A90&lt;&gt;"",H90&lt;&gt;"",I90&lt;&gt;"",K90&lt;&gt;"",V90&lt;&gt;"",W90&lt;&gt;""),"OK","A_COMPLETER"),"OK_STRUCTURE")</f>
        <v/>
      </c>
    </row>
    <row r="91" ht="72" customHeight="1" s="34">
      <c r="A91" s="4" t="inlineStr">
        <is>
          <t>PIP-SIT-E-E2-007</t>
        </is>
      </c>
      <c r="B91" s="4" t="inlineStr">
        <is>
          <t>0.2</t>
        </is>
      </c>
      <c r="C91" s="4" t="inlineStr">
        <is>
          <t>PILOTE</t>
        </is>
      </c>
      <c r="D91" s="4" t="inlineStr">
        <is>
          <t>08/09/2026</t>
        </is>
      </c>
      <c r="E91" s="4" t="inlineStr">
        <is>
          <t>08/09/2026</t>
        </is>
      </c>
      <c r="F91" s="4" t="inlineStr">
        <is>
          <t>SIT</t>
        </is>
      </c>
      <c r="G91" s="4" t="inlineStr">
        <is>
          <t>Situation courte avec enjeu central</t>
        </is>
      </c>
      <c r="H91" s="4" t="inlineStr">
        <is>
          <t>E</t>
        </is>
      </c>
      <c r="I91" s="4" t="inlineStr">
        <is>
          <t>E2</t>
        </is>
      </c>
      <c r="J91" s="6" t="inlineStr">
        <is>
          <t>S</t>
        </is>
      </c>
      <c r="K91" s="6" t="inlineStr">
        <is>
          <t>Défendre une proposition devant des personnes qui hésitent afin d’obtenir leur adhésion.</t>
        </is>
      </c>
      <c r="L91" s="4" t="inlineStr">
        <is>
          <t>Cela ne m’attire pas du tout</t>
        </is>
      </c>
      <c r="M91" s="4" t="inlineStr">
        <is>
          <t>Cela m’attire peu</t>
        </is>
      </c>
      <c r="N91" s="4" t="inlineStr">
        <is>
          <t>Je suis partagé(e) / sans préférence marquée</t>
        </is>
      </c>
      <c r="O91" s="4" t="inlineStr">
        <is>
          <t>Cela m’attire</t>
        </is>
      </c>
      <c r="P91" s="4" t="inlineStr">
        <is>
          <t>Cela m’attire beaucoup</t>
        </is>
      </c>
      <c r="Q91" s="4" t="n">
        <v>1</v>
      </c>
      <c r="R91" s="4" t="n">
        <v>2</v>
      </c>
      <c r="S91" s="4" t="n">
        <v>3</v>
      </c>
      <c r="T91" s="4" t="n">
        <v>4</v>
      </c>
      <c r="U91" s="4" t="n">
        <v>5</v>
      </c>
      <c r="V91" s="6" t="inlineStr">
        <is>
          <t>La formulation cible l’intérêt pour initier, influencer, décider et faire avancer. Elle mobilise un comportement caractéristique de la dimension E (Entreprenant) sans demander un niveau de compétence préalable.</t>
        </is>
      </c>
      <c r="W91" s="6" t="inlineStr">
        <is>
          <t>L’item relève de E2 — Convaincre / vendre / promouvoir : Présenter une proposition et obtenir l’adhésion d’un client, public ou partenaire.</t>
        </is>
      </c>
      <c r="X91" s="6" t="inlineStr">
        <is>
          <t>Revue méthodologique V0.3 : surveiller compréhension du vocabulaire, désirabilité sociale, effet de prestige/statut au pilote.</t>
        </is>
      </c>
      <c r="Y91" s="6" t="inlineStr">
        <is>
          <t>FAIBLE</t>
        </is>
      </c>
      <c r="Z91" s="6" t="inlineStr">
        <is>
          <t>FAIBLE</t>
        </is>
      </c>
      <c r="AA91" s="6" t="inlineStr">
        <is>
          <t>FAIBLE</t>
        </is>
      </c>
      <c r="AB91" s="6" t="inlineStr">
        <is>
          <t>FAIBLE</t>
        </is>
      </c>
      <c r="AC91" s="6" t="inlineStr">
        <is>
          <t>MOYEN</t>
        </is>
      </c>
      <c r="AD91" s="6" t="inlineStr">
        <is>
          <t>FAIBLE</t>
        </is>
      </c>
      <c r="AE91" s="6" t="inlineStr">
        <is>
          <t>FAIBLE</t>
        </is>
      </c>
      <c r="AF91" s="6" t="inlineStr">
        <is>
          <t>MOYEN</t>
        </is>
      </c>
      <c r="AG91" s="6" t="inlineStr">
        <is>
          <t>FAIBLE</t>
        </is>
      </c>
      <c r="AH91" s="6" t="inlineStr">
        <is>
          <t>MOYEN</t>
        </is>
      </c>
      <c r="AI91" s="6" t="inlineStr">
        <is>
          <t>FAIBLE</t>
        </is>
      </c>
      <c r="AJ91" s="4" t="n">
        <v>0</v>
      </c>
      <c r="AK91" s="4" t="n"/>
      <c r="AL91" s="6" t="inlineStr">
        <is>
          <t>RETENU_V0.5_REECRIT_CONCRET</t>
        </is>
      </c>
      <c r="AM91" s="6" t="n"/>
      <c r="AN91" s="4" t="inlineStr">
        <is>
          <t>PIP-BANK-0.3</t>
        </is>
      </c>
      <c r="AO91" s="6" t="inlineStr">
        <is>
          <t>PIP-BANK-0.4</t>
        </is>
      </c>
      <c r="AP91" s="8">
        <f>IF(OR(C91="PILOTE",C91="ACTIF"),IF(AND(A91&lt;&gt;"",H91&lt;&gt;"",I91&lt;&gt;"",K91&lt;&gt;"",V91&lt;&gt;"",W91&lt;&gt;""),"OK","A_COMPLETER"),"OK_STRUCTURE")</f>
        <v/>
      </c>
    </row>
    <row r="92" ht="72" customHeight="1" s="34">
      <c r="A92" s="4" t="inlineStr">
        <is>
          <t>PIP-ENV-E-E2-008</t>
        </is>
      </c>
      <c r="B92" s="4" t="inlineStr">
        <is>
          <t>0.2</t>
        </is>
      </c>
      <c r="C92" s="4" t="inlineStr">
        <is>
          <t>PILOTE</t>
        </is>
      </c>
      <c r="D92" s="4" t="inlineStr">
        <is>
          <t>08/09/2026</t>
        </is>
      </c>
      <c r="E92" s="4" t="inlineStr">
        <is>
          <t>08/09/2026</t>
        </is>
      </c>
      <c r="F92" s="4" t="inlineStr">
        <is>
          <t>ENV</t>
        </is>
      </c>
      <c r="G92" s="4" t="inlineStr">
        <is>
          <t>Contexte décrit par ce qu’il permet de faire</t>
        </is>
      </c>
      <c r="H92" s="4" t="inlineStr">
        <is>
          <t>E</t>
        </is>
      </c>
      <c r="I92" s="4" t="inlineStr">
        <is>
          <t>E2</t>
        </is>
      </c>
      <c r="J92" s="6" t="inlineStr">
        <is>
          <t>S</t>
        </is>
      </c>
      <c r="K92" s="6" t="inlineStr">
        <is>
          <t>Travailler dans un contexte où il faut régulièrement présenter, promouvoir ou faire accepter des propositions.</t>
        </is>
      </c>
      <c r="L92" s="4" t="inlineStr">
        <is>
          <t>Cela ne m’attire pas du tout</t>
        </is>
      </c>
      <c r="M92" s="4" t="inlineStr">
        <is>
          <t>Cela m’attire peu</t>
        </is>
      </c>
      <c r="N92" s="4" t="inlineStr">
        <is>
          <t>Je suis partagé(e) / sans préférence marquée</t>
        </is>
      </c>
      <c r="O92" s="4" t="inlineStr">
        <is>
          <t>Cela m’attire</t>
        </is>
      </c>
      <c r="P92" s="4" t="inlineStr">
        <is>
          <t>Cela m’attire beaucoup</t>
        </is>
      </c>
      <c r="Q92" s="4" t="n">
        <v>1</v>
      </c>
      <c r="R92" s="4" t="n">
        <v>2</v>
      </c>
      <c r="S92" s="4" t="n">
        <v>3</v>
      </c>
      <c r="T92" s="4" t="n">
        <v>4</v>
      </c>
      <c r="U92" s="4" t="n">
        <v>5</v>
      </c>
      <c r="V92" s="6" t="inlineStr">
        <is>
          <t>La formulation cible l’intérêt pour initier, influencer, décider et faire avancer. Elle mobilise un comportement caractéristique de la dimension E (Entreprenant) sans demander un niveau de compétence préalable.</t>
        </is>
      </c>
      <c r="W92" s="6" t="inlineStr">
        <is>
          <t>L’item relève de E2 — Convaincre / vendre / promouvoir : Présenter une proposition et obtenir l’adhésion d’un client, public ou partenaire.</t>
        </is>
      </c>
      <c r="X92" s="6" t="inlineStr">
        <is>
          <t>Revue méthodologique V0.3 : surveiller compréhension du vocabulaire, désirabilité sociale, effet de prestige/statut au pilote.</t>
        </is>
      </c>
      <c r="Y92" s="6" t="inlineStr">
        <is>
          <t>FAIBLE</t>
        </is>
      </c>
      <c r="Z92" s="6" t="inlineStr">
        <is>
          <t>FAIBLE</t>
        </is>
      </c>
      <c r="AA92" s="6" t="inlineStr">
        <is>
          <t>FAIBLE</t>
        </is>
      </c>
      <c r="AB92" s="6" t="inlineStr">
        <is>
          <t>FAIBLE</t>
        </is>
      </c>
      <c r="AC92" s="6" t="inlineStr">
        <is>
          <t>MOYEN</t>
        </is>
      </c>
      <c r="AD92" s="6" t="inlineStr">
        <is>
          <t>FAIBLE</t>
        </is>
      </c>
      <c r="AE92" s="6" t="inlineStr">
        <is>
          <t>FAIBLE</t>
        </is>
      </c>
      <c r="AF92" s="6" t="inlineStr">
        <is>
          <t>MOYEN</t>
        </is>
      </c>
      <c r="AG92" s="6" t="inlineStr">
        <is>
          <t>FAIBLE</t>
        </is>
      </c>
      <c r="AH92" s="6" t="inlineStr">
        <is>
          <t>MOYEN</t>
        </is>
      </c>
      <c r="AI92" s="6" t="inlineStr">
        <is>
          <t>FAIBLE</t>
        </is>
      </c>
      <c r="AJ92" s="4" t="n">
        <v>0</v>
      </c>
      <c r="AK92" s="4" t="n"/>
      <c r="AL92" s="6" t="inlineStr">
        <is>
          <t>RETIRE_BANQUE72_HISTORIQUE_CONSERVE</t>
        </is>
      </c>
      <c r="AM92" s="6" t="inlineStr">
        <is>
          <t>Réduction méthodologique 120→72 : doublon de facette / priorité aux activités professionnelles observables et aux items à plus faible risque.</t>
        </is>
      </c>
      <c r="AN92" s="4" t="inlineStr">
        <is>
          <t>PIP-BANK-0.3</t>
        </is>
      </c>
      <c r="AO92" s="6" t="inlineStr">
        <is>
          <t>PIP-BANK-0.3</t>
        </is>
      </c>
      <c r="AP92" s="8">
        <f>IF(OR(C92="PILOTE",C92="ACTIF"),IF(AND(A92&lt;&gt;"",H92&lt;&gt;"",I92&lt;&gt;"",K92&lt;&gt;"",V92&lt;&gt;"",W92&lt;&gt;""),"OK","A_COMPLETER"),"OK_STRUCTURE")</f>
        <v/>
      </c>
    </row>
    <row r="93" ht="72" customHeight="1" s="34">
      <c r="A93" s="4" t="inlineStr">
        <is>
          <t>PIP-ACT-E-E3-009</t>
        </is>
      </c>
      <c r="B93" s="4" t="inlineStr">
        <is>
          <t>0.2</t>
        </is>
      </c>
      <c r="C93" s="4" t="inlineStr">
        <is>
          <t>PILOTE</t>
        </is>
      </c>
      <c r="D93" s="4" t="inlineStr">
        <is>
          <t>08/09/2026</t>
        </is>
      </c>
      <c r="E93" s="4" t="inlineStr">
        <is>
          <t>08/09/2026</t>
        </is>
      </c>
      <c r="F93" s="4" t="inlineStr">
        <is>
          <t>ACT</t>
        </is>
      </c>
      <c r="G93" s="4" t="inlineStr">
        <is>
          <t>Verbe d’action + objet/contexte</t>
        </is>
      </c>
      <c r="H93" s="4" t="inlineStr">
        <is>
          <t>E</t>
        </is>
      </c>
      <c r="I93" s="4" t="inlineStr">
        <is>
          <t>E3</t>
        </is>
      </c>
      <c r="J93" s="6" t="inlineStr">
        <is>
          <t>S,C</t>
        </is>
      </c>
      <c r="K93" s="6" t="inlineStr">
        <is>
          <t>Négocier les conditions d’un accord entre plusieurs parties.</t>
        </is>
      </c>
      <c r="L93" s="4" t="inlineStr">
        <is>
          <t>Cela ne m’attire pas du tout</t>
        </is>
      </c>
      <c r="M93" s="4" t="inlineStr">
        <is>
          <t>Cela m’attire peu</t>
        </is>
      </c>
      <c r="N93" s="4" t="inlineStr">
        <is>
          <t>Je suis partagé(e) / sans préférence marquée</t>
        </is>
      </c>
      <c r="O93" s="4" t="inlineStr">
        <is>
          <t>Cela m’attire</t>
        </is>
      </c>
      <c r="P93" s="4" t="inlineStr">
        <is>
          <t>Cela m’attire beaucoup</t>
        </is>
      </c>
      <c r="Q93" s="4" t="n">
        <v>1</v>
      </c>
      <c r="R93" s="4" t="n">
        <v>2</v>
      </c>
      <c r="S93" s="4" t="n">
        <v>3</v>
      </c>
      <c r="T93" s="4" t="n">
        <v>4</v>
      </c>
      <c r="U93" s="4" t="n">
        <v>5</v>
      </c>
      <c r="V93" s="6" t="inlineStr">
        <is>
          <t>La formulation cible l’intérêt pour initier, influencer, décider et faire avancer. Elle mobilise un comportement caractéristique de la dimension E (Entreprenant) sans demander un niveau de compétence préalable.</t>
        </is>
      </c>
      <c r="W93" s="6" t="inlineStr">
        <is>
          <t>L’item relève de E3 — Négocier / obtenir un accord : Confronter des intérêts, rechercher des compromis et conclure des accords.</t>
        </is>
      </c>
      <c r="X93" s="6" t="inlineStr">
        <is>
          <t>Revue méthodologique V0.3 : surveiller compréhension du vocabulaire, familiarité avec le contexte professionnel, désirabilité sociale, effet de prestige/statut au pilote.</t>
        </is>
      </c>
      <c r="Y93" s="6" t="inlineStr">
        <is>
          <t>FAIBLE</t>
        </is>
      </c>
      <c r="Z93" s="6" t="inlineStr">
        <is>
          <t>FAIBLE</t>
        </is>
      </c>
      <c r="AA93" s="6" t="inlineStr">
        <is>
          <t>FAIBLE</t>
        </is>
      </c>
      <c r="AB93" s="6" t="inlineStr">
        <is>
          <t>FAIBLE</t>
        </is>
      </c>
      <c r="AC93" s="6" t="inlineStr">
        <is>
          <t>MOYEN</t>
        </is>
      </c>
      <c r="AD93" s="6" t="inlineStr">
        <is>
          <t>FAIBLE</t>
        </is>
      </c>
      <c r="AE93" s="6" t="inlineStr">
        <is>
          <t>FAIBLE</t>
        </is>
      </c>
      <c r="AF93" s="6" t="inlineStr">
        <is>
          <t>MOYEN</t>
        </is>
      </c>
      <c r="AG93" s="6" t="inlineStr">
        <is>
          <t>MOYEN</t>
        </is>
      </c>
      <c r="AH93" s="6" t="inlineStr">
        <is>
          <t>MOYEN</t>
        </is>
      </c>
      <c r="AI93" s="6" t="inlineStr">
        <is>
          <t>FAIBLE</t>
        </is>
      </c>
      <c r="AJ93" s="4" t="n">
        <v>0</v>
      </c>
      <c r="AK93" s="4" t="n"/>
      <c r="AL93" s="6" t="inlineStr">
        <is>
          <t>RETENU_V0.5_REECRIT_CONCRET</t>
        </is>
      </c>
      <c r="AM93" s="6" t="n"/>
      <c r="AN93" s="4" t="inlineStr">
        <is>
          <t>PIP-BANK-0.3</t>
        </is>
      </c>
      <c r="AO93" s="6" t="inlineStr">
        <is>
          <t>PIP-BANK-0.4</t>
        </is>
      </c>
      <c r="AP93" s="8">
        <f>IF(OR(C93="PILOTE",C93="ACTIF"),IF(AND(A93&lt;&gt;"",H93&lt;&gt;"",I93&lt;&gt;"",K93&lt;&gt;"",V93&lt;&gt;"",W93&lt;&gt;""),"OK","A_COMPLETER"),"OK_STRUCTURE")</f>
        <v/>
      </c>
    </row>
    <row r="94" ht="72" customHeight="1" s="34">
      <c r="A94" s="4" t="inlineStr">
        <is>
          <t>PIP-ACT-E-E3-010</t>
        </is>
      </c>
      <c r="B94" s="4" t="inlineStr">
        <is>
          <t>0.2</t>
        </is>
      </c>
      <c r="C94" s="4" t="inlineStr">
        <is>
          <t>PILOTE</t>
        </is>
      </c>
      <c r="D94" s="4" t="inlineStr">
        <is>
          <t>08/09/2026</t>
        </is>
      </c>
      <c r="E94" s="4" t="inlineStr">
        <is>
          <t>08/09/2026</t>
        </is>
      </c>
      <c r="F94" s="4" t="inlineStr">
        <is>
          <t>ACT</t>
        </is>
      </c>
      <c r="G94" s="4" t="inlineStr">
        <is>
          <t>Verbe d’action + objet/contexte</t>
        </is>
      </c>
      <c r="H94" s="4" t="inlineStr">
        <is>
          <t>E</t>
        </is>
      </c>
      <c r="I94" s="4" t="inlineStr">
        <is>
          <t>E3</t>
        </is>
      </c>
      <c r="J94" s="6" t="inlineStr">
        <is>
          <t>S,C</t>
        </is>
      </c>
      <c r="K94" s="6" t="inlineStr">
        <is>
          <t>Chercher un compromis lorsque des personnes défendent des intérêts différents.</t>
        </is>
      </c>
      <c r="L94" s="4" t="inlineStr">
        <is>
          <t>Cela ne m’attire pas du tout</t>
        </is>
      </c>
      <c r="M94" s="4" t="inlineStr">
        <is>
          <t>Cela m’attire peu</t>
        </is>
      </c>
      <c r="N94" s="4" t="inlineStr">
        <is>
          <t>Je suis partagé(e) / sans préférence marquée</t>
        </is>
      </c>
      <c r="O94" s="4" t="inlineStr">
        <is>
          <t>Cela m’attire</t>
        </is>
      </c>
      <c r="P94" s="4" t="inlineStr">
        <is>
          <t>Cela m’attire beaucoup</t>
        </is>
      </c>
      <c r="Q94" s="4" t="n">
        <v>1</v>
      </c>
      <c r="R94" s="4" t="n">
        <v>2</v>
      </c>
      <c r="S94" s="4" t="n">
        <v>3</v>
      </c>
      <c r="T94" s="4" t="n">
        <v>4</v>
      </c>
      <c r="U94" s="4" t="n">
        <v>5</v>
      </c>
      <c r="V94" s="6" t="inlineStr">
        <is>
          <t>La formulation cible l’intérêt pour initier, influencer, décider et faire avancer. Elle mobilise un comportement caractéristique de la dimension E (Entreprenant) sans demander un niveau de compétence préalable.</t>
        </is>
      </c>
      <c r="W94" s="6" t="inlineStr">
        <is>
          <t>L’item relève de E3 — Négocier / obtenir un accord : Confronter des intérêts, rechercher des compromis et conclure des accords.</t>
        </is>
      </c>
      <c r="X94" s="6" t="inlineStr">
        <is>
          <t>Revue méthodologique V0.3 : surveiller compréhension du vocabulaire, désirabilité sociale, effet de prestige/statut, frontière avec S au pilote.</t>
        </is>
      </c>
      <c r="Y94" s="6" t="inlineStr">
        <is>
          <t>FAIBLE</t>
        </is>
      </c>
      <c r="Z94" s="6" t="inlineStr">
        <is>
          <t>FAIBLE</t>
        </is>
      </c>
      <c r="AA94" s="6" t="inlineStr">
        <is>
          <t>FAIBLE</t>
        </is>
      </c>
      <c r="AB94" s="6" t="inlineStr">
        <is>
          <t>FAIBLE</t>
        </is>
      </c>
      <c r="AC94" s="6" t="inlineStr">
        <is>
          <t>MOYEN</t>
        </is>
      </c>
      <c r="AD94" s="6" t="inlineStr">
        <is>
          <t>FAIBLE</t>
        </is>
      </c>
      <c r="AE94" s="6" t="inlineStr">
        <is>
          <t>FAIBLE</t>
        </is>
      </c>
      <c r="AF94" s="6" t="inlineStr">
        <is>
          <t>MOYEN</t>
        </is>
      </c>
      <c r="AG94" s="6" t="inlineStr">
        <is>
          <t>FAIBLE</t>
        </is>
      </c>
      <c r="AH94" s="6" t="inlineStr">
        <is>
          <t>MOYEN</t>
        </is>
      </c>
      <c r="AI94" s="6" t="inlineStr">
        <is>
          <t>MOYEN</t>
        </is>
      </c>
      <c r="AJ94" s="4" t="n">
        <v>0</v>
      </c>
      <c r="AK94" s="4" t="n"/>
      <c r="AL94" s="6" t="inlineStr">
        <is>
          <t>RETENU_V0.5_REECRIT_CONCRET</t>
        </is>
      </c>
      <c r="AM94" s="6" t="n"/>
      <c r="AN94" s="4" t="inlineStr">
        <is>
          <t>PIP-BANK-0.3</t>
        </is>
      </c>
      <c r="AO94" s="6" t="inlineStr">
        <is>
          <t>PIP-BANK-0.4</t>
        </is>
      </c>
      <c r="AP94" s="8">
        <f>IF(OR(C94="PILOTE",C94="ACTIF"),IF(AND(A94&lt;&gt;"",H94&lt;&gt;"",I94&lt;&gt;"",K94&lt;&gt;"",V94&lt;&gt;"",W94&lt;&gt;""),"OK","A_COMPLETER"),"OK_STRUCTURE")</f>
        <v/>
      </c>
    </row>
    <row r="95" ht="72" customHeight="1" s="34">
      <c r="A95" s="4" t="inlineStr">
        <is>
          <t>PIP-SIT-E-E3-011</t>
        </is>
      </c>
      <c r="B95" s="4" t="inlineStr">
        <is>
          <t>0.2</t>
        </is>
      </c>
      <c r="C95" s="4" t="inlineStr">
        <is>
          <t>PILOTE</t>
        </is>
      </c>
      <c r="D95" s="4" t="inlineStr">
        <is>
          <t>08/09/2026</t>
        </is>
      </c>
      <c r="E95" s="4" t="inlineStr">
        <is>
          <t>08/09/2026</t>
        </is>
      </c>
      <c r="F95" s="4" t="inlineStr">
        <is>
          <t>SIT</t>
        </is>
      </c>
      <c r="G95" s="4" t="inlineStr">
        <is>
          <t>Situation courte avec enjeu central</t>
        </is>
      </c>
      <c r="H95" s="4" t="inlineStr">
        <is>
          <t>E</t>
        </is>
      </c>
      <c r="I95" s="4" t="inlineStr">
        <is>
          <t>E3</t>
        </is>
      </c>
      <c r="J95" s="6" t="inlineStr">
        <is>
          <t>S,C</t>
        </is>
      </c>
      <c r="K95" s="6" t="inlineStr">
        <is>
          <t>Conduire une discussion où chacun a des attentes différentes afin d’aboutir à un accord.</t>
        </is>
      </c>
      <c r="L95" s="4" t="inlineStr">
        <is>
          <t>Cela ne m’attire pas du tout</t>
        </is>
      </c>
      <c r="M95" s="4" t="inlineStr">
        <is>
          <t>Cela m’attire peu</t>
        </is>
      </c>
      <c r="N95" s="4" t="inlineStr">
        <is>
          <t>Je suis partagé(e) / sans préférence marquée</t>
        </is>
      </c>
      <c r="O95" s="4" t="inlineStr">
        <is>
          <t>Cela m’attire</t>
        </is>
      </c>
      <c r="P95" s="4" t="inlineStr">
        <is>
          <t>Cela m’attire beaucoup</t>
        </is>
      </c>
      <c r="Q95" s="4" t="n">
        <v>1</v>
      </c>
      <c r="R95" s="4" t="n">
        <v>2</v>
      </c>
      <c r="S95" s="4" t="n">
        <v>3</v>
      </c>
      <c r="T95" s="4" t="n">
        <v>4</v>
      </c>
      <c r="U95" s="4" t="n">
        <v>5</v>
      </c>
      <c r="V95" s="6" t="inlineStr">
        <is>
          <t>La formulation cible l’intérêt pour initier, influencer, décider et faire avancer. Elle mobilise un comportement caractéristique de la dimension E (Entreprenant) sans demander un niveau de compétence préalable.</t>
        </is>
      </c>
      <c r="W95" s="6" t="inlineStr">
        <is>
          <t>L’item relève de E3 — Négocier / obtenir un accord : Confronter des intérêts, rechercher des compromis et conclure des accords.</t>
        </is>
      </c>
      <c r="X95" s="6" t="inlineStr">
        <is>
          <t>Revue méthodologique V0.3 : surveiller compréhension du vocabulaire, familiarité avec le contexte professionnel, désirabilité sociale, effet de prestige/statut au pilote.</t>
        </is>
      </c>
      <c r="Y95" s="6" t="inlineStr">
        <is>
          <t>FAIBLE</t>
        </is>
      </c>
      <c r="Z95" s="6" t="inlineStr">
        <is>
          <t>FAIBLE</t>
        </is>
      </c>
      <c r="AA95" s="6" t="inlineStr">
        <is>
          <t>FAIBLE</t>
        </is>
      </c>
      <c r="AB95" s="6" t="inlineStr">
        <is>
          <t>FAIBLE</t>
        </is>
      </c>
      <c r="AC95" s="6" t="inlineStr">
        <is>
          <t>MOYEN</t>
        </is>
      </c>
      <c r="AD95" s="6" t="inlineStr">
        <is>
          <t>FAIBLE</t>
        </is>
      </c>
      <c r="AE95" s="6" t="inlineStr">
        <is>
          <t>FAIBLE</t>
        </is>
      </c>
      <c r="AF95" s="6" t="inlineStr">
        <is>
          <t>MOYEN</t>
        </is>
      </c>
      <c r="AG95" s="6" t="inlineStr">
        <is>
          <t>MOYEN</t>
        </is>
      </c>
      <c r="AH95" s="6" t="inlineStr">
        <is>
          <t>MOYEN</t>
        </is>
      </c>
      <c r="AI95" s="6" t="inlineStr">
        <is>
          <t>FAIBLE</t>
        </is>
      </c>
      <c r="AJ95" s="4" t="n">
        <v>0</v>
      </c>
      <c r="AK95" s="4" t="n"/>
      <c r="AL95" s="6" t="inlineStr">
        <is>
          <t>RETIRE_BANQUE72_HISTORIQUE_CONSERVE</t>
        </is>
      </c>
      <c r="AM95" s="6" t="inlineStr">
        <is>
          <t>Réduction méthodologique 120→72 : doublon de facette / priorité aux activités professionnelles observables et aux items à plus faible risque.</t>
        </is>
      </c>
      <c r="AN95" s="4" t="inlineStr">
        <is>
          <t>PIP-BANK-0.3</t>
        </is>
      </c>
      <c r="AO95" s="6" t="inlineStr">
        <is>
          <t>PIP-BANK-0.3</t>
        </is>
      </c>
      <c r="AP95" s="8">
        <f>IF(OR(C95="PILOTE",C95="ACTIF"),IF(AND(A95&lt;&gt;"",H95&lt;&gt;"",I95&lt;&gt;"",K95&lt;&gt;"",V95&lt;&gt;"",W95&lt;&gt;""),"OK","A_COMPLETER"),"OK_STRUCTURE")</f>
        <v/>
      </c>
    </row>
    <row r="96" ht="72" customHeight="1" s="34">
      <c r="A96" s="4" t="inlineStr">
        <is>
          <t>PIP-ENV-E-E3-012</t>
        </is>
      </c>
      <c r="B96" s="4" t="inlineStr">
        <is>
          <t>0.2</t>
        </is>
      </c>
      <c r="C96" s="4" t="inlineStr">
        <is>
          <t>PILOTE</t>
        </is>
      </c>
      <c r="D96" s="4" t="inlineStr">
        <is>
          <t>08/09/2026</t>
        </is>
      </c>
      <c r="E96" s="4" t="inlineStr">
        <is>
          <t>08/09/2026</t>
        </is>
      </c>
      <c r="F96" s="4" t="inlineStr">
        <is>
          <t>ENV</t>
        </is>
      </c>
      <c r="G96" s="4" t="inlineStr">
        <is>
          <t>Contexte décrit par ce qu’il permet de faire</t>
        </is>
      </c>
      <c r="H96" s="4" t="inlineStr">
        <is>
          <t>E</t>
        </is>
      </c>
      <c r="I96" s="4" t="inlineStr">
        <is>
          <t>E3</t>
        </is>
      </c>
      <c r="J96" s="6" t="inlineStr">
        <is>
          <t>S,C</t>
        </is>
      </c>
      <c r="K96" s="6" t="inlineStr">
        <is>
          <t>Évoluer dans un contexte où la négociation et la recherche d’accords occupent une place importante.</t>
        </is>
      </c>
      <c r="L96" s="4" t="inlineStr">
        <is>
          <t>Cela ne m’attire pas du tout</t>
        </is>
      </c>
      <c r="M96" s="4" t="inlineStr">
        <is>
          <t>Cela m’attire peu</t>
        </is>
      </c>
      <c r="N96" s="4" t="inlineStr">
        <is>
          <t>Je suis partagé(e) / sans préférence marquée</t>
        </is>
      </c>
      <c r="O96" s="4" t="inlineStr">
        <is>
          <t>Cela m’attire</t>
        </is>
      </c>
      <c r="P96" s="4" t="inlineStr">
        <is>
          <t>Cela m’attire beaucoup</t>
        </is>
      </c>
      <c r="Q96" s="4" t="n">
        <v>1</v>
      </c>
      <c r="R96" s="4" t="n">
        <v>2</v>
      </c>
      <c r="S96" s="4" t="n">
        <v>3</v>
      </c>
      <c r="T96" s="4" t="n">
        <v>4</v>
      </c>
      <c r="U96" s="4" t="n">
        <v>5</v>
      </c>
      <c r="V96" s="6" t="inlineStr">
        <is>
          <t>La formulation cible l’intérêt pour initier, influencer, décider et faire avancer. Elle mobilise un comportement caractéristique de la dimension E (Entreprenant) sans demander un niveau de compétence préalable.</t>
        </is>
      </c>
      <c r="W96" s="6" t="inlineStr">
        <is>
          <t>L’item relève de E3 — Négocier / obtenir un accord : Confronter des intérêts, rechercher des compromis et conclure des accords.</t>
        </is>
      </c>
      <c r="X96" s="6" t="inlineStr">
        <is>
          <t>Revue méthodologique V0.3 : surveiller compréhension du vocabulaire, familiarité avec le contexte professionnel, désirabilité sociale, effet de prestige/statut au pilote.</t>
        </is>
      </c>
      <c r="Y96" s="6" t="inlineStr">
        <is>
          <t>FAIBLE</t>
        </is>
      </c>
      <c r="Z96" s="6" t="inlineStr">
        <is>
          <t>FAIBLE</t>
        </is>
      </c>
      <c r="AA96" s="6" t="inlineStr">
        <is>
          <t>FAIBLE</t>
        </is>
      </c>
      <c r="AB96" s="6" t="inlineStr">
        <is>
          <t>FAIBLE</t>
        </is>
      </c>
      <c r="AC96" s="6" t="inlineStr">
        <is>
          <t>MOYEN</t>
        </is>
      </c>
      <c r="AD96" s="6" t="inlineStr">
        <is>
          <t>FAIBLE</t>
        </is>
      </c>
      <c r="AE96" s="6" t="inlineStr">
        <is>
          <t>FAIBLE</t>
        </is>
      </c>
      <c r="AF96" s="6" t="inlineStr">
        <is>
          <t>MOYEN</t>
        </is>
      </c>
      <c r="AG96" s="6" t="inlineStr">
        <is>
          <t>MOYEN</t>
        </is>
      </c>
      <c r="AH96" s="6" t="inlineStr">
        <is>
          <t>MOYEN</t>
        </is>
      </c>
      <c r="AI96" s="6" t="inlineStr">
        <is>
          <t>FAIBLE</t>
        </is>
      </c>
      <c r="AJ96" s="4" t="n">
        <v>0</v>
      </c>
      <c r="AK96" s="4" t="n"/>
      <c r="AL96" s="6" t="inlineStr">
        <is>
          <t>RETIRE_BANQUE72_HISTORIQUE_CONSERVE</t>
        </is>
      </c>
      <c r="AM96" s="6" t="inlineStr">
        <is>
          <t>Réduction méthodologique 120→72 : doublon de facette / priorité aux activités professionnelles observables et aux items à plus faible risque.</t>
        </is>
      </c>
      <c r="AN96" s="4" t="inlineStr">
        <is>
          <t>PIP-BANK-0.3</t>
        </is>
      </c>
      <c r="AO96" s="6" t="inlineStr">
        <is>
          <t>PIP-BANK-0.3</t>
        </is>
      </c>
      <c r="AP96" s="8">
        <f>IF(OR(C96="PILOTE",C96="ACTIF"),IF(AND(A96&lt;&gt;"",H96&lt;&gt;"",I96&lt;&gt;"",K96&lt;&gt;"",V96&lt;&gt;"",W96&lt;&gt;""),"OK","A_COMPLETER"),"OK_STRUCTURE")</f>
        <v/>
      </c>
    </row>
    <row r="97" ht="72" customHeight="1" s="34">
      <c r="A97" s="4" t="inlineStr">
        <is>
          <t>PIP-ACT-E-E4-013</t>
        </is>
      </c>
      <c r="B97" s="4" t="inlineStr">
        <is>
          <t>0.2</t>
        </is>
      </c>
      <c r="C97" s="4" t="inlineStr">
        <is>
          <t>PILOTE</t>
        </is>
      </c>
      <c r="D97" s="4" t="inlineStr">
        <is>
          <t>08/09/2026</t>
        </is>
      </c>
      <c r="E97" s="4" t="inlineStr">
        <is>
          <t>08/09/2026</t>
        </is>
      </c>
      <c r="F97" s="4" t="inlineStr">
        <is>
          <t>ACT</t>
        </is>
      </c>
      <c r="G97" s="4" t="inlineStr">
        <is>
          <t>Verbe d’action + objet/contexte</t>
        </is>
      </c>
      <c r="H97" s="4" t="inlineStr">
        <is>
          <t>E</t>
        </is>
      </c>
      <c r="I97" s="4" t="inlineStr">
        <is>
          <t>E4</t>
        </is>
      </c>
      <c r="J97" s="6" t="inlineStr">
        <is>
          <t>C,S</t>
        </is>
      </c>
      <c r="K97" s="6" t="inlineStr">
        <is>
          <t>Coordonner le travail de plusieurs personnes pour faire avancer un projet.</t>
        </is>
      </c>
      <c r="L97" s="4" t="inlineStr">
        <is>
          <t>Cela ne m’attire pas du tout</t>
        </is>
      </c>
      <c r="M97" s="4" t="inlineStr">
        <is>
          <t>Cela m’attire peu</t>
        </is>
      </c>
      <c r="N97" s="4" t="inlineStr">
        <is>
          <t>Je suis partagé(e) / sans préférence marquée</t>
        </is>
      </c>
      <c r="O97" s="4" t="inlineStr">
        <is>
          <t>Cela m’attire</t>
        </is>
      </c>
      <c r="P97" s="4" t="inlineStr">
        <is>
          <t>Cela m’attire beaucoup</t>
        </is>
      </c>
      <c r="Q97" s="4" t="n">
        <v>1</v>
      </c>
      <c r="R97" s="4" t="n">
        <v>2</v>
      </c>
      <c r="S97" s="4" t="n">
        <v>3</v>
      </c>
      <c r="T97" s="4" t="n">
        <v>4</v>
      </c>
      <c r="U97" s="4" t="n">
        <v>5</v>
      </c>
      <c r="V97" s="6" t="inlineStr">
        <is>
          <t>La formulation cible l’intérêt pour initier, influencer, décider et faire avancer. Elle mobilise un comportement caractéristique de la dimension E (Entreprenant) sans demander un niveau de compétence préalable.</t>
        </is>
      </c>
      <c r="W97" s="6" t="inlineStr">
        <is>
          <t>L’item relève de E4 — Diriger / manager / décider : Assumer la conduite d’un projet ou collectif, décider et orienter l’action.</t>
        </is>
      </c>
      <c r="X97" s="6" t="inlineStr">
        <is>
          <t>Revue méthodologique V0.3 : surveiller compréhension du vocabulaire, désirabilité sociale, effet de prestige/statut, frontière avec S au pilote.</t>
        </is>
      </c>
      <c r="Y97" s="6" t="inlineStr">
        <is>
          <t>FAIBLE</t>
        </is>
      </c>
      <c r="Z97" s="6" t="inlineStr">
        <is>
          <t>FAIBLE</t>
        </is>
      </c>
      <c r="AA97" s="6" t="inlineStr">
        <is>
          <t>FAIBLE</t>
        </is>
      </c>
      <c r="AB97" s="6" t="inlineStr">
        <is>
          <t>FAIBLE</t>
        </is>
      </c>
      <c r="AC97" s="6" t="inlineStr">
        <is>
          <t>MOYEN</t>
        </is>
      </c>
      <c r="AD97" s="6" t="inlineStr">
        <is>
          <t>FAIBLE</t>
        </is>
      </c>
      <c r="AE97" s="6" t="inlineStr">
        <is>
          <t>FAIBLE</t>
        </is>
      </c>
      <c r="AF97" s="6" t="inlineStr">
        <is>
          <t>MOYEN</t>
        </is>
      </c>
      <c r="AG97" s="6" t="inlineStr">
        <is>
          <t>FAIBLE</t>
        </is>
      </c>
      <c r="AH97" s="6" t="inlineStr">
        <is>
          <t>MOYEN</t>
        </is>
      </c>
      <c r="AI97" s="6" t="inlineStr">
        <is>
          <t>MOYEN</t>
        </is>
      </c>
      <c r="AJ97" s="4" t="n">
        <v>0</v>
      </c>
      <c r="AK97" s="4" t="n"/>
      <c r="AL97" s="6" t="inlineStr">
        <is>
          <t>RETENU_V0.5_REECRIT_CONCRET</t>
        </is>
      </c>
      <c r="AM97" s="6" t="n"/>
      <c r="AN97" s="4" t="inlineStr">
        <is>
          <t>PIP-BANK-0.3</t>
        </is>
      </c>
      <c r="AO97" s="6" t="inlineStr">
        <is>
          <t>PIP-BANK-0.4</t>
        </is>
      </c>
      <c r="AP97" s="8">
        <f>IF(OR(C97="PILOTE",C97="ACTIF"),IF(AND(A97&lt;&gt;"",H97&lt;&gt;"",I97&lt;&gt;"",K97&lt;&gt;"",V97&lt;&gt;"",W97&lt;&gt;""),"OK","A_COMPLETER"),"OK_STRUCTURE")</f>
        <v/>
      </c>
    </row>
    <row r="98" ht="72" customHeight="1" s="34">
      <c r="A98" s="4" t="inlineStr">
        <is>
          <t>PIP-ACT-E-E4-014</t>
        </is>
      </c>
      <c r="B98" s="4" t="inlineStr">
        <is>
          <t>0.2</t>
        </is>
      </c>
      <c r="C98" s="4" t="inlineStr">
        <is>
          <t>PILOTE</t>
        </is>
      </c>
      <c r="D98" s="4" t="inlineStr">
        <is>
          <t>08/09/2026</t>
        </is>
      </c>
      <c r="E98" s="4" t="inlineStr">
        <is>
          <t>08/09/2026</t>
        </is>
      </c>
      <c r="F98" s="4" t="inlineStr">
        <is>
          <t>ACT</t>
        </is>
      </c>
      <c r="G98" s="4" t="inlineStr">
        <is>
          <t>Verbe d’action + objet/contexte</t>
        </is>
      </c>
      <c r="H98" s="4" t="inlineStr">
        <is>
          <t>E</t>
        </is>
      </c>
      <c r="I98" s="4" t="inlineStr">
        <is>
          <t>E4</t>
        </is>
      </c>
      <c r="J98" s="6" t="inlineStr">
        <is>
          <t>C,S</t>
        </is>
      </c>
      <c r="K98" s="6" t="inlineStr">
        <is>
          <t>Prendre des décisions qui orientent l’action d’une équipe ou d’un projet.</t>
        </is>
      </c>
      <c r="L98" s="4" t="inlineStr">
        <is>
          <t>Cela ne m’attire pas du tout</t>
        </is>
      </c>
      <c r="M98" s="4" t="inlineStr">
        <is>
          <t>Cela m’attire peu</t>
        </is>
      </c>
      <c r="N98" s="4" t="inlineStr">
        <is>
          <t>Je suis partagé(e) / sans préférence marquée</t>
        </is>
      </c>
      <c r="O98" s="4" t="inlineStr">
        <is>
          <t>Cela m’attire</t>
        </is>
      </c>
      <c r="P98" s="4" t="inlineStr">
        <is>
          <t>Cela m’attire beaucoup</t>
        </is>
      </c>
      <c r="Q98" s="4" t="n">
        <v>1</v>
      </c>
      <c r="R98" s="4" t="n">
        <v>2</v>
      </c>
      <c r="S98" s="4" t="n">
        <v>3</v>
      </c>
      <c r="T98" s="4" t="n">
        <v>4</v>
      </c>
      <c r="U98" s="4" t="n">
        <v>5</v>
      </c>
      <c r="V98" s="6" t="inlineStr">
        <is>
          <t>La formulation cible l’intérêt pour initier, influencer, décider et faire avancer. Elle mobilise un comportement caractéristique de la dimension E (Entreprenant) sans demander un niveau de compétence préalable.</t>
        </is>
      </c>
      <c r="W98" s="6" t="inlineStr">
        <is>
          <t>L’item relève de E4 — Diriger / manager / décider : Assumer la conduite d’un projet ou collectif, décider et orienter l’action.</t>
        </is>
      </c>
      <c r="X98" s="6" t="inlineStr">
        <is>
          <t>Revue méthodologique V0.3 : surveiller compréhension du vocabulaire, désirabilité sociale, effet de prestige/statut au pilote.</t>
        </is>
      </c>
      <c r="Y98" s="6" t="inlineStr">
        <is>
          <t>FAIBLE</t>
        </is>
      </c>
      <c r="Z98" s="6" t="inlineStr">
        <is>
          <t>FAIBLE</t>
        </is>
      </c>
      <c r="AA98" s="6" t="inlineStr">
        <is>
          <t>FAIBLE</t>
        </is>
      </c>
      <c r="AB98" s="6" t="inlineStr">
        <is>
          <t>FAIBLE</t>
        </is>
      </c>
      <c r="AC98" s="6" t="inlineStr">
        <is>
          <t>MOYEN</t>
        </is>
      </c>
      <c r="AD98" s="6" t="inlineStr">
        <is>
          <t>FAIBLE</t>
        </is>
      </c>
      <c r="AE98" s="6" t="inlineStr">
        <is>
          <t>FAIBLE</t>
        </is>
      </c>
      <c r="AF98" s="6" t="inlineStr">
        <is>
          <t>MOYEN</t>
        </is>
      </c>
      <c r="AG98" s="6" t="inlineStr">
        <is>
          <t>FAIBLE</t>
        </is>
      </c>
      <c r="AH98" s="6" t="inlineStr">
        <is>
          <t>MOYEN</t>
        </is>
      </c>
      <c r="AI98" s="6" t="inlineStr">
        <is>
          <t>FAIBLE</t>
        </is>
      </c>
      <c r="AJ98" s="4" t="n">
        <v>0</v>
      </c>
      <c r="AK98" s="4" t="n"/>
      <c r="AL98" s="6" t="inlineStr">
        <is>
          <t>RETENU_V0.5_REECRIT_CONCRET</t>
        </is>
      </c>
      <c r="AM98" s="6" t="n"/>
      <c r="AN98" s="4" t="inlineStr">
        <is>
          <t>PIP-BANK-0.3</t>
        </is>
      </c>
      <c r="AO98" s="6" t="inlineStr">
        <is>
          <t>PIP-BANK-0.4</t>
        </is>
      </c>
      <c r="AP98" s="8">
        <f>IF(OR(C98="PILOTE",C98="ACTIF"),IF(AND(A98&lt;&gt;"",H98&lt;&gt;"",I98&lt;&gt;"",K98&lt;&gt;"",V98&lt;&gt;"",W98&lt;&gt;""),"OK","A_COMPLETER"),"OK_STRUCTURE")</f>
        <v/>
      </c>
    </row>
    <row r="99" ht="72" customHeight="1" s="34">
      <c r="A99" s="4" t="inlineStr">
        <is>
          <t>PIP-SIT-E-E4-015</t>
        </is>
      </c>
      <c r="B99" s="4" t="inlineStr">
        <is>
          <t>0.2</t>
        </is>
      </c>
      <c r="C99" s="4" t="inlineStr">
        <is>
          <t>PILOTE</t>
        </is>
      </c>
      <c r="D99" s="4" t="inlineStr">
        <is>
          <t>08/09/2026</t>
        </is>
      </c>
      <c r="E99" s="4" t="inlineStr">
        <is>
          <t>08/09/2026</t>
        </is>
      </c>
      <c r="F99" s="4" t="inlineStr">
        <is>
          <t>SIT</t>
        </is>
      </c>
      <c r="G99" s="4" t="inlineStr">
        <is>
          <t>Situation courte avec enjeu central</t>
        </is>
      </c>
      <c r="H99" s="4" t="inlineStr">
        <is>
          <t>E</t>
        </is>
      </c>
      <c r="I99" s="4" t="inlineStr">
        <is>
          <t>E4</t>
        </is>
      </c>
      <c r="J99" s="6" t="inlineStr">
        <is>
          <t>C,S</t>
        </is>
      </c>
      <c r="K99" s="6" t="inlineStr">
        <is>
          <t>Arbitrer entre plusieurs priorités lorsque le groupe attend une décision pour continuer.</t>
        </is>
      </c>
      <c r="L99" s="4" t="inlineStr">
        <is>
          <t>Cela ne m’attire pas du tout</t>
        </is>
      </c>
      <c r="M99" s="4" t="inlineStr">
        <is>
          <t>Cela m’attire peu</t>
        </is>
      </c>
      <c r="N99" s="4" t="inlineStr">
        <is>
          <t>Je suis partagé(e) / sans préférence marquée</t>
        </is>
      </c>
      <c r="O99" s="4" t="inlineStr">
        <is>
          <t>Cela m’attire</t>
        </is>
      </c>
      <c r="P99" s="4" t="inlineStr">
        <is>
          <t>Cela m’attire beaucoup</t>
        </is>
      </c>
      <c r="Q99" s="4" t="n">
        <v>1</v>
      </c>
      <c r="R99" s="4" t="n">
        <v>2</v>
      </c>
      <c r="S99" s="4" t="n">
        <v>3</v>
      </c>
      <c r="T99" s="4" t="n">
        <v>4</v>
      </c>
      <c r="U99" s="4" t="n">
        <v>5</v>
      </c>
      <c r="V99" s="6" t="inlineStr">
        <is>
          <t>La formulation cible l’intérêt pour initier, influencer, décider et faire avancer. Elle mobilise un comportement caractéristique de la dimension E (Entreprenant) sans demander un niveau de compétence préalable.</t>
        </is>
      </c>
      <c r="W99" s="6" t="inlineStr">
        <is>
          <t>L’item relève de E4 — Diriger / manager / décider : Assumer la conduite d’un projet ou collectif, décider et orienter l’action.</t>
        </is>
      </c>
      <c r="X99" s="6" t="inlineStr">
        <is>
          <t>Revue méthodologique V0.3 : surveiller compréhension du vocabulaire, désirabilité sociale, effet de prestige/statut au pilote.</t>
        </is>
      </c>
      <c r="Y99" s="6" t="inlineStr">
        <is>
          <t>FAIBLE</t>
        </is>
      </c>
      <c r="Z99" s="6" t="inlineStr">
        <is>
          <t>FAIBLE</t>
        </is>
      </c>
      <c r="AA99" s="6" t="inlineStr">
        <is>
          <t>FAIBLE</t>
        </is>
      </c>
      <c r="AB99" s="6" t="inlineStr">
        <is>
          <t>FAIBLE</t>
        </is>
      </c>
      <c r="AC99" s="6" t="inlineStr">
        <is>
          <t>MOYEN</t>
        </is>
      </c>
      <c r="AD99" s="6" t="inlineStr">
        <is>
          <t>FAIBLE</t>
        </is>
      </c>
      <c r="AE99" s="6" t="inlineStr">
        <is>
          <t>FAIBLE</t>
        </is>
      </c>
      <c r="AF99" s="6" t="inlineStr">
        <is>
          <t>MOYEN</t>
        </is>
      </c>
      <c r="AG99" s="6" t="inlineStr">
        <is>
          <t>FAIBLE</t>
        </is>
      </c>
      <c r="AH99" s="6" t="inlineStr">
        <is>
          <t>MOYEN</t>
        </is>
      </c>
      <c r="AI99" s="6" t="inlineStr">
        <is>
          <t>FAIBLE</t>
        </is>
      </c>
      <c r="AJ99" s="4" t="n">
        <v>0</v>
      </c>
      <c r="AK99" s="4" t="n"/>
      <c r="AL99" s="6" t="inlineStr">
        <is>
          <t>RETIRE_BANQUE72_HISTORIQUE_CONSERVE</t>
        </is>
      </c>
      <c r="AM99" s="6" t="inlineStr">
        <is>
          <t>Réduction méthodologique 120→72 : doublon de facette / priorité aux activités professionnelles observables et aux items à plus faible risque.</t>
        </is>
      </c>
      <c r="AN99" s="4" t="inlineStr">
        <is>
          <t>PIP-BANK-0.3</t>
        </is>
      </c>
      <c r="AO99" s="6" t="inlineStr">
        <is>
          <t>PIP-BANK-0.3</t>
        </is>
      </c>
      <c r="AP99" s="8">
        <f>IF(OR(C99="PILOTE",C99="ACTIF"),IF(AND(A99&lt;&gt;"",H99&lt;&gt;"",I99&lt;&gt;"",K99&lt;&gt;"",V99&lt;&gt;"",W99&lt;&gt;""),"OK","A_COMPLETER"),"OK_STRUCTURE")</f>
        <v/>
      </c>
    </row>
    <row r="100" ht="72" customHeight="1" s="34">
      <c r="A100" s="4" t="inlineStr">
        <is>
          <t>PIP-ENV-E-E4-016</t>
        </is>
      </c>
      <c r="B100" s="4" t="inlineStr">
        <is>
          <t>0.2</t>
        </is>
      </c>
      <c r="C100" s="4" t="inlineStr">
        <is>
          <t>PILOTE</t>
        </is>
      </c>
      <c r="D100" s="4" t="inlineStr">
        <is>
          <t>08/09/2026</t>
        </is>
      </c>
      <c r="E100" s="4" t="inlineStr">
        <is>
          <t>08/09/2026</t>
        </is>
      </c>
      <c r="F100" s="4" t="inlineStr">
        <is>
          <t>ENV</t>
        </is>
      </c>
      <c r="G100" s="4" t="inlineStr">
        <is>
          <t>Contexte décrit par ce qu’il permet de faire</t>
        </is>
      </c>
      <c r="H100" s="4" t="inlineStr">
        <is>
          <t>E</t>
        </is>
      </c>
      <c r="I100" s="4" t="inlineStr">
        <is>
          <t>E4</t>
        </is>
      </c>
      <c r="J100" s="6" t="inlineStr">
        <is>
          <t>C,S</t>
        </is>
      </c>
      <c r="K100" s="6" t="inlineStr">
        <is>
          <t>Travailler dans un contexte où l’on assume régulièrement la responsabilité de décisions et de coordination.</t>
        </is>
      </c>
      <c r="L100" s="4" t="inlineStr">
        <is>
          <t>Cela ne m’attire pas du tout</t>
        </is>
      </c>
      <c r="M100" s="4" t="inlineStr">
        <is>
          <t>Cela m’attire peu</t>
        </is>
      </c>
      <c r="N100" s="4" t="inlineStr">
        <is>
          <t>Je suis partagé(e) / sans préférence marquée</t>
        </is>
      </c>
      <c r="O100" s="4" t="inlineStr">
        <is>
          <t>Cela m’attire</t>
        </is>
      </c>
      <c r="P100" s="4" t="inlineStr">
        <is>
          <t>Cela m’attire beaucoup</t>
        </is>
      </c>
      <c r="Q100" s="4" t="n">
        <v>1</v>
      </c>
      <c r="R100" s="4" t="n">
        <v>2</v>
      </c>
      <c r="S100" s="4" t="n">
        <v>3</v>
      </c>
      <c r="T100" s="4" t="n">
        <v>4</v>
      </c>
      <c r="U100" s="4" t="n">
        <v>5</v>
      </c>
      <c r="V100" s="6" t="inlineStr">
        <is>
          <t>La formulation cible l’intérêt pour initier, influencer, décider et faire avancer. Elle mobilise un comportement caractéristique de la dimension E (Entreprenant) sans demander un niveau de compétence préalable.</t>
        </is>
      </c>
      <c r="W100" s="6" t="inlineStr">
        <is>
          <t>L’item relève de E4 — Diriger / manager / décider : Assumer la conduite d’un projet ou collectif, décider et orienter l’action.</t>
        </is>
      </c>
      <c r="X100" s="6" t="inlineStr">
        <is>
          <t>Revue méthodologique V0.3 : surveiller compréhension du vocabulaire, désirabilité sociale, effet de prestige/statut au pilote.</t>
        </is>
      </c>
      <c r="Y100" s="6" t="inlineStr">
        <is>
          <t>FAIBLE</t>
        </is>
      </c>
      <c r="Z100" s="6" t="inlineStr">
        <is>
          <t>FAIBLE</t>
        </is>
      </c>
      <c r="AA100" s="6" t="inlineStr">
        <is>
          <t>FAIBLE</t>
        </is>
      </c>
      <c r="AB100" s="6" t="inlineStr">
        <is>
          <t>FAIBLE</t>
        </is>
      </c>
      <c r="AC100" s="6" t="inlineStr">
        <is>
          <t>MOYEN</t>
        </is>
      </c>
      <c r="AD100" s="6" t="inlineStr">
        <is>
          <t>FAIBLE</t>
        </is>
      </c>
      <c r="AE100" s="6" t="inlineStr">
        <is>
          <t>FAIBLE</t>
        </is>
      </c>
      <c r="AF100" s="6" t="inlineStr">
        <is>
          <t>MOYEN</t>
        </is>
      </c>
      <c r="AG100" s="6" t="inlineStr">
        <is>
          <t>FAIBLE</t>
        </is>
      </c>
      <c r="AH100" s="6" t="inlineStr">
        <is>
          <t>MOYEN</t>
        </is>
      </c>
      <c r="AI100" s="6" t="inlineStr">
        <is>
          <t>FAIBLE</t>
        </is>
      </c>
      <c r="AJ100" s="4" t="n">
        <v>0</v>
      </c>
      <c r="AK100" s="4" t="n"/>
      <c r="AL100" s="6" t="inlineStr">
        <is>
          <t>RETIRE_BANQUE72_HISTORIQUE_CONSERVE</t>
        </is>
      </c>
      <c r="AM100" s="6" t="inlineStr">
        <is>
          <t>Réduction méthodologique 120→72 : doublon de facette / priorité aux activités professionnelles observables et aux items à plus faible risque.</t>
        </is>
      </c>
      <c r="AN100" s="4" t="inlineStr">
        <is>
          <t>PIP-BANK-0.3</t>
        </is>
      </c>
      <c r="AO100" s="6" t="inlineStr">
        <is>
          <t>PIP-BANK-0.3</t>
        </is>
      </c>
      <c r="AP100" s="8">
        <f>IF(OR(C100="PILOTE",C100="ACTIF"),IF(AND(A100&lt;&gt;"",H100&lt;&gt;"",I100&lt;&gt;"",K100&lt;&gt;"",V100&lt;&gt;"",W100&lt;&gt;""),"OK","A_COMPLETER"),"OK_STRUCTURE")</f>
        <v/>
      </c>
    </row>
    <row r="101" ht="72" customHeight="1" s="34">
      <c r="A101" s="4" t="inlineStr">
        <is>
          <t>PIP-ACT-E-E5-017</t>
        </is>
      </c>
      <c r="B101" s="4" t="inlineStr">
        <is>
          <t>0.2</t>
        </is>
      </c>
      <c r="C101" s="4" t="inlineStr">
        <is>
          <t>PILOTE</t>
        </is>
      </c>
      <c r="D101" s="4" t="inlineStr">
        <is>
          <t>08/09/2026</t>
        </is>
      </c>
      <c r="E101" s="4" t="inlineStr">
        <is>
          <t>08/09/2026</t>
        </is>
      </c>
      <c r="F101" s="4" t="inlineStr">
        <is>
          <t>ACT</t>
        </is>
      </c>
      <c r="G101" s="4" t="inlineStr">
        <is>
          <t>Verbe d’action + objet/contexte</t>
        </is>
      </c>
      <c r="H101" s="4" t="inlineStr">
        <is>
          <t>E</t>
        </is>
      </c>
      <c r="I101" s="4" t="inlineStr">
        <is>
          <t>E5</t>
        </is>
      </c>
      <c r="J101" s="6" t="inlineStr">
        <is>
          <t>S,A</t>
        </is>
      </c>
      <c r="K101" s="6" t="inlineStr">
        <is>
          <t>Prendre la parole pour représenter une organisation, un projet ou une cause.</t>
        </is>
      </c>
      <c r="L101" s="4" t="inlineStr">
        <is>
          <t>Cela ne m’attire pas du tout</t>
        </is>
      </c>
      <c r="M101" s="4" t="inlineStr">
        <is>
          <t>Cela m’attire peu</t>
        </is>
      </c>
      <c r="N101" s="4" t="inlineStr">
        <is>
          <t>Je suis partagé(e) / sans préférence marquée</t>
        </is>
      </c>
      <c r="O101" s="4" t="inlineStr">
        <is>
          <t>Cela m’attire</t>
        </is>
      </c>
      <c r="P101" s="4" t="inlineStr">
        <is>
          <t>Cela m’attire beaucoup</t>
        </is>
      </c>
      <c r="Q101" s="4" t="n">
        <v>1</v>
      </c>
      <c r="R101" s="4" t="n">
        <v>2</v>
      </c>
      <c r="S101" s="4" t="n">
        <v>3</v>
      </c>
      <c r="T101" s="4" t="n">
        <v>4</v>
      </c>
      <c r="U101" s="4" t="n">
        <v>5</v>
      </c>
      <c r="V101" s="6" t="inlineStr">
        <is>
          <t>La formulation cible l’intérêt pour initier, influencer, décider et faire avancer. Elle mobilise un comportement caractéristique de la dimension E (Entreprenant) sans demander un niveau de compétence préalable.</t>
        </is>
      </c>
      <c r="W101" s="6" t="inlineStr">
        <is>
          <t>L’item relève de E5 — Influencer / représenter / mobiliser : Prendre la parole, représenter une position, créer de l’adhésion ou mobiliser.</t>
        </is>
      </c>
      <c r="X101" s="6" t="inlineStr">
        <is>
          <t>Revue méthodologique V0.3 : surveiller compréhension du vocabulaire, désirabilité sociale, effet de prestige/statut au pilote.</t>
        </is>
      </c>
      <c r="Y101" s="6" t="inlineStr">
        <is>
          <t>FAIBLE</t>
        </is>
      </c>
      <c r="Z101" s="6" t="inlineStr">
        <is>
          <t>FAIBLE</t>
        </is>
      </c>
      <c r="AA101" s="6" t="inlineStr">
        <is>
          <t>FAIBLE</t>
        </is>
      </c>
      <c r="AB101" s="6" t="inlineStr">
        <is>
          <t>FAIBLE</t>
        </is>
      </c>
      <c r="AC101" s="6" t="inlineStr">
        <is>
          <t>MOYEN</t>
        </is>
      </c>
      <c r="AD101" s="6" t="inlineStr">
        <is>
          <t>FAIBLE</t>
        </is>
      </c>
      <c r="AE101" s="6" t="inlineStr">
        <is>
          <t>FAIBLE</t>
        </is>
      </c>
      <c r="AF101" s="6" t="inlineStr">
        <is>
          <t>MOYEN</t>
        </is>
      </c>
      <c r="AG101" s="6" t="inlineStr">
        <is>
          <t>FAIBLE</t>
        </is>
      </c>
      <c r="AH101" s="6" t="inlineStr">
        <is>
          <t>MOYEN</t>
        </is>
      </c>
      <c r="AI101" s="6" t="inlineStr">
        <is>
          <t>FAIBLE</t>
        </is>
      </c>
      <c r="AJ101" s="4" t="n">
        <v>0</v>
      </c>
      <c r="AK101" s="4" t="n"/>
      <c r="AL101" s="6" t="inlineStr">
        <is>
          <t>RETENU_V0.5_REECRIT_CONCRET</t>
        </is>
      </c>
      <c r="AM101" s="6" t="n"/>
      <c r="AN101" s="4" t="inlineStr">
        <is>
          <t>PIP-BANK-0.3</t>
        </is>
      </c>
      <c r="AO101" s="6" t="inlineStr">
        <is>
          <t>PIP-BANK-0.4</t>
        </is>
      </c>
      <c r="AP101" s="8">
        <f>IF(OR(C101="PILOTE",C101="ACTIF"),IF(AND(A101&lt;&gt;"",H101&lt;&gt;"",I101&lt;&gt;"",K101&lt;&gt;"",V101&lt;&gt;"",W101&lt;&gt;""),"OK","A_COMPLETER"),"OK_STRUCTURE")</f>
        <v/>
      </c>
    </row>
    <row r="102" ht="72" customHeight="1" s="34">
      <c r="A102" s="4" t="inlineStr">
        <is>
          <t>PIP-ACT-E-E5-018</t>
        </is>
      </c>
      <c r="B102" s="4" t="inlineStr">
        <is>
          <t>0.2</t>
        </is>
      </c>
      <c r="C102" s="4" t="inlineStr">
        <is>
          <t>PILOTE</t>
        </is>
      </c>
      <c r="D102" s="4" t="inlineStr">
        <is>
          <t>08/09/2026</t>
        </is>
      </c>
      <c r="E102" s="4" t="inlineStr">
        <is>
          <t>08/09/2026</t>
        </is>
      </c>
      <c r="F102" s="4" t="inlineStr">
        <is>
          <t>ACT</t>
        </is>
      </c>
      <c r="G102" s="4" t="inlineStr">
        <is>
          <t>Verbe d’action + objet/contexte</t>
        </is>
      </c>
      <c r="H102" s="4" t="inlineStr">
        <is>
          <t>E</t>
        </is>
      </c>
      <c r="I102" s="4" t="inlineStr">
        <is>
          <t>E5</t>
        </is>
      </c>
      <c r="J102" s="6" t="inlineStr">
        <is>
          <t>S,A</t>
        </is>
      </c>
      <c r="K102" s="6" t="inlineStr">
        <is>
          <t>Mobiliser plusieurs personnes autour d’un objectif commun.</t>
        </is>
      </c>
      <c r="L102" s="4" t="inlineStr">
        <is>
          <t>Cela ne m’attire pas du tout</t>
        </is>
      </c>
      <c r="M102" s="4" t="inlineStr">
        <is>
          <t>Cela m’attire peu</t>
        </is>
      </c>
      <c r="N102" s="4" t="inlineStr">
        <is>
          <t>Je suis partagé(e) / sans préférence marquée</t>
        </is>
      </c>
      <c r="O102" s="4" t="inlineStr">
        <is>
          <t>Cela m’attire</t>
        </is>
      </c>
      <c r="P102" s="4" t="inlineStr">
        <is>
          <t>Cela m’attire beaucoup</t>
        </is>
      </c>
      <c r="Q102" s="4" t="n">
        <v>1</v>
      </c>
      <c r="R102" s="4" t="n">
        <v>2</v>
      </c>
      <c r="S102" s="4" t="n">
        <v>3</v>
      </c>
      <c r="T102" s="4" t="n">
        <v>4</v>
      </c>
      <c r="U102" s="4" t="n">
        <v>5</v>
      </c>
      <c r="V102" s="6" t="inlineStr">
        <is>
          <t>La formulation cible l’intérêt pour initier, influencer, décider et faire avancer. Elle mobilise un comportement caractéristique de la dimension E (Entreprenant) sans demander un niveau de compétence préalable.</t>
        </is>
      </c>
      <c r="W102" s="6" t="inlineStr">
        <is>
          <t>L’item relève de E5 — Influencer / représenter / mobiliser : Prendre la parole, représenter une position, créer de l’adhésion ou mobiliser.</t>
        </is>
      </c>
      <c r="X102" s="6" t="inlineStr">
        <is>
          <t>Revue méthodologique V0.3 : surveiller compréhension du vocabulaire, désirabilité sociale, effet de prestige/statut au pilote.</t>
        </is>
      </c>
      <c r="Y102" s="6" t="inlineStr">
        <is>
          <t>FAIBLE</t>
        </is>
      </c>
      <c r="Z102" s="6" t="inlineStr">
        <is>
          <t>FAIBLE</t>
        </is>
      </c>
      <c r="AA102" s="6" t="inlineStr">
        <is>
          <t>FAIBLE</t>
        </is>
      </c>
      <c r="AB102" s="6" t="inlineStr">
        <is>
          <t>FAIBLE</t>
        </is>
      </c>
      <c r="AC102" s="6" t="inlineStr">
        <is>
          <t>MOYEN</t>
        </is>
      </c>
      <c r="AD102" s="6" t="inlineStr">
        <is>
          <t>FAIBLE</t>
        </is>
      </c>
      <c r="AE102" s="6" t="inlineStr">
        <is>
          <t>FAIBLE</t>
        </is>
      </c>
      <c r="AF102" s="6" t="inlineStr">
        <is>
          <t>MOYEN</t>
        </is>
      </c>
      <c r="AG102" s="6" t="inlineStr">
        <is>
          <t>FAIBLE</t>
        </is>
      </c>
      <c r="AH102" s="6" t="inlineStr">
        <is>
          <t>MOYEN</t>
        </is>
      </c>
      <c r="AI102" s="6" t="inlineStr">
        <is>
          <t>FAIBLE</t>
        </is>
      </c>
      <c r="AJ102" s="4" t="n">
        <v>0</v>
      </c>
      <c r="AK102" s="4" t="n"/>
      <c r="AL102" s="6" t="inlineStr">
        <is>
          <t>RETENU_V0.5_REECRIT_CONCRET</t>
        </is>
      </c>
      <c r="AM102" s="6" t="n"/>
      <c r="AN102" s="4" t="inlineStr">
        <is>
          <t>PIP-BANK-0.3</t>
        </is>
      </c>
      <c r="AO102" s="6" t="inlineStr">
        <is>
          <t>PIP-BANK-0.4</t>
        </is>
      </c>
      <c r="AP102" s="8">
        <f>IF(OR(C102="PILOTE",C102="ACTIF"),IF(AND(A102&lt;&gt;"",H102&lt;&gt;"",I102&lt;&gt;"",K102&lt;&gt;"",V102&lt;&gt;"",W102&lt;&gt;""),"OK","A_COMPLETER"),"OK_STRUCTURE")</f>
        <v/>
      </c>
    </row>
    <row r="103" ht="72" customHeight="1" s="34">
      <c r="A103" s="4" t="inlineStr">
        <is>
          <t>PIP-SIT-E-E5-019</t>
        </is>
      </c>
      <c r="B103" s="4" t="inlineStr">
        <is>
          <t>0.2</t>
        </is>
      </c>
      <c r="C103" s="4" t="inlineStr">
        <is>
          <t>PILOTE</t>
        </is>
      </c>
      <c r="D103" s="4" t="inlineStr">
        <is>
          <t>08/09/2026</t>
        </is>
      </c>
      <c r="E103" s="4" t="inlineStr">
        <is>
          <t>08/09/2026</t>
        </is>
      </c>
      <c r="F103" s="4" t="inlineStr">
        <is>
          <t>SIT</t>
        </is>
      </c>
      <c r="G103" s="4" t="inlineStr">
        <is>
          <t>Situation courte avec enjeu central</t>
        </is>
      </c>
      <c r="H103" s="4" t="inlineStr">
        <is>
          <t>E</t>
        </is>
      </c>
      <c r="I103" s="4" t="inlineStr">
        <is>
          <t>E5</t>
        </is>
      </c>
      <c r="J103" s="6" t="inlineStr">
        <is>
          <t>S,A</t>
        </is>
      </c>
      <c r="K103" s="6" t="inlineStr">
        <is>
          <t>Faire adhérer un groupe à une orientation et l’encourager à se mettre en action.</t>
        </is>
      </c>
      <c r="L103" s="4" t="inlineStr">
        <is>
          <t>Cela ne m’attire pas du tout</t>
        </is>
      </c>
      <c r="M103" s="4" t="inlineStr">
        <is>
          <t>Cela m’attire peu</t>
        </is>
      </c>
      <c r="N103" s="4" t="inlineStr">
        <is>
          <t>Je suis partagé(e) / sans préférence marquée</t>
        </is>
      </c>
      <c r="O103" s="4" t="inlineStr">
        <is>
          <t>Cela m’attire</t>
        </is>
      </c>
      <c r="P103" s="4" t="inlineStr">
        <is>
          <t>Cela m’attire beaucoup</t>
        </is>
      </c>
      <c r="Q103" s="4" t="n">
        <v>1</v>
      </c>
      <c r="R103" s="4" t="n">
        <v>2</v>
      </c>
      <c r="S103" s="4" t="n">
        <v>3</v>
      </c>
      <c r="T103" s="4" t="n">
        <v>4</v>
      </c>
      <c r="U103" s="4" t="n">
        <v>5</v>
      </c>
      <c r="V103" s="6" t="inlineStr">
        <is>
          <t>La formulation cible l’intérêt pour initier, influencer, décider et faire avancer. Elle mobilise un comportement caractéristique de la dimension E (Entreprenant) sans demander un niveau de compétence préalable.</t>
        </is>
      </c>
      <c r="W103" s="6" t="inlineStr">
        <is>
          <t>L’item relève de E5 — Influencer / représenter / mobiliser : Prendre la parole, représenter une position, créer de l’adhésion ou mobiliser.</t>
        </is>
      </c>
      <c r="X103" s="6" t="inlineStr">
        <is>
          <t>Revue méthodologique V0.3 : surveiller compréhension du vocabulaire, désirabilité sociale, effet de prestige/statut au pilote.</t>
        </is>
      </c>
      <c r="Y103" s="6" t="inlineStr">
        <is>
          <t>FAIBLE</t>
        </is>
      </c>
      <c r="Z103" s="6" t="inlineStr">
        <is>
          <t>FAIBLE</t>
        </is>
      </c>
      <c r="AA103" s="6" t="inlineStr">
        <is>
          <t>FAIBLE</t>
        </is>
      </c>
      <c r="AB103" s="6" t="inlineStr">
        <is>
          <t>FAIBLE</t>
        </is>
      </c>
      <c r="AC103" s="6" t="inlineStr">
        <is>
          <t>MOYEN</t>
        </is>
      </c>
      <c r="AD103" s="6" t="inlineStr">
        <is>
          <t>FAIBLE</t>
        </is>
      </c>
      <c r="AE103" s="6" t="inlineStr">
        <is>
          <t>FAIBLE</t>
        </is>
      </c>
      <c r="AF103" s="6" t="inlineStr">
        <is>
          <t>MOYEN</t>
        </is>
      </c>
      <c r="AG103" s="6" t="inlineStr">
        <is>
          <t>FAIBLE</t>
        </is>
      </c>
      <c r="AH103" s="6" t="inlineStr">
        <is>
          <t>MOYEN</t>
        </is>
      </c>
      <c r="AI103" s="6" t="inlineStr">
        <is>
          <t>FAIBLE</t>
        </is>
      </c>
      <c r="AJ103" s="4" t="n">
        <v>0</v>
      </c>
      <c r="AK103" s="4" t="n"/>
      <c r="AL103" s="6" t="inlineStr">
        <is>
          <t>RETIRE_BANQUE72_HISTORIQUE_CONSERVE</t>
        </is>
      </c>
      <c r="AM103" s="6" t="inlineStr">
        <is>
          <t>Réduction méthodologique 120→72 : doublon de facette / priorité aux activités professionnelles observables et aux items à plus faible risque.</t>
        </is>
      </c>
      <c r="AN103" s="4" t="inlineStr">
        <is>
          <t>PIP-BANK-0.3</t>
        </is>
      </c>
      <c r="AO103" s="6" t="inlineStr">
        <is>
          <t>PIP-BANK-0.3</t>
        </is>
      </c>
      <c r="AP103" s="8">
        <f>IF(OR(C103="PILOTE",C103="ACTIF"),IF(AND(A103&lt;&gt;"",H103&lt;&gt;"",I103&lt;&gt;"",K103&lt;&gt;"",V103&lt;&gt;"",W103&lt;&gt;""),"OK","A_COMPLETER"),"OK_STRUCTURE")</f>
        <v/>
      </c>
    </row>
    <row r="104" ht="72" customHeight="1" s="34">
      <c r="A104" s="4" t="inlineStr">
        <is>
          <t>PIP-ENV-E-E5-020</t>
        </is>
      </c>
      <c r="B104" s="4" t="inlineStr">
        <is>
          <t>0.2</t>
        </is>
      </c>
      <c r="C104" s="4" t="inlineStr">
        <is>
          <t>PILOTE</t>
        </is>
      </c>
      <c r="D104" s="4" t="inlineStr">
        <is>
          <t>08/09/2026</t>
        </is>
      </c>
      <c r="E104" s="4" t="inlineStr">
        <is>
          <t>08/09/2026</t>
        </is>
      </c>
      <c r="F104" s="4" t="inlineStr">
        <is>
          <t>ENV</t>
        </is>
      </c>
      <c r="G104" s="4" t="inlineStr">
        <is>
          <t>Contexte décrit par ce qu’il permet de faire</t>
        </is>
      </c>
      <c r="H104" s="4" t="inlineStr">
        <is>
          <t>E</t>
        </is>
      </c>
      <c r="I104" s="4" t="inlineStr">
        <is>
          <t>E5</t>
        </is>
      </c>
      <c r="J104" s="6" t="inlineStr">
        <is>
          <t>S,A</t>
        </is>
      </c>
      <c r="K104" s="6" t="inlineStr">
        <is>
          <t>Évoluer dans un contexte où l’on représente des positions, prend la parole et cherche à mobiliser des personnes.</t>
        </is>
      </c>
      <c r="L104" s="4" t="inlineStr">
        <is>
          <t>Cela ne m’attire pas du tout</t>
        </is>
      </c>
      <c r="M104" s="4" t="inlineStr">
        <is>
          <t>Cela m’attire peu</t>
        </is>
      </c>
      <c r="N104" s="4" t="inlineStr">
        <is>
          <t>Je suis partagé(e) / sans préférence marquée</t>
        </is>
      </c>
      <c r="O104" s="4" t="inlineStr">
        <is>
          <t>Cela m’attire</t>
        </is>
      </c>
      <c r="P104" s="4" t="inlineStr">
        <is>
          <t>Cela m’attire beaucoup</t>
        </is>
      </c>
      <c r="Q104" s="4" t="n">
        <v>1</v>
      </c>
      <c r="R104" s="4" t="n">
        <v>2</v>
      </c>
      <c r="S104" s="4" t="n">
        <v>3</v>
      </c>
      <c r="T104" s="4" t="n">
        <v>4</v>
      </c>
      <c r="U104" s="4" t="n">
        <v>5</v>
      </c>
      <c r="V104" s="6" t="inlineStr">
        <is>
          <t>La formulation cible l’intérêt pour initier, influencer, décider et faire avancer. Elle mobilise un comportement caractéristique de la dimension E (Entreprenant) sans demander un niveau de compétence préalable.</t>
        </is>
      </c>
      <c r="W104" s="6" t="inlineStr">
        <is>
          <t>L’item relève de E5 — Influencer / représenter / mobiliser : Prendre la parole, représenter une position, créer de l’adhésion ou mobiliser.</t>
        </is>
      </c>
      <c r="X104" s="6" t="inlineStr">
        <is>
          <t>Revue méthodologique V0.3 : surveiller compréhension du vocabulaire, désirabilité sociale, effet de prestige/statut au pilote.</t>
        </is>
      </c>
      <c r="Y104" s="6" t="inlineStr">
        <is>
          <t>FAIBLE</t>
        </is>
      </c>
      <c r="Z104" s="6" t="inlineStr">
        <is>
          <t>FAIBLE</t>
        </is>
      </c>
      <c r="AA104" s="6" t="inlineStr">
        <is>
          <t>FAIBLE</t>
        </is>
      </c>
      <c r="AB104" s="6" t="inlineStr">
        <is>
          <t>FAIBLE</t>
        </is>
      </c>
      <c r="AC104" s="6" t="inlineStr">
        <is>
          <t>MOYEN</t>
        </is>
      </c>
      <c r="AD104" s="6" t="inlineStr">
        <is>
          <t>FAIBLE</t>
        </is>
      </c>
      <c r="AE104" s="6" t="inlineStr">
        <is>
          <t>FAIBLE</t>
        </is>
      </c>
      <c r="AF104" s="6" t="inlineStr">
        <is>
          <t>MOYEN</t>
        </is>
      </c>
      <c r="AG104" s="6" t="inlineStr">
        <is>
          <t>FAIBLE</t>
        </is>
      </c>
      <c r="AH104" s="6" t="inlineStr">
        <is>
          <t>MOYEN</t>
        </is>
      </c>
      <c r="AI104" s="6" t="inlineStr">
        <is>
          <t>FAIBLE</t>
        </is>
      </c>
      <c r="AJ104" s="4" t="n">
        <v>0</v>
      </c>
      <c r="AK104" s="4" t="n"/>
      <c r="AL104" s="6" t="inlineStr">
        <is>
          <t>RETIRE_BANQUE72_HISTORIQUE_CONSERVE</t>
        </is>
      </c>
      <c r="AM104" s="6" t="inlineStr">
        <is>
          <t>Réduction méthodologique 120→72 : doublon de facette / priorité aux activités professionnelles observables et aux items à plus faible risque.</t>
        </is>
      </c>
      <c r="AN104" s="4" t="inlineStr">
        <is>
          <t>PIP-BANK-0.3</t>
        </is>
      </c>
      <c r="AO104" s="6" t="inlineStr">
        <is>
          <t>PIP-BANK-0.3</t>
        </is>
      </c>
      <c r="AP104" s="8">
        <f>IF(OR(C104="PILOTE",C104="ACTIF"),IF(AND(A104&lt;&gt;"",H104&lt;&gt;"",I104&lt;&gt;"",K104&lt;&gt;"",V104&lt;&gt;"",W104&lt;&gt;""),"OK","A_COMPLETER"),"OK_STRUCTURE")</f>
        <v/>
      </c>
    </row>
    <row r="105" ht="72" customHeight="1" s="34">
      <c r="A105" s="4" t="inlineStr">
        <is>
          <t>PIP-ACT-C-C1-001</t>
        </is>
      </c>
      <c r="B105" s="4" t="inlineStr">
        <is>
          <t>0.2</t>
        </is>
      </c>
      <c r="C105" s="4" t="inlineStr">
        <is>
          <t>PILOTE</t>
        </is>
      </c>
      <c r="D105" s="4" t="inlineStr">
        <is>
          <t>08/09/2026</t>
        </is>
      </c>
      <c r="E105" s="4" t="inlineStr">
        <is>
          <t>08/09/2026</t>
        </is>
      </c>
      <c r="F105" s="4" t="inlineStr">
        <is>
          <t>ACT</t>
        </is>
      </c>
      <c r="G105" s="4" t="inlineStr">
        <is>
          <t>Verbe d’action + objet/contexte</t>
        </is>
      </c>
      <c r="H105" s="4" t="inlineStr">
        <is>
          <t>C</t>
        </is>
      </c>
      <c r="I105" s="4" t="inlineStr">
        <is>
          <t>C1</t>
        </is>
      </c>
      <c r="J105" s="6" t="inlineStr">
        <is>
          <t>I</t>
        </is>
      </c>
      <c r="K105" s="6" t="inlineStr">
        <is>
          <t>Organiser des informations pour qu’elles soient faciles à retrouver et à utiliser.</t>
        </is>
      </c>
      <c r="L105" s="4" t="inlineStr">
        <is>
          <t>Cela ne m’attire pas du tout</t>
        </is>
      </c>
      <c r="M105" s="4" t="inlineStr">
        <is>
          <t>Cela m’attire peu</t>
        </is>
      </c>
      <c r="N105" s="4" t="inlineStr">
        <is>
          <t>Je suis partagé(e) / sans préférence marquée</t>
        </is>
      </c>
      <c r="O105" s="4" t="inlineStr">
        <is>
          <t>Cela m’attire</t>
        </is>
      </c>
      <c r="P105" s="4" t="inlineStr">
        <is>
          <t>Cela m’attire beaucoup</t>
        </is>
      </c>
      <c r="Q105" s="4" t="n">
        <v>1</v>
      </c>
      <c r="R105" s="4" t="n">
        <v>2</v>
      </c>
      <c r="S105" s="4" t="n">
        <v>3</v>
      </c>
      <c r="T105" s="4" t="n">
        <v>4</v>
      </c>
      <c r="U105" s="4" t="n">
        <v>5</v>
      </c>
      <c r="V105" s="6" t="inlineStr">
        <is>
          <t>La formulation cible l’intérêt pour structurer, fiabiliser et suivre méthodiquement. Elle mobilise un comportement caractéristique de la dimension C (Conventionnel) sans demander un niveau de compétence préalable.</t>
        </is>
      </c>
      <c r="W105" s="6" t="inlineStr">
        <is>
          <t>L’item relève de C1 — Organiser / classer / structurer : Mettre de l’ordre dans des informations, documents, ressources ou données.</t>
        </is>
      </c>
      <c r="X105" s="6" t="inlineStr">
        <is>
          <t>Revue méthodologique V0.3 : surveiller compréhension du vocabulaire, désirabilité sociale au pilote.</t>
        </is>
      </c>
      <c r="Y105" s="6" t="inlineStr">
        <is>
          <t>FAIBLE</t>
        </is>
      </c>
      <c r="Z105" s="6" t="inlineStr">
        <is>
          <t>FAIBLE</t>
        </is>
      </c>
      <c r="AA105" s="6" t="inlineStr">
        <is>
          <t>FAIBLE</t>
        </is>
      </c>
      <c r="AB105" s="6" t="inlineStr">
        <is>
          <t>FAIBLE</t>
        </is>
      </c>
      <c r="AC105" s="6" t="inlineStr">
        <is>
          <t>MOYEN</t>
        </is>
      </c>
      <c r="AD105" s="6" t="inlineStr">
        <is>
          <t>FAIBLE</t>
        </is>
      </c>
      <c r="AE105" s="6" t="inlineStr">
        <is>
          <t>FAIBLE</t>
        </is>
      </c>
      <c r="AF105" s="6" t="inlineStr">
        <is>
          <t>FAIBLE</t>
        </is>
      </c>
      <c r="AG105" s="6" t="inlineStr">
        <is>
          <t>FAIBLE</t>
        </is>
      </c>
      <c r="AH105" s="6" t="inlineStr">
        <is>
          <t>MOYEN</t>
        </is>
      </c>
      <c r="AI105" s="6" t="inlineStr">
        <is>
          <t>FAIBLE</t>
        </is>
      </c>
      <c r="AJ105" s="4" t="n">
        <v>0</v>
      </c>
      <c r="AK105" s="4" t="n"/>
      <c r="AL105" s="6" t="inlineStr">
        <is>
          <t>RETENU_V0.5_REECRIT_CONCRET</t>
        </is>
      </c>
      <c r="AM105" s="6" t="n"/>
      <c r="AN105" s="4" t="inlineStr">
        <is>
          <t>PIP-BANK-0.3</t>
        </is>
      </c>
      <c r="AO105" s="6" t="inlineStr">
        <is>
          <t>PIP-BANK-0.4</t>
        </is>
      </c>
      <c r="AP105" s="8">
        <f>IF(OR(C105="PILOTE",C105="ACTIF"),IF(AND(A105&lt;&gt;"",H105&lt;&gt;"",I105&lt;&gt;"",K105&lt;&gt;"",V105&lt;&gt;"",W105&lt;&gt;""),"OK","A_COMPLETER"),"OK_STRUCTURE")</f>
        <v/>
      </c>
    </row>
    <row r="106" ht="72" customHeight="1" s="34">
      <c r="A106" s="4" t="inlineStr">
        <is>
          <t>PIP-ACT-C-C1-002</t>
        </is>
      </c>
      <c r="B106" s="4" t="inlineStr">
        <is>
          <t>0.2</t>
        </is>
      </c>
      <c r="C106" s="4" t="inlineStr">
        <is>
          <t>PILOTE</t>
        </is>
      </c>
      <c r="D106" s="4" t="inlineStr">
        <is>
          <t>08/09/2026</t>
        </is>
      </c>
      <c r="E106" s="4" t="inlineStr">
        <is>
          <t>08/09/2026</t>
        </is>
      </c>
      <c r="F106" s="4" t="inlineStr">
        <is>
          <t>ACT</t>
        </is>
      </c>
      <c r="G106" s="4" t="inlineStr">
        <is>
          <t>Verbe d’action + objet/contexte</t>
        </is>
      </c>
      <c r="H106" s="4" t="inlineStr">
        <is>
          <t>C</t>
        </is>
      </c>
      <c r="I106" s="4" t="inlineStr">
        <is>
          <t>C1</t>
        </is>
      </c>
      <c r="J106" s="6" t="inlineStr">
        <is>
          <t>I</t>
        </is>
      </c>
      <c r="K106" s="6" t="inlineStr">
        <is>
          <t>Classer des documents ou des données selon une structure claire.</t>
        </is>
      </c>
      <c r="L106" s="4" t="inlineStr">
        <is>
          <t>Cela ne m’attire pas du tout</t>
        </is>
      </c>
      <c r="M106" s="4" t="inlineStr">
        <is>
          <t>Cela m’attire peu</t>
        </is>
      </c>
      <c r="N106" s="4" t="inlineStr">
        <is>
          <t>Je suis partagé(e) / sans préférence marquée</t>
        </is>
      </c>
      <c r="O106" s="4" t="inlineStr">
        <is>
          <t>Cela m’attire</t>
        </is>
      </c>
      <c r="P106" s="4" t="inlineStr">
        <is>
          <t>Cela m’attire beaucoup</t>
        </is>
      </c>
      <c r="Q106" s="4" t="n">
        <v>1</v>
      </c>
      <c r="R106" s="4" t="n">
        <v>2</v>
      </c>
      <c r="S106" s="4" t="n">
        <v>3</v>
      </c>
      <c r="T106" s="4" t="n">
        <v>4</v>
      </c>
      <c r="U106" s="4" t="n">
        <v>5</v>
      </c>
      <c r="V106" s="6" t="inlineStr">
        <is>
          <t>La formulation cible l’intérêt pour structurer, fiabiliser et suivre méthodiquement. Elle mobilise un comportement caractéristique de la dimension C (Conventionnel) sans demander un niveau de compétence préalable.</t>
        </is>
      </c>
      <c r="W106" s="6" t="inlineStr">
        <is>
          <t>L’item relève de C1 — Organiser / classer / structurer : Mettre de l’ordre dans des informations, documents, ressources ou données.</t>
        </is>
      </c>
      <c r="X106" s="6" t="inlineStr">
        <is>
          <t>Revue méthodologique V0.3 : surveiller compréhension du vocabulaire, désirabilité sociale au pilote.</t>
        </is>
      </c>
      <c r="Y106" s="6" t="inlineStr">
        <is>
          <t>FAIBLE</t>
        </is>
      </c>
      <c r="Z106" s="6" t="inlineStr">
        <is>
          <t>FAIBLE</t>
        </is>
      </c>
      <c r="AA106" s="6" t="inlineStr">
        <is>
          <t>FAIBLE</t>
        </is>
      </c>
      <c r="AB106" s="6" t="inlineStr">
        <is>
          <t>FAIBLE</t>
        </is>
      </c>
      <c r="AC106" s="6" t="inlineStr">
        <is>
          <t>MOYEN</t>
        </is>
      </c>
      <c r="AD106" s="6" t="inlineStr">
        <is>
          <t>FAIBLE</t>
        </is>
      </c>
      <c r="AE106" s="6" t="inlineStr">
        <is>
          <t>FAIBLE</t>
        </is>
      </c>
      <c r="AF106" s="6" t="inlineStr">
        <is>
          <t>FAIBLE</t>
        </is>
      </c>
      <c r="AG106" s="6" t="inlineStr">
        <is>
          <t>FAIBLE</t>
        </is>
      </c>
      <c r="AH106" s="6" t="inlineStr">
        <is>
          <t>MOYEN</t>
        </is>
      </c>
      <c r="AI106" s="6" t="inlineStr">
        <is>
          <t>FAIBLE</t>
        </is>
      </c>
      <c r="AJ106" s="4" t="n">
        <v>0</v>
      </c>
      <c r="AK106" s="4" t="n"/>
      <c r="AL106" s="6" t="inlineStr">
        <is>
          <t>RETENU_V0.5_REECRIT_CONCRET</t>
        </is>
      </c>
      <c r="AM106" s="6" t="n"/>
      <c r="AN106" s="4" t="inlineStr">
        <is>
          <t>PIP-BANK-0.3</t>
        </is>
      </c>
      <c r="AO106" s="6" t="inlineStr">
        <is>
          <t>PIP-BANK-0.4</t>
        </is>
      </c>
      <c r="AP106" s="8">
        <f>IF(OR(C106="PILOTE",C106="ACTIF"),IF(AND(A106&lt;&gt;"",H106&lt;&gt;"",I106&lt;&gt;"",K106&lt;&gt;"",V106&lt;&gt;"",W106&lt;&gt;""),"OK","A_COMPLETER"),"OK_STRUCTURE")</f>
        <v/>
      </c>
    </row>
    <row r="107" ht="72" customHeight="1" s="34">
      <c r="A107" s="4" t="inlineStr">
        <is>
          <t>PIP-SIT-C-C1-003</t>
        </is>
      </c>
      <c r="B107" s="4" t="inlineStr">
        <is>
          <t>0.2</t>
        </is>
      </c>
      <c r="C107" s="4" t="inlineStr">
        <is>
          <t>PILOTE</t>
        </is>
      </c>
      <c r="D107" s="4" t="inlineStr">
        <is>
          <t>08/09/2026</t>
        </is>
      </c>
      <c r="E107" s="4" t="inlineStr">
        <is>
          <t>08/09/2026</t>
        </is>
      </c>
      <c r="F107" s="4" t="inlineStr">
        <is>
          <t>SIT</t>
        </is>
      </c>
      <c r="G107" s="4" t="inlineStr">
        <is>
          <t>Situation courte avec enjeu central</t>
        </is>
      </c>
      <c r="H107" s="4" t="inlineStr">
        <is>
          <t>C</t>
        </is>
      </c>
      <c r="I107" s="4" t="inlineStr">
        <is>
          <t>C1</t>
        </is>
      </c>
      <c r="J107" s="6" t="inlineStr">
        <is>
          <t>I</t>
        </is>
      </c>
      <c r="K107" s="6" t="inlineStr">
        <is>
          <t>Remettre de l’ordre dans un ensemble d’informations dispersées afin qu’il devienne exploitable.</t>
        </is>
      </c>
      <c r="L107" s="4" t="inlineStr">
        <is>
          <t>Cela ne m’attire pas du tout</t>
        </is>
      </c>
      <c r="M107" s="4" t="inlineStr">
        <is>
          <t>Cela m’attire peu</t>
        </is>
      </c>
      <c r="N107" s="4" t="inlineStr">
        <is>
          <t>Je suis partagé(e) / sans préférence marquée</t>
        </is>
      </c>
      <c r="O107" s="4" t="inlineStr">
        <is>
          <t>Cela m’attire</t>
        </is>
      </c>
      <c r="P107" s="4" t="inlineStr">
        <is>
          <t>Cela m’attire beaucoup</t>
        </is>
      </c>
      <c r="Q107" s="4" t="n">
        <v>1</v>
      </c>
      <c r="R107" s="4" t="n">
        <v>2</v>
      </c>
      <c r="S107" s="4" t="n">
        <v>3</v>
      </c>
      <c r="T107" s="4" t="n">
        <v>4</v>
      </c>
      <c r="U107" s="4" t="n">
        <v>5</v>
      </c>
      <c r="V107" s="6" t="inlineStr">
        <is>
          <t>La formulation cible l’intérêt pour structurer, fiabiliser et suivre méthodiquement. Elle mobilise un comportement caractéristique de la dimension C (Conventionnel) sans demander un niveau de compétence préalable.</t>
        </is>
      </c>
      <c r="W107" s="6" t="inlineStr">
        <is>
          <t>L’item relève de C1 — Organiser / classer / structurer : Mettre de l’ordre dans des informations, documents, ressources ou données.</t>
        </is>
      </c>
      <c r="X107" s="6" t="inlineStr">
        <is>
          <t>Revue méthodologique V0.3 : surveiller compréhension du vocabulaire, désirabilité sociale au pilote.</t>
        </is>
      </c>
      <c r="Y107" s="6" t="inlineStr">
        <is>
          <t>FAIBLE</t>
        </is>
      </c>
      <c r="Z107" s="6" t="inlineStr">
        <is>
          <t>FAIBLE</t>
        </is>
      </c>
      <c r="AA107" s="6" t="inlineStr">
        <is>
          <t>FAIBLE</t>
        </is>
      </c>
      <c r="AB107" s="6" t="inlineStr">
        <is>
          <t>FAIBLE</t>
        </is>
      </c>
      <c r="AC107" s="6" t="inlineStr">
        <is>
          <t>MOYEN</t>
        </is>
      </c>
      <c r="AD107" s="6" t="inlineStr">
        <is>
          <t>FAIBLE</t>
        </is>
      </c>
      <c r="AE107" s="6" t="inlineStr">
        <is>
          <t>FAIBLE</t>
        </is>
      </c>
      <c r="AF107" s="6" t="inlineStr">
        <is>
          <t>FAIBLE</t>
        </is>
      </c>
      <c r="AG107" s="6" t="inlineStr">
        <is>
          <t>FAIBLE</t>
        </is>
      </c>
      <c r="AH107" s="6" t="inlineStr">
        <is>
          <t>MOYEN</t>
        </is>
      </c>
      <c r="AI107" s="6" t="inlineStr">
        <is>
          <t>FAIBLE</t>
        </is>
      </c>
      <c r="AJ107" s="4" t="n">
        <v>0</v>
      </c>
      <c r="AK107" s="4" t="n"/>
      <c r="AL107" s="6" t="inlineStr">
        <is>
          <t>RETENU_V0.5_REECRIT_CONCRET</t>
        </is>
      </c>
      <c r="AM107" s="6" t="n"/>
      <c r="AN107" s="4" t="inlineStr">
        <is>
          <t>PIP-BANK-0.3</t>
        </is>
      </c>
      <c r="AO107" s="6" t="inlineStr">
        <is>
          <t>PIP-BANK-0.4</t>
        </is>
      </c>
      <c r="AP107" s="8">
        <f>IF(OR(C107="PILOTE",C107="ACTIF"),IF(AND(A107&lt;&gt;"",H107&lt;&gt;"",I107&lt;&gt;"",K107&lt;&gt;"",V107&lt;&gt;"",W107&lt;&gt;""),"OK","A_COMPLETER"),"OK_STRUCTURE")</f>
        <v/>
      </c>
    </row>
    <row r="108" ht="72" customHeight="1" s="34">
      <c r="A108" s="4" t="inlineStr">
        <is>
          <t>PIP-ENV-C-C1-004</t>
        </is>
      </c>
      <c r="B108" s="4" t="inlineStr">
        <is>
          <t>0.2</t>
        </is>
      </c>
      <c r="C108" s="4" t="inlineStr">
        <is>
          <t>PILOTE</t>
        </is>
      </c>
      <c r="D108" s="4" t="inlineStr">
        <is>
          <t>08/09/2026</t>
        </is>
      </c>
      <c r="E108" s="4" t="inlineStr">
        <is>
          <t>08/09/2026</t>
        </is>
      </c>
      <c r="F108" s="4" t="inlineStr">
        <is>
          <t>ENV</t>
        </is>
      </c>
      <c r="G108" s="4" t="inlineStr">
        <is>
          <t>Contexte décrit par ce qu’il permet de faire</t>
        </is>
      </c>
      <c r="H108" s="4" t="inlineStr">
        <is>
          <t>C</t>
        </is>
      </c>
      <c r="I108" s="4" t="inlineStr">
        <is>
          <t>C1</t>
        </is>
      </c>
      <c r="J108" s="6" t="inlineStr">
        <is>
          <t>I</t>
        </is>
      </c>
      <c r="K108" s="6" t="inlineStr">
        <is>
          <t>Travailler dans un contexte où l’organisation claire des informations et des ressources est essentielle au bon fonctionnement.</t>
        </is>
      </c>
      <c r="L108" s="4" t="inlineStr">
        <is>
          <t>Cela ne m’attire pas du tout</t>
        </is>
      </c>
      <c r="M108" s="4" t="inlineStr">
        <is>
          <t>Cela m’attire peu</t>
        </is>
      </c>
      <c r="N108" s="4" t="inlineStr">
        <is>
          <t>Je suis partagé(e) / sans préférence marquée</t>
        </is>
      </c>
      <c r="O108" s="4" t="inlineStr">
        <is>
          <t>Cela m’attire</t>
        </is>
      </c>
      <c r="P108" s="4" t="inlineStr">
        <is>
          <t>Cela m’attire beaucoup</t>
        </is>
      </c>
      <c r="Q108" s="4" t="n">
        <v>1</v>
      </c>
      <c r="R108" s="4" t="n">
        <v>2</v>
      </c>
      <c r="S108" s="4" t="n">
        <v>3</v>
      </c>
      <c r="T108" s="4" t="n">
        <v>4</v>
      </c>
      <c r="U108" s="4" t="n">
        <v>5</v>
      </c>
      <c r="V108" s="6" t="inlineStr">
        <is>
          <t>La formulation cible l’intérêt pour structurer, fiabiliser et suivre méthodiquement. Elle mobilise un comportement caractéristique de la dimension C (Conventionnel) sans demander un niveau de compétence préalable.</t>
        </is>
      </c>
      <c r="W108" s="6" t="inlineStr">
        <is>
          <t>L’item relève de C1 — Organiser / classer / structurer : Mettre de l’ordre dans des informations, documents, ressources ou données.</t>
        </is>
      </c>
      <c r="X108" s="6" t="inlineStr">
        <is>
          <t>Revue méthodologique V0.3 : surveiller compréhension du vocabulaire, désirabilité sociale au pilote.</t>
        </is>
      </c>
      <c r="Y108" s="6" t="inlineStr">
        <is>
          <t>FAIBLE</t>
        </is>
      </c>
      <c r="Z108" s="6" t="inlineStr">
        <is>
          <t>FAIBLE</t>
        </is>
      </c>
      <c r="AA108" s="6" t="inlineStr">
        <is>
          <t>FAIBLE</t>
        </is>
      </c>
      <c r="AB108" s="6" t="inlineStr">
        <is>
          <t>FAIBLE</t>
        </is>
      </c>
      <c r="AC108" s="6" t="inlineStr">
        <is>
          <t>MOYEN</t>
        </is>
      </c>
      <c r="AD108" s="6" t="inlineStr">
        <is>
          <t>FAIBLE</t>
        </is>
      </c>
      <c r="AE108" s="6" t="inlineStr">
        <is>
          <t>FAIBLE</t>
        </is>
      </c>
      <c r="AF108" s="6" t="inlineStr">
        <is>
          <t>FAIBLE</t>
        </is>
      </c>
      <c r="AG108" s="6" t="inlineStr">
        <is>
          <t>FAIBLE</t>
        </is>
      </c>
      <c r="AH108" s="6" t="inlineStr">
        <is>
          <t>MOYEN</t>
        </is>
      </c>
      <c r="AI108" s="6" t="inlineStr">
        <is>
          <t>FAIBLE</t>
        </is>
      </c>
      <c r="AJ108" s="4" t="n">
        <v>0</v>
      </c>
      <c r="AK108" s="4" t="n"/>
      <c r="AL108" s="6" t="inlineStr">
        <is>
          <t>RETIRE_BANQUE72_HISTORIQUE_CONSERVE</t>
        </is>
      </c>
      <c r="AM108" s="6" t="inlineStr">
        <is>
          <t>Réduction méthodologique 120→72 : doublon de facette / priorité aux activités professionnelles observables et aux items à plus faible risque.</t>
        </is>
      </c>
      <c r="AN108" s="4" t="inlineStr">
        <is>
          <t>PIP-BANK-0.3</t>
        </is>
      </c>
      <c r="AO108" s="6" t="inlineStr">
        <is>
          <t>PIP-BANK-0.3</t>
        </is>
      </c>
      <c r="AP108" s="8">
        <f>IF(OR(C108="PILOTE",C108="ACTIF"),IF(AND(A108&lt;&gt;"",H108&lt;&gt;"",I108&lt;&gt;"",K108&lt;&gt;"",V108&lt;&gt;"",W108&lt;&gt;""),"OK","A_COMPLETER"),"OK_STRUCTURE")</f>
        <v/>
      </c>
    </row>
    <row r="109" ht="72" customHeight="1" s="34">
      <c r="A109" s="4" t="inlineStr">
        <is>
          <t>PIP-ACT-C-C2-005</t>
        </is>
      </c>
      <c r="B109" s="4" t="inlineStr">
        <is>
          <t>0.2</t>
        </is>
      </c>
      <c r="C109" s="4" t="inlineStr">
        <is>
          <t>PILOTE</t>
        </is>
      </c>
      <c r="D109" s="4" t="inlineStr">
        <is>
          <t>08/09/2026</t>
        </is>
      </c>
      <c r="E109" s="4" t="inlineStr">
        <is>
          <t>08/09/2026</t>
        </is>
      </c>
      <c r="F109" s="4" t="inlineStr">
        <is>
          <t>ACT</t>
        </is>
      </c>
      <c r="G109" s="4" t="inlineStr">
        <is>
          <t>Verbe d’action + objet/contexte</t>
        </is>
      </c>
      <c r="H109" s="4" t="inlineStr">
        <is>
          <t>C</t>
        </is>
      </c>
      <c r="I109" s="4" t="inlineStr">
        <is>
          <t>C2</t>
        </is>
      </c>
      <c r="J109" s="6" t="inlineStr">
        <is>
          <t>I</t>
        </is>
      </c>
      <c r="K109" s="6" t="inlineStr">
        <is>
          <t>Enregistrer avec précision des informations dans un dossier ou un système.</t>
        </is>
      </c>
      <c r="L109" s="4" t="inlineStr">
        <is>
          <t>Cela ne m’attire pas du tout</t>
        </is>
      </c>
      <c r="M109" s="4" t="inlineStr">
        <is>
          <t>Cela m’attire peu</t>
        </is>
      </c>
      <c r="N109" s="4" t="inlineStr">
        <is>
          <t>Je suis partagé(e) / sans préférence marquée</t>
        </is>
      </c>
      <c r="O109" s="4" t="inlineStr">
        <is>
          <t>Cela m’attire</t>
        </is>
      </c>
      <c r="P109" s="4" t="inlineStr">
        <is>
          <t>Cela m’attire beaucoup</t>
        </is>
      </c>
      <c r="Q109" s="4" t="n">
        <v>1</v>
      </c>
      <c r="R109" s="4" t="n">
        <v>2</v>
      </c>
      <c r="S109" s="4" t="n">
        <v>3</v>
      </c>
      <c r="T109" s="4" t="n">
        <v>4</v>
      </c>
      <c r="U109" s="4" t="n">
        <v>5</v>
      </c>
      <c r="V109" s="6" t="inlineStr">
        <is>
          <t>La formulation cible l’intérêt pour structurer, fiabiliser et suivre méthodiquement. Elle mobilise un comportement caractéristique de la dimension C (Conventionnel) sans demander un niveau de compétence préalable.</t>
        </is>
      </c>
      <c r="W109" s="6" t="inlineStr">
        <is>
          <t>L’item relève de C2 — Enregistrer / saisir / tenir à jour : Consigner, actualiser et maintenir des informations ou enregistrements.</t>
        </is>
      </c>
      <c r="X109" s="6" t="inlineStr">
        <is>
          <t>Revue méthodologique V0.3 : surveiller compréhension du vocabulaire, familiarité avec le contexte professionnel, désirabilité sociale au pilote.</t>
        </is>
      </c>
      <c r="Y109" s="6" t="inlineStr">
        <is>
          <t>FAIBLE</t>
        </is>
      </c>
      <c r="Z109" s="6" t="inlineStr">
        <is>
          <t>FAIBLE</t>
        </is>
      </c>
      <c r="AA109" s="6" t="inlineStr">
        <is>
          <t>FAIBLE</t>
        </is>
      </c>
      <c r="AB109" s="6" t="inlineStr">
        <is>
          <t>FAIBLE</t>
        </is>
      </c>
      <c r="AC109" s="6" t="inlineStr">
        <is>
          <t>MOYEN</t>
        </is>
      </c>
      <c r="AD109" s="6" t="inlineStr">
        <is>
          <t>FAIBLE</t>
        </is>
      </c>
      <c r="AE109" s="6" t="inlineStr">
        <is>
          <t>FAIBLE</t>
        </is>
      </c>
      <c r="AF109" s="6" t="inlineStr">
        <is>
          <t>FAIBLE</t>
        </is>
      </c>
      <c r="AG109" s="6" t="inlineStr">
        <is>
          <t>MOYEN</t>
        </is>
      </c>
      <c r="AH109" s="6" t="inlineStr">
        <is>
          <t>MOYEN</t>
        </is>
      </c>
      <c r="AI109" s="6" t="inlineStr">
        <is>
          <t>FAIBLE</t>
        </is>
      </c>
      <c r="AJ109" s="4" t="n">
        <v>0</v>
      </c>
      <c r="AK109" s="4" t="n"/>
      <c r="AL109" s="6" t="inlineStr">
        <is>
          <t>RETENU_V0.5_REECRIT_CONCRET</t>
        </is>
      </c>
      <c r="AM109" s="6" t="n"/>
      <c r="AN109" s="4" t="inlineStr">
        <is>
          <t>PIP-BANK-0.3</t>
        </is>
      </c>
      <c r="AO109" s="6" t="inlineStr">
        <is>
          <t>PIP-BANK-0.4</t>
        </is>
      </c>
      <c r="AP109" s="8">
        <f>IF(OR(C109="PILOTE",C109="ACTIF"),IF(AND(A109&lt;&gt;"",H109&lt;&gt;"",I109&lt;&gt;"",K109&lt;&gt;"",V109&lt;&gt;"",W109&lt;&gt;""),"OK","A_COMPLETER"),"OK_STRUCTURE")</f>
        <v/>
      </c>
    </row>
    <row r="110" ht="72" customHeight="1" s="34">
      <c r="A110" s="4" t="inlineStr">
        <is>
          <t>PIP-ACT-C-C2-006</t>
        </is>
      </c>
      <c r="B110" s="4" t="inlineStr">
        <is>
          <t>0.2</t>
        </is>
      </c>
      <c r="C110" s="4" t="inlineStr">
        <is>
          <t>PILOTE</t>
        </is>
      </c>
      <c r="D110" s="4" t="inlineStr">
        <is>
          <t>08/09/2026</t>
        </is>
      </c>
      <c r="E110" s="4" t="inlineStr">
        <is>
          <t>08/09/2026</t>
        </is>
      </c>
      <c r="F110" s="4" t="inlineStr">
        <is>
          <t>ACT</t>
        </is>
      </c>
      <c r="G110" s="4" t="inlineStr">
        <is>
          <t>Verbe d’action + objet/contexte</t>
        </is>
      </c>
      <c r="H110" s="4" t="inlineStr">
        <is>
          <t>C</t>
        </is>
      </c>
      <c r="I110" s="4" t="inlineStr">
        <is>
          <t>C2</t>
        </is>
      </c>
      <c r="J110" s="6" t="inlineStr">
        <is>
          <t>I</t>
        </is>
      </c>
      <c r="K110" s="6" t="inlineStr">
        <is>
          <t>Mettre régulièrement à jour des données pour qu’elles restent fiables.</t>
        </is>
      </c>
      <c r="L110" s="4" t="inlineStr">
        <is>
          <t>Cela ne m’attire pas du tout</t>
        </is>
      </c>
      <c r="M110" s="4" t="inlineStr">
        <is>
          <t>Cela m’attire peu</t>
        </is>
      </c>
      <c r="N110" s="4" t="inlineStr">
        <is>
          <t>Je suis partagé(e) / sans préférence marquée</t>
        </is>
      </c>
      <c r="O110" s="4" t="inlineStr">
        <is>
          <t>Cela m’attire</t>
        </is>
      </c>
      <c r="P110" s="4" t="inlineStr">
        <is>
          <t>Cela m’attire beaucoup</t>
        </is>
      </c>
      <c r="Q110" s="4" t="n">
        <v>1</v>
      </c>
      <c r="R110" s="4" t="n">
        <v>2</v>
      </c>
      <c r="S110" s="4" t="n">
        <v>3</v>
      </c>
      <c r="T110" s="4" t="n">
        <v>4</v>
      </c>
      <c r="U110" s="4" t="n">
        <v>5</v>
      </c>
      <c r="V110" s="6" t="inlineStr">
        <is>
          <t>La formulation cible l’intérêt pour structurer, fiabiliser et suivre méthodiquement. Elle mobilise un comportement caractéristique de la dimension C (Conventionnel) sans demander un niveau de compétence préalable.</t>
        </is>
      </c>
      <c r="W110" s="6" t="inlineStr">
        <is>
          <t>L’item relève de C2 — Enregistrer / saisir / tenir à jour : Consigner, actualiser et maintenir des informations ou enregistrements.</t>
        </is>
      </c>
      <c r="X110" s="6" t="inlineStr">
        <is>
          <t>Revue méthodologique V0.3 : surveiller compréhension du vocabulaire, désirabilité sociale au pilote.</t>
        </is>
      </c>
      <c r="Y110" s="6" t="inlineStr">
        <is>
          <t>FAIBLE</t>
        </is>
      </c>
      <c r="Z110" s="6" t="inlineStr">
        <is>
          <t>FAIBLE</t>
        </is>
      </c>
      <c r="AA110" s="6" t="inlineStr">
        <is>
          <t>FAIBLE</t>
        </is>
      </c>
      <c r="AB110" s="6" t="inlineStr">
        <is>
          <t>FAIBLE</t>
        </is>
      </c>
      <c r="AC110" s="6" t="inlineStr">
        <is>
          <t>MOYEN</t>
        </is>
      </c>
      <c r="AD110" s="6" t="inlineStr">
        <is>
          <t>FAIBLE</t>
        </is>
      </c>
      <c r="AE110" s="6" t="inlineStr">
        <is>
          <t>FAIBLE</t>
        </is>
      </c>
      <c r="AF110" s="6" t="inlineStr">
        <is>
          <t>FAIBLE</t>
        </is>
      </c>
      <c r="AG110" s="6" t="inlineStr">
        <is>
          <t>FAIBLE</t>
        </is>
      </c>
      <c r="AH110" s="6" t="inlineStr">
        <is>
          <t>MOYEN</t>
        </is>
      </c>
      <c r="AI110" s="6" t="inlineStr">
        <is>
          <t>FAIBLE</t>
        </is>
      </c>
      <c r="AJ110" s="4" t="n">
        <v>0</v>
      </c>
      <c r="AK110" s="4" t="n"/>
      <c r="AL110" s="6" t="inlineStr">
        <is>
          <t>RETENU_V0.5_REECRIT_CONCRET</t>
        </is>
      </c>
      <c r="AM110" s="6" t="n"/>
      <c r="AN110" s="4" t="inlineStr">
        <is>
          <t>PIP-BANK-0.3</t>
        </is>
      </c>
      <c r="AO110" s="6" t="inlineStr">
        <is>
          <t>PIP-BANK-0.4</t>
        </is>
      </c>
      <c r="AP110" s="8">
        <f>IF(OR(C110="PILOTE",C110="ACTIF"),IF(AND(A110&lt;&gt;"",H110&lt;&gt;"",I110&lt;&gt;"",K110&lt;&gt;"",V110&lt;&gt;"",W110&lt;&gt;""),"OK","A_COMPLETER"),"OK_STRUCTURE")</f>
        <v/>
      </c>
    </row>
    <row r="111" ht="72" customHeight="1" s="34">
      <c r="A111" s="4" t="inlineStr">
        <is>
          <t>PIP-SIT-C-C2-007</t>
        </is>
      </c>
      <c r="B111" s="4" t="inlineStr">
        <is>
          <t>0.2</t>
        </is>
      </c>
      <c r="C111" s="4" t="inlineStr">
        <is>
          <t>PILOTE</t>
        </is>
      </c>
      <c r="D111" s="4" t="inlineStr">
        <is>
          <t>08/09/2026</t>
        </is>
      </c>
      <c r="E111" s="4" t="inlineStr">
        <is>
          <t>08/09/2026</t>
        </is>
      </c>
      <c r="F111" s="4" t="inlineStr">
        <is>
          <t>SIT</t>
        </is>
      </c>
      <c r="G111" s="4" t="inlineStr">
        <is>
          <t>Situation courte avec enjeu central</t>
        </is>
      </c>
      <c r="H111" s="4" t="inlineStr">
        <is>
          <t>C</t>
        </is>
      </c>
      <c r="I111" s="4" t="inlineStr">
        <is>
          <t>C2</t>
        </is>
      </c>
      <c r="J111" s="6" t="inlineStr">
        <is>
          <t>I</t>
        </is>
      </c>
      <c r="K111" s="6" t="inlineStr">
        <is>
          <t>Reprendre un ensemble d’informations incomplètes et les mettre à jour de manière méthodique.</t>
        </is>
      </c>
      <c r="L111" s="4" t="inlineStr">
        <is>
          <t>Cela ne m’attire pas du tout</t>
        </is>
      </c>
      <c r="M111" s="4" t="inlineStr">
        <is>
          <t>Cela m’attire peu</t>
        </is>
      </c>
      <c r="N111" s="4" t="inlineStr">
        <is>
          <t>Je suis partagé(e) / sans préférence marquée</t>
        </is>
      </c>
      <c r="O111" s="4" t="inlineStr">
        <is>
          <t>Cela m’attire</t>
        </is>
      </c>
      <c r="P111" s="4" t="inlineStr">
        <is>
          <t>Cela m’attire beaucoup</t>
        </is>
      </c>
      <c r="Q111" s="4" t="n">
        <v>1</v>
      </c>
      <c r="R111" s="4" t="n">
        <v>2</v>
      </c>
      <c r="S111" s="4" t="n">
        <v>3</v>
      </c>
      <c r="T111" s="4" t="n">
        <v>4</v>
      </c>
      <c r="U111" s="4" t="n">
        <v>5</v>
      </c>
      <c r="V111" s="6" t="inlineStr">
        <is>
          <t>La formulation cible l’intérêt pour structurer, fiabiliser et suivre méthodiquement. Elle mobilise un comportement caractéristique de la dimension C (Conventionnel) sans demander un niveau de compétence préalable.</t>
        </is>
      </c>
      <c r="W111" s="6" t="inlineStr">
        <is>
          <t>L’item relève de C2 — Enregistrer / saisir / tenir à jour : Consigner, actualiser et maintenir des informations ou enregistrements.</t>
        </is>
      </c>
      <c r="X111" s="6" t="inlineStr">
        <is>
          <t>Revue méthodologique V0.3 : surveiller compréhension du vocabulaire, désirabilité sociale au pilote.</t>
        </is>
      </c>
      <c r="Y111" s="6" t="inlineStr">
        <is>
          <t>FAIBLE</t>
        </is>
      </c>
      <c r="Z111" s="6" t="inlineStr">
        <is>
          <t>FAIBLE</t>
        </is>
      </c>
      <c r="AA111" s="6" t="inlineStr">
        <is>
          <t>FAIBLE</t>
        </is>
      </c>
      <c r="AB111" s="6" t="inlineStr">
        <is>
          <t>FAIBLE</t>
        </is>
      </c>
      <c r="AC111" s="6" t="inlineStr">
        <is>
          <t>MOYEN</t>
        </is>
      </c>
      <c r="AD111" s="6" t="inlineStr">
        <is>
          <t>FAIBLE</t>
        </is>
      </c>
      <c r="AE111" s="6" t="inlineStr">
        <is>
          <t>FAIBLE</t>
        </is>
      </c>
      <c r="AF111" s="6" t="inlineStr">
        <is>
          <t>FAIBLE</t>
        </is>
      </c>
      <c r="AG111" s="6" t="inlineStr">
        <is>
          <t>FAIBLE</t>
        </is>
      </c>
      <c r="AH111" s="6" t="inlineStr">
        <is>
          <t>MOYEN</t>
        </is>
      </c>
      <c r="AI111" s="6" t="inlineStr">
        <is>
          <t>FAIBLE</t>
        </is>
      </c>
      <c r="AJ111" s="4" t="n">
        <v>0</v>
      </c>
      <c r="AK111" s="4" t="n"/>
      <c r="AL111" s="6" t="inlineStr">
        <is>
          <t>RETENU_V0.5_REECRIT_CONCRET</t>
        </is>
      </c>
      <c r="AM111" s="6" t="n"/>
      <c r="AN111" s="4" t="inlineStr">
        <is>
          <t>PIP-BANK-0.3</t>
        </is>
      </c>
      <c r="AO111" s="6" t="inlineStr">
        <is>
          <t>PIP-BANK-0.4</t>
        </is>
      </c>
      <c r="AP111" s="8">
        <f>IF(OR(C111="PILOTE",C111="ACTIF"),IF(AND(A111&lt;&gt;"",H111&lt;&gt;"",I111&lt;&gt;"",K111&lt;&gt;"",V111&lt;&gt;"",W111&lt;&gt;""),"OK","A_COMPLETER"),"OK_STRUCTURE")</f>
        <v/>
      </c>
    </row>
    <row r="112" ht="72" customHeight="1" s="34">
      <c r="A112" s="4" t="inlineStr">
        <is>
          <t>PIP-ENV-C-C2-008</t>
        </is>
      </c>
      <c r="B112" s="4" t="inlineStr">
        <is>
          <t>0.2</t>
        </is>
      </c>
      <c r="C112" s="4" t="inlineStr">
        <is>
          <t>PILOTE</t>
        </is>
      </c>
      <c r="D112" s="4" t="inlineStr">
        <is>
          <t>08/09/2026</t>
        </is>
      </c>
      <c r="E112" s="4" t="inlineStr">
        <is>
          <t>08/09/2026</t>
        </is>
      </c>
      <c r="F112" s="4" t="inlineStr">
        <is>
          <t>ENV</t>
        </is>
      </c>
      <c r="G112" s="4" t="inlineStr">
        <is>
          <t>Contexte décrit par ce qu’il permet de faire</t>
        </is>
      </c>
      <c r="H112" s="4" t="inlineStr">
        <is>
          <t>C</t>
        </is>
      </c>
      <c r="I112" s="4" t="inlineStr">
        <is>
          <t>C2</t>
        </is>
      </c>
      <c r="J112" s="6" t="inlineStr">
        <is>
          <t>I</t>
        </is>
      </c>
      <c r="K112" s="6" t="inlineStr">
        <is>
          <t>Évoluer dans un contexte où la tenue à jour et la traçabilité des informations occupent une place importante.</t>
        </is>
      </c>
      <c r="L112" s="4" t="inlineStr">
        <is>
          <t>Cela ne m’attire pas du tout</t>
        </is>
      </c>
      <c r="M112" s="4" t="inlineStr">
        <is>
          <t>Cela m’attire peu</t>
        </is>
      </c>
      <c r="N112" s="4" t="inlineStr">
        <is>
          <t>Je suis partagé(e) / sans préférence marquée</t>
        </is>
      </c>
      <c r="O112" s="4" t="inlineStr">
        <is>
          <t>Cela m’attire</t>
        </is>
      </c>
      <c r="P112" s="4" t="inlineStr">
        <is>
          <t>Cela m’attire beaucoup</t>
        </is>
      </c>
      <c r="Q112" s="4" t="n">
        <v>1</v>
      </c>
      <c r="R112" s="4" t="n">
        <v>2</v>
      </c>
      <c r="S112" s="4" t="n">
        <v>3</v>
      </c>
      <c r="T112" s="4" t="n">
        <v>4</v>
      </c>
      <c r="U112" s="4" t="n">
        <v>5</v>
      </c>
      <c r="V112" s="6" t="inlineStr">
        <is>
          <t>La formulation cible l’intérêt pour structurer, fiabiliser et suivre méthodiquement. Elle mobilise un comportement caractéristique de la dimension C (Conventionnel) sans demander un niveau de compétence préalable.</t>
        </is>
      </c>
      <c r="W112" s="6" t="inlineStr">
        <is>
          <t>L’item relève de C2 — Enregistrer / saisir / tenir à jour : Consigner, actualiser et maintenir des informations ou enregistrements.</t>
        </is>
      </c>
      <c r="X112" s="6" t="inlineStr">
        <is>
          <t>Revue méthodologique V0.3 : surveiller compréhension du vocabulaire, désirabilité sociale au pilote.</t>
        </is>
      </c>
      <c r="Y112" s="6" t="inlineStr">
        <is>
          <t>FAIBLE</t>
        </is>
      </c>
      <c r="Z112" s="6" t="inlineStr">
        <is>
          <t>FAIBLE</t>
        </is>
      </c>
      <c r="AA112" s="6" t="inlineStr">
        <is>
          <t>FAIBLE</t>
        </is>
      </c>
      <c r="AB112" s="6" t="inlineStr">
        <is>
          <t>FAIBLE</t>
        </is>
      </c>
      <c r="AC112" s="6" t="inlineStr">
        <is>
          <t>MOYEN</t>
        </is>
      </c>
      <c r="AD112" s="6" t="inlineStr">
        <is>
          <t>FAIBLE</t>
        </is>
      </c>
      <c r="AE112" s="6" t="inlineStr">
        <is>
          <t>FAIBLE</t>
        </is>
      </c>
      <c r="AF112" s="6" t="inlineStr">
        <is>
          <t>FAIBLE</t>
        </is>
      </c>
      <c r="AG112" s="6" t="inlineStr">
        <is>
          <t>FAIBLE</t>
        </is>
      </c>
      <c r="AH112" s="6" t="inlineStr">
        <is>
          <t>MOYEN</t>
        </is>
      </c>
      <c r="AI112" s="6" t="inlineStr">
        <is>
          <t>FAIBLE</t>
        </is>
      </c>
      <c r="AJ112" s="4" t="n">
        <v>0</v>
      </c>
      <c r="AK112" s="4" t="n"/>
      <c r="AL112" s="6" t="inlineStr">
        <is>
          <t>RETIRE_BANQUE72_HISTORIQUE_CONSERVE</t>
        </is>
      </c>
      <c r="AM112" s="6" t="inlineStr">
        <is>
          <t>Réduction méthodologique 120→72 : doublon de facette / priorité aux activités professionnelles observables et aux items à plus faible risque.</t>
        </is>
      </c>
      <c r="AN112" s="4" t="inlineStr">
        <is>
          <t>PIP-BANK-0.3</t>
        </is>
      </c>
      <c r="AO112" s="6" t="inlineStr">
        <is>
          <t>PIP-BANK-0.3</t>
        </is>
      </c>
      <c r="AP112" s="8">
        <f>IF(OR(C112="PILOTE",C112="ACTIF"),IF(AND(A112&lt;&gt;"",H112&lt;&gt;"",I112&lt;&gt;"",K112&lt;&gt;"",V112&lt;&gt;"",W112&lt;&gt;""),"OK","A_COMPLETER"),"OK_STRUCTURE")</f>
        <v/>
      </c>
    </row>
    <row r="113" ht="72" customHeight="1" s="34">
      <c r="A113" s="4" t="inlineStr">
        <is>
          <t>PIP-ACT-C-C3-009</t>
        </is>
      </c>
      <c r="B113" s="4" t="inlineStr">
        <is>
          <t>0.2</t>
        </is>
      </c>
      <c r="C113" s="4" t="inlineStr">
        <is>
          <t>PILOTE</t>
        </is>
      </c>
      <c r="D113" s="4" t="inlineStr">
        <is>
          <t>08/09/2026</t>
        </is>
      </c>
      <c r="E113" s="4" t="inlineStr">
        <is>
          <t>08/09/2026</t>
        </is>
      </c>
      <c r="F113" s="4" t="inlineStr">
        <is>
          <t>ACT</t>
        </is>
      </c>
      <c r="G113" s="4" t="inlineStr">
        <is>
          <t>Verbe d’action + objet/contexte</t>
        </is>
      </c>
      <c r="H113" s="4" t="inlineStr">
        <is>
          <t>C</t>
        </is>
      </c>
      <c r="I113" s="4" t="inlineStr">
        <is>
          <t>C3</t>
        </is>
      </c>
      <c r="J113" s="6" t="inlineStr">
        <is>
          <t>I</t>
        </is>
      </c>
      <c r="K113" s="6" t="inlineStr">
        <is>
          <t>Vérifier l’exactitude d’informations avant qu’elles soient utilisées.</t>
        </is>
      </c>
      <c r="L113" s="4" t="inlineStr">
        <is>
          <t>Cela ne m’attire pas du tout</t>
        </is>
      </c>
      <c r="M113" s="4" t="inlineStr">
        <is>
          <t>Cela m’attire peu</t>
        </is>
      </c>
      <c r="N113" s="4" t="inlineStr">
        <is>
          <t>Je suis partagé(e) / sans préférence marquée</t>
        </is>
      </c>
      <c r="O113" s="4" t="inlineStr">
        <is>
          <t>Cela m’attire</t>
        </is>
      </c>
      <c r="P113" s="4" t="inlineStr">
        <is>
          <t>Cela m’attire beaucoup</t>
        </is>
      </c>
      <c r="Q113" s="4" t="n">
        <v>1</v>
      </c>
      <c r="R113" s="4" t="n">
        <v>2</v>
      </c>
      <c r="S113" s="4" t="n">
        <v>3</v>
      </c>
      <c r="T113" s="4" t="n">
        <v>4</v>
      </c>
      <c r="U113" s="4" t="n">
        <v>5</v>
      </c>
      <c r="V113" s="6" t="inlineStr">
        <is>
          <t>La formulation cible l’intérêt pour structurer, fiabiliser et suivre méthodiquement. Elle mobilise un comportement caractéristique de la dimension C (Conventionnel) sans demander un niveau de compétence préalable.</t>
        </is>
      </c>
      <c r="W113" s="6" t="inlineStr">
        <is>
          <t>L’item relève de C3 — Vérifier / contrôler / fiabiliser : Contrôler exactitude, complétude ou conformité et repérer les écarts.</t>
        </is>
      </c>
      <c r="X113" s="6" t="inlineStr">
        <is>
          <t>Revue méthodologique V0.3 : surveiller compréhension du vocabulaire, désirabilité sociale au pilote.</t>
        </is>
      </c>
      <c r="Y113" s="6" t="inlineStr">
        <is>
          <t>FAIBLE</t>
        </is>
      </c>
      <c r="Z113" s="6" t="inlineStr">
        <is>
          <t>FAIBLE</t>
        </is>
      </c>
      <c r="AA113" s="6" t="inlineStr">
        <is>
          <t>FAIBLE</t>
        </is>
      </c>
      <c r="AB113" s="6" t="inlineStr">
        <is>
          <t>FAIBLE</t>
        </is>
      </c>
      <c r="AC113" s="6" t="inlineStr">
        <is>
          <t>MOYEN</t>
        </is>
      </c>
      <c r="AD113" s="6" t="inlineStr">
        <is>
          <t>FAIBLE</t>
        </is>
      </c>
      <c r="AE113" s="6" t="inlineStr">
        <is>
          <t>FAIBLE</t>
        </is>
      </c>
      <c r="AF113" s="6" t="inlineStr">
        <is>
          <t>FAIBLE</t>
        </is>
      </c>
      <c r="AG113" s="6" t="inlineStr">
        <is>
          <t>FAIBLE</t>
        </is>
      </c>
      <c r="AH113" s="6" t="inlineStr">
        <is>
          <t>MOYEN</t>
        </is>
      </c>
      <c r="AI113" s="6" t="inlineStr">
        <is>
          <t>FAIBLE</t>
        </is>
      </c>
      <c r="AJ113" s="4" t="n">
        <v>0</v>
      </c>
      <c r="AK113" s="4" t="n"/>
      <c r="AL113" s="6" t="inlineStr">
        <is>
          <t>RETENU_V0.5_REECRIT_CONCRET</t>
        </is>
      </c>
      <c r="AM113" s="6" t="n"/>
      <c r="AN113" s="4" t="inlineStr">
        <is>
          <t>PIP-BANK-0.3</t>
        </is>
      </c>
      <c r="AO113" s="6" t="inlineStr">
        <is>
          <t>PIP-BANK-0.4</t>
        </is>
      </c>
      <c r="AP113" s="8">
        <f>IF(OR(C113="PILOTE",C113="ACTIF"),IF(AND(A113&lt;&gt;"",H113&lt;&gt;"",I113&lt;&gt;"",K113&lt;&gt;"",V113&lt;&gt;"",W113&lt;&gt;""),"OK","A_COMPLETER"),"OK_STRUCTURE")</f>
        <v/>
      </c>
    </row>
    <row r="114" ht="72" customHeight="1" s="34">
      <c r="A114" s="4" t="inlineStr">
        <is>
          <t>PIP-ACT-C-C3-010</t>
        </is>
      </c>
      <c r="B114" s="4" t="inlineStr">
        <is>
          <t>0.2</t>
        </is>
      </c>
      <c r="C114" s="4" t="inlineStr">
        <is>
          <t>PILOTE</t>
        </is>
      </c>
      <c r="D114" s="4" t="inlineStr">
        <is>
          <t>08/09/2026</t>
        </is>
      </c>
      <c r="E114" s="4" t="inlineStr">
        <is>
          <t>08/09/2026</t>
        </is>
      </c>
      <c r="F114" s="4" t="inlineStr">
        <is>
          <t>ACT</t>
        </is>
      </c>
      <c r="G114" s="4" t="inlineStr">
        <is>
          <t>Verbe d’action + objet/contexte</t>
        </is>
      </c>
      <c r="H114" s="4" t="inlineStr">
        <is>
          <t>C</t>
        </is>
      </c>
      <c r="I114" s="4" t="inlineStr">
        <is>
          <t>C3</t>
        </is>
      </c>
      <c r="J114" s="6" t="inlineStr">
        <is>
          <t>I</t>
        </is>
      </c>
      <c r="K114" s="6" t="inlineStr">
        <is>
          <t>Comparer plusieurs données pour repérer une erreur ou une incohérence.</t>
        </is>
      </c>
      <c r="L114" s="4" t="inlineStr">
        <is>
          <t>Cela ne m’attire pas du tout</t>
        </is>
      </c>
      <c r="M114" s="4" t="inlineStr">
        <is>
          <t>Cela m’attire peu</t>
        </is>
      </c>
      <c r="N114" s="4" t="inlineStr">
        <is>
          <t>Je suis partagé(e) / sans préférence marquée</t>
        </is>
      </c>
      <c r="O114" s="4" t="inlineStr">
        <is>
          <t>Cela m’attire</t>
        </is>
      </c>
      <c r="P114" s="4" t="inlineStr">
        <is>
          <t>Cela m’attire beaucoup</t>
        </is>
      </c>
      <c r="Q114" s="4" t="n">
        <v>1</v>
      </c>
      <c r="R114" s="4" t="n">
        <v>2</v>
      </c>
      <c r="S114" s="4" t="n">
        <v>3</v>
      </c>
      <c r="T114" s="4" t="n">
        <v>4</v>
      </c>
      <c r="U114" s="4" t="n">
        <v>5</v>
      </c>
      <c r="V114" s="6" t="inlineStr">
        <is>
          <t>La formulation cible l’intérêt pour structurer, fiabiliser et suivre méthodiquement. Elle mobilise un comportement caractéristique de la dimension C (Conventionnel) sans demander un niveau de compétence préalable.</t>
        </is>
      </c>
      <c r="W114" s="6" t="inlineStr">
        <is>
          <t>L’item relève de C3 — Vérifier / contrôler / fiabiliser : Contrôler exactitude, complétude ou conformité et repérer les écarts.</t>
        </is>
      </c>
      <c r="X114" s="6" t="inlineStr">
        <is>
          <t>Revue méthodologique V0.3 : surveiller compréhension du vocabulaire, désirabilité sociale, frontière avec I au pilote.</t>
        </is>
      </c>
      <c r="Y114" s="6" t="inlineStr">
        <is>
          <t>FAIBLE</t>
        </is>
      </c>
      <c r="Z114" s="6" t="inlineStr">
        <is>
          <t>FAIBLE</t>
        </is>
      </c>
      <c r="AA114" s="6" t="inlineStr">
        <is>
          <t>FAIBLE</t>
        </is>
      </c>
      <c r="AB114" s="6" t="inlineStr">
        <is>
          <t>FAIBLE</t>
        </is>
      </c>
      <c r="AC114" s="6" t="inlineStr">
        <is>
          <t>MOYEN</t>
        </is>
      </c>
      <c r="AD114" s="6" t="inlineStr">
        <is>
          <t>FAIBLE</t>
        </is>
      </c>
      <c r="AE114" s="6" t="inlineStr">
        <is>
          <t>FAIBLE</t>
        </is>
      </c>
      <c r="AF114" s="6" t="inlineStr">
        <is>
          <t>FAIBLE</t>
        </is>
      </c>
      <c r="AG114" s="6" t="inlineStr">
        <is>
          <t>FAIBLE</t>
        </is>
      </c>
      <c r="AH114" s="6" t="inlineStr">
        <is>
          <t>MOYEN</t>
        </is>
      </c>
      <c r="AI114" s="6" t="inlineStr">
        <is>
          <t>MOYEN</t>
        </is>
      </c>
      <c r="AJ114" s="4" t="n">
        <v>0</v>
      </c>
      <c r="AK114" s="4" t="n"/>
      <c r="AL114" s="6" t="inlineStr">
        <is>
          <t>RETENU_V0.5_REECRIT_CONCRET</t>
        </is>
      </c>
      <c r="AM114" s="6" t="n"/>
      <c r="AN114" s="4" t="inlineStr">
        <is>
          <t>PIP-BANK-0.3</t>
        </is>
      </c>
      <c r="AO114" s="6" t="inlineStr">
        <is>
          <t>PIP-BANK-0.4</t>
        </is>
      </c>
      <c r="AP114" s="8">
        <f>IF(OR(C114="PILOTE",C114="ACTIF"),IF(AND(A114&lt;&gt;"",H114&lt;&gt;"",I114&lt;&gt;"",K114&lt;&gt;"",V114&lt;&gt;"",W114&lt;&gt;""),"OK","A_COMPLETER"),"OK_STRUCTURE")</f>
        <v/>
      </c>
    </row>
    <row r="115" ht="72" customHeight="1" s="34">
      <c r="A115" s="4" t="inlineStr">
        <is>
          <t>PIP-SIT-C-C3-011</t>
        </is>
      </c>
      <c r="B115" s="4" t="inlineStr">
        <is>
          <t>0.2</t>
        </is>
      </c>
      <c r="C115" s="4" t="inlineStr">
        <is>
          <t>PILOTE</t>
        </is>
      </c>
      <c r="D115" s="4" t="inlineStr">
        <is>
          <t>08/09/2026</t>
        </is>
      </c>
      <c r="E115" s="4" t="inlineStr">
        <is>
          <t>08/09/2026</t>
        </is>
      </c>
      <c r="F115" s="4" t="inlineStr">
        <is>
          <t>SIT</t>
        </is>
      </c>
      <c r="G115" s="4" t="inlineStr">
        <is>
          <t>Situation courte avec enjeu central</t>
        </is>
      </c>
      <c r="H115" s="4" t="inlineStr">
        <is>
          <t>C</t>
        </is>
      </c>
      <c r="I115" s="4" t="inlineStr">
        <is>
          <t>C3</t>
        </is>
      </c>
      <c r="J115" s="6" t="inlineStr">
        <is>
          <t>I</t>
        </is>
      </c>
      <c r="K115" s="6" t="inlineStr">
        <is>
          <t>Contrôler un dossier afin de s’assurer que toutes les informations nécessaires sont présentes et exactes.</t>
        </is>
      </c>
      <c r="L115" s="4" t="inlineStr">
        <is>
          <t>Cela ne m’attire pas du tout</t>
        </is>
      </c>
      <c r="M115" s="4" t="inlineStr">
        <is>
          <t>Cela m’attire peu</t>
        </is>
      </c>
      <c r="N115" s="4" t="inlineStr">
        <is>
          <t>Je suis partagé(e) / sans préférence marquée</t>
        </is>
      </c>
      <c r="O115" s="4" t="inlineStr">
        <is>
          <t>Cela m’attire</t>
        </is>
      </c>
      <c r="P115" s="4" t="inlineStr">
        <is>
          <t>Cela m’attire beaucoup</t>
        </is>
      </c>
      <c r="Q115" s="4" t="n">
        <v>1</v>
      </c>
      <c r="R115" s="4" t="n">
        <v>2</v>
      </c>
      <c r="S115" s="4" t="n">
        <v>3</v>
      </c>
      <c r="T115" s="4" t="n">
        <v>4</v>
      </c>
      <c r="U115" s="4" t="n">
        <v>5</v>
      </c>
      <c r="V115" s="6" t="inlineStr">
        <is>
          <t>La formulation cible l’intérêt pour structurer, fiabiliser et suivre méthodiquement. Elle mobilise un comportement caractéristique de la dimension C (Conventionnel) sans demander un niveau de compétence préalable.</t>
        </is>
      </c>
      <c r="W115" s="6" t="inlineStr">
        <is>
          <t>L’item relève de C3 — Vérifier / contrôler / fiabiliser : Contrôler exactitude, complétude ou conformité et repérer les écarts.</t>
        </is>
      </c>
      <c r="X115" s="6" t="inlineStr">
        <is>
          <t>Revue méthodologique V0.3 : surveiller compréhension du vocabulaire, familiarité avec le contexte professionnel, désirabilité sociale au pilote.</t>
        </is>
      </c>
      <c r="Y115" s="6" t="inlineStr">
        <is>
          <t>FAIBLE</t>
        </is>
      </c>
      <c r="Z115" s="6" t="inlineStr">
        <is>
          <t>FAIBLE</t>
        </is>
      </c>
      <c r="AA115" s="6" t="inlineStr">
        <is>
          <t>FAIBLE</t>
        </is>
      </c>
      <c r="AB115" s="6" t="inlineStr">
        <is>
          <t>FAIBLE</t>
        </is>
      </c>
      <c r="AC115" s="6" t="inlineStr">
        <is>
          <t>MOYEN</t>
        </is>
      </c>
      <c r="AD115" s="6" t="inlineStr">
        <is>
          <t>FAIBLE</t>
        </is>
      </c>
      <c r="AE115" s="6" t="inlineStr">
        <is>
          <t>FAIBLE</t>
        </is>
      </c>
      <c r="AF115" s="6" t="inlineStr">
        <is>
          <t>FAIBLE</t>
        </is>
      </c>
      <c r="AG115" s="6" t="inlineStr">
        <is>
          <t>MOYEN</t>
        </is>
      </c>
      <c r="AH115" s="6" t="inlineStr">
        <is>
          <t>MOYEN</t>
        </is>
      </c>
      <c r="AI115" s="6" t="inlineStr">
        <is>
          <t>FAIBLE</t>
        </is>
      </c>
      <c r="AJ115" s="4" t="n">
        <v>0</v>
      </c>
      <c r="AK115" s="4" t="n"/>
      <c r="AL115" s="6" t="inlineStr">
        <is>
          <t>RETIRE_BANQUE72_HISTORIQUE_CONSERVE</t>
        </is>
      </c>
      <c r="AM115" s="6" t="inlineStr">
        <is>
          <t>Réduction méthodologique 120→72 : doublon de facette / priorité aux activités professionnelles observables et aux items à plus faible risque.</t>
        </is>
      </c>
      <c r="AN115" s="4" t="inlineStr">
        <is>
          <t>PIP-BANK-0.3</t>
        </is>
      </c>
      <c r="AO115" s="6" t="inlineStr">
        <is>
          <t>PIP-BANK-0.3</t>
        </is>
      </c>
      <c r="AP115" s="8">
        <f>IF(OR(C115="PILOTE",C115="ACTIF"),IF(AND(A115&lt;&gt;"",H115&lt;&gt;"",I115&lt;&gt;"",K115&lt;&gt;"",V115&lt;&gt;"",W115&lt;&gt;""),"OK","A_COMPLETER"),"OK_STRUCTURE")</f>
        <v/>
      </c>
    </row>
    <row r="116" ht="72" customHeight="1" s="34">
      <c r="A116" s="4" t="inlineStr">
        <is>
          <t>PIP-ENV-C-C3-012</t>
        </is>
      </c>
      <c r="B116" s="4" t="inlineStr">
        <is>
          <t>0.2</t>
        </is>
      </c>
      <c r="C116" s="4" t="inlineStr">
        <is>
          <t>PILOTE</t>
        </is>
      </c>
      <c r="D116" s="4" t="inlineStr">
        <is>
          <t>08/09/2026</t>
        </is>
      </c>
      <c r="E116" s="4" t="inlineStr">
        <is>
          <t>08/09/2026</t>
        </is>
      </c>
      <c r="F116" s="4" t="inlineStr">
        <is>
          <t>ENV</t>
        </is>
      </c>
      <c r="G116" s="4" t="inlineStr">
        <is>
          <t>Contexte décrit par ce qu’il permet de faire</t>
        </is>
      </c>
      <c r="H116" s="4" t="inlineStr">
        <is>
          <t>C</t>
        </is>
      </c>
      <c r="I116" s="4" t="inlineStr">
        <is>
          <t>C3</t>
        </is>
      </c>
      <c r="J116" s="6" t="inlineStr">
        <is>
          <t>I</t>
        </is>
      </c>
      <c r="K116" s="6" t="inlineStr">
        <is>
          <t>Travailler dans un contexte où la fiabilité des données et les vérifications régulières sont importantes.</t>
        </is>
      </c>
      <c r="L116" s="4" t="inlineStr">
        <is>
          <t>Cela ne m’attire pas du tout</t>
        </is>
      </c>
      <c r="M116" s="4" t="inlineStr">
        <is>
          <t>Cela m’attire peu</t>
        </is>
      </c>
      <c r="N116" s="4" t="inlineStr">
        <is>
          <t>Je suis partagé(e) / sans préférence marquée</t>
        </is>
      </c>
      <c r="O116" s="4" t="inlineStr">
        <is>
          <t>Cela m’attire</t>
        </is>
      </c>
      <c r="P116" s="4" t="inlineStr">
        <is>
          <t>Cela m’attire beaucoup</t>
        </is>
      </c>
      <c r="Q116" s="4" t="n">
        <v>1</v>
      </c>
      <c r="R116" s="4" t="n">
        <v>2</v>
      </c>
      <c r="S116" s="4" t="n">
        <v>3</v>
      </c>
      <c r="T116" s="4" t="n">
        <v>4</v>
      </c>
      <c r="U116" s="4" t="n">
        <v>5</v>
      </c>
      <c r="V116" s="6" t="inlineStr">
        <is>
          <t>La formulation cible l’intérêt pour structurer, fiabiliser et suivre méthodiquement. Elle mobilise un comportement caractéristique de la dimension C (Conventionnel) sans demander un niveau de compétence préalable.</t>
        </is>
      </c>
      <c r="W116" s="6" t="inlineStr">
        <is>
          <t>L’item relève de C3 — Vérifier / contrôler / fiabiliser : Contrôler exactitude, complétude ou conformité et repérer les écarts.</t>
        </is>
      </c>
      <c r="X116" s="6" t="inlineStr">
        <is>
          <t>Revue méthodologique V0.3 : surveiller compréhension du vocabulaire, désirabilité sociale au pilote.</t>
        </is>
      </c>
      <c r="Y116" s="6" t="inlineStr">
        <is>
          <t>FAIBLE</t>
        </is>
      </c>
      <c r="Z116" s="6" t="inlineStr">
        <is>
          <t>FAIBLE</t>
        </is>
      </c>
      <c r="AA116" s="6" t="inlineStr">
        <is>
          <t>FAIBLE</t>
        </is>
      </c>
      <c r="AB116" s="6" t="inlineStr">
        <is>
          <t>FAIBLE</t>
        </is>
      </c>
      <c r="AC116" s="6" t="inlineStr">
        <is>
          <t>MOYEN</t>
        </is>
      </c>
      <c r="AD116" s="6" t="inlineStr">
        <is>
          <t>FAIBLE</t>
        </is>
      </c>
      <c r="AE116" s="6" t="inlineStr">
        <is>
          <t>FAIBLE</t>
        </is>
      </c>
      <c r="AF116" s="6" t="inlineStr">
        <is>
          <t>FAIBLE</t>
        </is>
      </c>
      <c r="AG116" s="6" t="inlineStr">
        <is>
          <t>FAIBLE</t>
        </is>
      </c>
      <c r="AH116" s="6" t="inlineStr">
        <is>
          <t>MOYEN</t>
        </is>
      </c>
      <c r="AI116" s="6" t="inlineStr">
        <is>
          <t>FAIBLE</t>
        </is>
      </c>
      <c r="AJ116" s="4" t="n">
        <v>0</v>
      </c>
      <c r="AK116" s="4" t="n"/>
      <c r="AL116" s="6" t="inlineStr">
        <is>
          <t>RETIRE_BANQUE72_HISTORIQUE_CONSERVE</t>
        </is>
      </c>
      <c r="AM116" s="6" t="inlineStr">
        <is>
          <t>Réduction méthodologique 120→72 : doublon de facette / priorité aux activités professionnelles observables et aux items à plus faible risque.</t>
        </is>
      </c>
      <c r="AN116" s="4" t="inlineStr">
        <is>
          <t>PIP-BANK-0.3</t>
        </is>
      </c>
      <c r="AO116" s="6" t="inlineStr">
        <is>
          <t>PIP-BANK-0.3</t>
        </is>
      </c>
      <c r="AP116" s="8">
        <f>IF(OR(C116="PILOTE",C116="ACTIF"),IF(AND(A116&lt;&gt;"",H116&lt;&gt;"",I116&lt;&gt;"",K116&lt;&gt;"",V116&lt;&gt;"",W116&lt;&gt;""),"OK","A_COMPLETER"),"OK_STRUCTURE")</f>
        <v/>
      </c>
    </row>
    <row r="117" ht="72" customHeight="1" s="34">
      <c r="A117" s="4" t="inlineStr">
        <is>
          <t>PIP-ACT-C-C4-013</t>
        </is>
      </c>
      <c r="B117" s="4" t="inlineStr">
        <is>
          <t>0.2</t>
        </is>
      </c>
      <c r="C117" s="4" t="inlineStr">
        <is>
          <t>PILOTE</t>
        </is>
      </c>
      <c r="D117" s="4" t="inlineStr">
        <is>
          <t>08/09/2026</t>
        </is>
      </c>
      <c r="E117" s="4" t="inlineStr">
        <is>
          <t>08/09/2026</t>
        </is>
      </c>
      <c r="F117" s="4" t="inlineStr">
        <is>
          <t>ACT</t>
        </is>
      </c>
      <c r="G117" s="4" t="inlineStr">
        <is>
          <t>Verbe d’action + objet/contexte</t>
        </is>
      </c>
      <c r="H117" s="4" t="inlineStr">
        <is>
          <t>C</t>
        </is>
      </c>
      <c r="I117" s="4" t="inlineStr">
        <is>
          <t>C4</t>
        </is>
      </c>
      <c r="J117" s="6" t="inlineStr">
        <is>
          <t>R,I</t>
        </is>
      </c>
      <c r="K117" s="6" t="inlineStr">
        <is>
          <t>Suivre une procédure définie pour réaliser une opération de façon conforme.</t>
        </is>
      </c>
      <c r="L117" s="4" t="inlineStr">
        <is>
          <t>Cela ne m’attire pas du tout</t>
        </is>
      </c>
      <c r="M117" s="4" t="inlineStr">
        <is>
          <t>Cela m’attire peu</t>
        </is>
      </c>
      <c r="N117" s="4" t="inlineStr">
        <is>
          <t>Je suis partagé(e) / sans préférence marquée</t>
        </is>
      </c>
      <c r="O117" s="4" t="inlineStr">
        <is>
          <t>Cela m’attire</t>
        </is>
      </c>
      <c r="P117" s="4" t="inlineStr">
        <is>
          <t>Cela m’attire beaucoup</t>
        </is>
      </c>
      <c r="Q117" s="4" t="n">
        <v>1</v>
      </c>
      <c r="R117" s="4" t="n">
        <v>2</v>
      </c>
      <c r="S117" s="4" t="n">
        <v>3</v>
      </c>
      <c r="T117" s="4" t="n">
        <v>4</v>
      </c>
      <c r="U117" s="4" t="n">
        <v>5</v>
      </c>
      <c r="V117" s="6" t="inlineStr">
        <is>
          <t>La formulation cible l’intérêt pour structurer, fiabiliser et suivre méthodiquement. Elle mobilise un comportement caractéristique de la dimension C (Conventionnel) sans demander un niveau de compétence préalable.</t>
        </is>
      </c>
      <c r="W117" s="6" t="inlineStr">
        <is>
          <t>L’item relève de C4 — Appliquer règles / procédures / conformité : Travailler dans un cadre explicite où règles, procédures ou normes sécurisent le résultat.</t>
        </is>
      </c>
      <c r="X117" s="6" t="inlineStr">
        <is>
          <t>Revue méthodologique V0.3 : surveiller compréhension du vocabulaire, familiarité avec le contexte professionnel, désirabilité sociale au pilote.</t>
        </is>
      </c>
      <c r="Y117" s="6" t="inlineStr">
        <is>
          <t>FAIBLE</t>
        </is>
      </c>
      <c r="Z117" s="6" t="inlineStr">
        <is>
          <t>FAIBLE</t>
        </is>
      </c>
      <c r="AA117" s="6" t="inlineStr">
        <is>
          <t>FAIBLE</t>
        </is>
      </c>
      <c r="AB117" s="6" t="inlineStr">
        <is>
          <t>FAIBLE</t>
        </is>
      </c>
      <c r="AC117" s="6" t="inlineStr">
        <is>
          <t>MOYEN</t>
        </is>
      </c>
      <c r="AD117" s="6" t="inlineStr">
        <is>
          <t>FAIBLE</t>
        </is>
      </c>
      <c r="AE117" s="6" t="inlineStr">
        <is>
          <t>FAIBLE</t>
        </is>
      </c>
      <c r="AF117" s="6" t="inlineStr">
        <is>
          <t>FAIBLE</t>
        </is>
      </c>
      <c r="AG117" s="6" t="inlineStr">
        <is>
          <t>MOYEN</t>
        </is>
      </c>
      <c r="AH117" s="6" t="inlineStr">
        <is>
          <t>MOYEN</t>
        </is>
      </c>
      <c r="AI117" s="6" t="inlineStr">
        <is>
          <t>FAIBLE</t>
        </is>
      </c>
      <c r="AJ117" s="4" t="n">
        <v>0</v>
      </c>
      <c r="AK117" s="4" t="n"/>
      <c r="AL117" s="6" t="inlineStr">
        <is>
          <t>RETENU_V0.5_REECRIT_CONCRET</t>
        </is>
      </c>
      <c r="AM117" s="6" t="n"/>
      <c r="AN117" s="4" t="inlineStr">
        <is>
          <t>PIP-BANK-0.3</t>
        </is>
      </c>
      <c r="AO117" s="6" t="inlineStr">
        <is>
          <t>PIP-BANK-0.4</t>
        </is>
      </c>
      <c r="AP117" s="8">
        <f>IF(OR(C117="PILOTE",C117="ACTIF"),IF(AND(A117&lt;&gt;"",H117&lt;&gt;"",I117&lt;&gt;"",K117&lt;&gt;"",V117&lt;&gt;"",W117&lt;&gt;""),"OK","A_COMPLETER"),"OK_STRUCTURE")</f>
        <v/>
      </c>
    </row>
    <row r="118" ht="72" customHeight="1" s="34">
      <c r="A118" s="4" t="inlineStr">
        <is>
          <t>PIP-ACT-C-C4-014</t>
        </is>
      </c>
      <c r="B118" s="4" t="inlineStr">
        <is>
          <t>0.2</t>
        </is>
      </c>
      <c r="C118" s="4" t="inlineStr">
        <is>
          <t>PILOTE</t>
        </is>
      </c>
      <c r="D118" s="4" t="inlineStr">
        <is>
          <t>08/09/2026</t>
        </is>
      </c>
      <c r="E118" s="4" t="inlineStr">
        <is>
          <t>08/09/2026</t>
        </is>
      </c>
      <c r="F118" s="4" t="inlineStr">
        <is>
          <t>ACT</t>
        </is>
      </c>
      <c r="G118" s="4" t="inlineStr">
        <is>
          <t>Verbe d’action + objet/contexte</t>
        </is>
      </c>
      <c r="H118" s="4" t="inlineStr">
        <is>
          <t>C</t>
        </is>
      </c>
      <c r="I118" s="4" t="inlineStr">
        <is>
          <t>C4</t>
        </is>
      </c>
      <c r="J118" s="6" t="inlineStr">
        <is>
          <t>R,I</t>
        </is>
      </c>
      <c r="K118" s="6" t="inlineStr">
        <is>
          <t>Vérifier qu’une activité respecte des règles ou des critères précis.</t>
        </is>
      </c>
      <c r="L118" s="4" t="inlineStr">
        <is>
          <t>Cela ne m’attire pas du tout</t>
        </is>
      </c>
      <c r="M118" s="4" t="inlineStr">
        <is>
          <t>Cela m’attire peu</t>
        </is>
      </c>
      <c r="N118" s="4" t="inlineStr">
        <is>
          <t>Je suis partagé(e) / sans préférence marquée</t>
        </is>
      </c>
      <c r="O118" s="4" t="inlineStr">
        <is>
          <t>Cela m’attire</t>
        </is>
      </c>
      <c r="P118" s="4" t="inlineStr">
        <is>
          <t>Cela m’attire beaucoup</t>
        </is>
      </c>
      <c r="Q118" s="4" t="n">
        <v>1</v>
      </c>
      <c r="R118" s="4" t="n">
        <v>2</v>
      </c>
      <c r="S118" s="4" t="n">
        <v>3</v>
      </c>
      <c r="T118" s="4" t="n">
        <v>4</v>
      </c>
      <c r="U118" s="4" t="n">
        <v>5</v>
      </c>
      <c r="V118" s="6" t="inlineStr">
        <is>
          <t>La formulation cible l’intérêt pour structurer, fiabiliser et suivre méthodiquement. Elle mobilise un comportement caractéristique de la dimension C (Conventionnel) sans demander un niveau de compétence préalable.</t>
        </is>
      </c>
      <c r="W118" s="6" t="inlineStr">
        <is>
          <t>L’item relève de C4 — Appliquer règles / procédures / conformité : Travailler dans un cadre explicite où règles, procédures ou normes sécurisent le résultat.</t>
        </is>
      </c>
      <c r="X118" s="6" t="inlineStr">
        <is>
          <t>Revue méthodologique V0.3 : surveiller compréhension du vocabulaire, désirabilité sociale au pilote.</t>
        </is>
      </c>
      <c r="Y118" s="6" t="inlineStr">
        <is>
          <t>FAIBLE</t>
        </is>
      </c>
      <c r="Z118" s="6" t="inlineStr">
        <is>
          <t>FAIBLE</t>
        </is>
      </c>
      <c r="AA118" s="6" t="inlineStr">
        <is>
          <t>FAIBLE</t>
        </is>
      </c>
      <c r="AB118" s="6" t="inlineStr">
        <is>
          <t>FAIBLE</t>
        </is>
      </c>
      <c r="AC118" s="6" t="inlineStr">
        <is>
          <t>MOYEN</t>
        </is>
      </c>
      <c r="AD118" s="6" t="inlineStr">
        <is>
          <t>FAIBLE</t>
        </is>
      </c>
      <c r="AE118" s="6" t="inlineStr">
        <is>
          <t>FAIBLE</t>
        </is>
      </c>
      <c r="AF118" s="6" t="inlineStr">
        <is>
          <t>FAIBLE</t>
        </is>
      </c>
      <c r="AG118" s="6" t="inlineStr">
        <is>
          <t>FAIBLE</t>
        </is>
      </c>
      <c r="AH118" s="6" t="inlineStr">
        <is>
          <t>MOYEN</t>
        </is>
      </c>
      <c r="AI118" s="6" t="inlineStr">
        <is>
          <t>FAIBLE</t>
        </is>
      </c>
      <c r="AJ118" s="4" t="n">
        <v>0</v>
      </c>
      <c r="AK118" s="4" t="n"/>
      <c r="AL118" s="6" t="inlineStr">
        <is>
          <t>RETENU_V0.5_REECRIT_CONCRET</t>
        </is>
      </c>
      <c r="AM118" s="6" t="n"/>
      <c r="AN118" s="4" t="inlineStr">
        <is>
          <t>PIP-BANK-0.3</t>
        </is>
      </c>
      <c r="AO118" s="6" t="inlineStr">
        <is>
          <t>PIP-BANK-0.4</t>
        </is>
      </c>
      <c r="AP118" s="8">
        <f>IF(OR(C118="PILOTE",C118="ACTIF"),IF(AND(A118&lt;&gt;"",H118&lt;&gt;"",I118&lt;&gt;"",K118&lt;&gt;"",V118&lt;&gt;"",W118&lt;&gt;""),"OK","A_COMPLETER"),"OK_STRUCTURE")</f>
        <v/>
      </c>
    </row>
    <row r="119" ht="72" customHeight="1" s="34">
      <c r="A119" s="4" t="inlineStr">
        <is>
          <t>PIP-SIT-C-C4-015</t>
        </is>
      </c>
      <c r="B119" s="4" t="inlineStr">
        <is>
          <t>0.2</t>
        </is>
      </c>
      <c r="C119" s="4" t="inlineStr">
        <is>
          <t>PILOTE</t>
        </is>
      </c>
      <c r="D119" s="4" t="inlineStr">
        <is>
          <t>08/09/2026</t>
        </is>
      </c>
      <c r="E119" s="4" t="inlineStr">
        <is>
          <t>08/09/2026</t>
        </is>
      </c>
      <c r="F119" s="4" t="inlineStr">
        <is>
          <t>SIT</t>
        </is>
      </c>
      <c r="G119" s="4" t="inlineStr">
        <is>
          <t>Situation courte avec enjeu central</t>
        </is>
      </c>
      <c r="H119" s="4" t="inlineStr">
        <is>
          <t>C</t>
        </is>
      </c>
      <c r="I119" s="4" t="inlineStr">
        <is>
          <t>C4</t>
        </is>
      </c>
      <c r="J119" s="6" t="inlineStr">
        <is>
          <t>R,I</t>
        </is>
      </c>
      <c r="K119" s="6" t="inlineStr">
        <is>
          <t>Traiter une situation en appliquant méthodiquement les règles prévues pour ce type de cas.</t>
        </is>
      </c>
      <c r="L119" s="4" t="inlineStr">
        <is>
          <t>Cela ne m’attire pas du tout</t>
        </is>
      </c>
      <c r="M119" s="4" t="inlineStr">
        <is>
          <t>Cela m’attire peu</t>
        </is>
      </c>
      <c r="N119" s="4" t="inlineStr">
        <is>
          <t>Je suis partagé(e) / sans préférence marquée</t>
        </is>
      </c>
      <c r="O119" s="4" t="inlineStr">
        <is>
          <t>Cela m’attire</t>
        </is>
      </c>
      <c r="P119" s="4" t="inlineStr">
        <is>
          <t>Cela m’attire beaucoup</t>
        </is>
      </c>
      <c r="Q119" s="4" t="n">
        <v>1</v>
      </c>
      <c r="R119" s="4" t="n">
        <v>2</v>
      </c>
      <c r="S119" s="4" t="n">
        <v>3</v>
      </c>
      <c r="T119" s="4" t="n">
        <v>4</v>
      </c>
      <c r="U119" s="4" t="n">
        <v>5</v>
      </c>
      <c r="V119" s="6" t="inlineStr">
        <is>
          <t>La formulation cible l’intérêt pour structurer, fiabiliser et suivre méthodiquement. Elle mobilise un comportement caractéristique de la dimension C (Conventionnel) sans demander un niveau de compétence préalable.</t>
        </is>
      </c>
      <c r="W119" s="6" t="inlineStr">
        <is>
          <t>L’item relève de C4 — Appliquer règles / procédures / conformité : Travailler dans un cadre explicite où règles, procédures ou normes sécurisent le résultat.</t>
        </is>
      </c>
      <c r="X119" s="6" t="inlineStr">
        <is>
          <t>Revue méthodologique V0.3 : surveiller compréhension du vocabulaire, désirabilité sociale au pilote.</t>
        </is>
      </c>
      <c r="Y119" s="6" t="inlineStr">
        <is>
          <t>FAIBLE</t>
        </is>
      </c>
      <c r="Z119" s="6" t="inlineStr">
        <is>
          <t>FAIBLE</t>
        </is>
      </c>
      <c r="AA119" s="6" t="inlineStr">
        <is>
          <t>FAIBLE</t>
        </is>
      </c>
      <c r="AB119" s="6" t="inlineStr">
        <is>
          <t>FAIBLE</t>
        </is>
      </c>
      <c r="AC119" s="6" t="inlineStr">
        <is>
          <t>MOYEN</t>
        </is>
      </c>
      <c r="AD119" s="6" t="inlineStr">
        <is>
          <t>FAIBLE</t>
        </is>
      </c>
      <c r="AE119" s="6" t="inlineStr">
        <is>
          <t>FAIBLE</t>
        </is>
      </c>
      <c r="AF119" s="6" t="inlineStr">
        <is>
          <t>FAIBLE</t>
        </is>
      </c>
      <c r="AG119" s="6" t="inlineStr">
        <is>
          <t>FAIBLE</t>
        </is>
      </c>
      <c r="AH119" s="6" t="inlineStr">
        <is>
          <t>MOYEN</t>
        </is>
      </c>
      <c r="AI119" s="6" t="inlineStr">
        <is>
          <t>FAIBLE</t>
        </is>
      </c>
      <c r="AJ119" s="4" t="n">
        <v>0</v>
      </c>
      <c r="AK119" s="4" t="n"/>
      <c r="AL119" s="6" t="inlineStr">
        <is>
          <t>RETIRE_BANQUE72_HISTORIQUE_CONSERVE</t>
        </is>
      </c>
      <c r="AM119" s="6" t="inlineStr">
        <is>
          <t>Réduction méthodologique 120→72 : doublon de facette / priorité aux activités professionnelles observables et aux items à plus faible risque.</t>
        </is>
      </c>
      <c r="AN119" s="4" t="inlineStr">
        <is>
          <t>PIP-BANK-0.3</t>
        </is>
      </c>
      <c r="AO119" s="6" t="inlineStr">
        <is>
          <t>PIP-BANK-0.3</t>
        </is>
      </c>
      <c r="AP119" s="8">
        <f>IF(OR(C119="PILOTE",C119="ACTIF"),IF(AND(A119&lt;&gt;"",H119&lt;&gt;"",I119&lt;&gt;"",K119&lt;&gt;"",V119&lt;&gt;"",W119&lt;&gt;""),"OK","A_COMPLETER"),"OK_STRUCTURE")</f>
        <v/>
      </c>
    </row>
    <row r="120" ht="72" customHeight="1" s="34">
      <c r="A120" s="4" t="inlineStr">
        <is>
          <t>PIP-ENV-C-C4-016</t>
        </is>
      </c>
      <c r="B120" s="4" t="inlineStr">
        <is>
          <t>0.2</t>
        </is>
      </c>
      <c r="C120" s="4" t="inlineStr">
        <is>
          <t>PILOTE</t>
        </is>
      </c>
      <c r="D120" s="4" t="inlineStr">
        <is>
          <t>08/09/2026</t>
        </is>
      </c>
      <c r="E120" s="4" t="inlineStr">
        <is>
          <t>08/09/2026</t>
        </is>
      </c>
      <c r="F120" s="4" t="inlineStr">
        <is>
          <t>ENV</t>
        </is>
      </c>
      <c r="G120" s="4" t="inlineStr">
        <is>
          <t>Contexte décrit par ce qu’il permet de faire</t>
        </is>
      </c>
      <c r="H120" s="4" t="inlineStr">
        <is>
          <t>C</t>
        </is>
      </c>
      <c r="I120" s="4" t="inlineStr">
        <is>
          <t>C4</t>
        </is>
      </c>
      <c r="J120" s="6" t="inlineStr">
        <is>
          <t>R,I</t>
        </is>
      </c>
      <c r="K120" s="6" t="inlineStr">
        <is>
          <t>Évoluer dans un contexte où des procédures et des normes claires permettent de sécuriser le travail.</t>
        </is>
      </c>
      <c r="L120" s="4" t="inlineStr">
        <is>
          <t>Cela ne m’attire pas du tout</t>
        </is>
      </c>
      <c r="M120" s="4" t="inlineStr">
        <is>
          <t>Cela m’attire peu</t>
        </is>
      </c>
      <c r="N120" s="4" t="inlineStr">
        <is>
          <t>Je suis partagé(e) / sans préférence marquée</t>
        </is>
      </c>
      <c r="O120" s="4" t="inlineStr">
        <is>
          <t>Cela m’attire</t>
        </is>
      </c>
      <c r="P120" s="4" t="inlineStr">
        <is>
          <t>Cela m’attire beaucoup</t>
        </is>
      </c>
      <c r="Q120" s="4" t="n">
        <v>1</v>
      </c>
      <c r="R120" s="4" t="n">
        <v>2</v>
      </c>
      <c r="S120" s="4" t="n">
        <v>3</v>
      </c>
      <c r="T120" s="4" t="n">
        <v>4</v>
      </c>
      <c r="U120" s="4" t="n">
        <v>5</v>
      </c>
      <c r="V120" s="6" t="inlineStr">
        <is>
          <t>La formulation cible l’intérêt pour structurer, fiabiliser et suivre méthodiquement. Elle mobilise un comportement caractéristique de la dimension C (Conventionnel) sans demander un niveau de compétence préalable.</t>
        </is>
      </c>
      <c r="W120" s="6" t="inlineStr">
        <is>
          <t>L’item relève de C4 — Appliquer règles / procédures / conformité : Travailler dans un cadre explicite où règles, procédures ou normes sécurisent le résultat.</t>
        </is>
      </c>
      <c r="X120" s="6" t="inlineStr">
        <is>
          <t>Revue méthodologique V0.3 : surveiller compréhension du vocabulaire, familiarité avec le contexte professionnel, désirabilité sociale au pilote.</t>
        </is>
      </c>
      <c r="Y120" s="6" t="inlineStr">
        <is>
          <t>FAIBLE</t>
        </is>
      </c>
      <c r="Z120" s="6" t="inlineStr">
        <is>
          <t>FAIBLE</t>
        </is>
      </c>
      <c r="AA120" s="6" t="inlineStr">
        <is>
          <t>FAIBLE</t>
        </is>
      </c>
      <c r="AB120" s="6" t="inlineStr">
        <is>
          <t>FAIBLE</t>
        </is>
      </c>
      <c r="AC120" s="6" t="inlineStr">
        <is>
          <t>MOYEN</t>
        </is>
      </c>
      <c r="AD120" s="6" t="inlineStr">
        <is>
          <t>FAIBLE</t>
        </is>
      </c>
      <c r="AE120" s="6" t="inlineStr">
        <is>
          <t>FAIBLE</t>
        </is>
      </c>
      <c r="AF120" s="6" t="inlineStr">
        <is>
          <t>FAIBLE</t>
        </is>
      </c>
      <c r="AG120" s="6" t="inlineStr">
        <is>
          <t>MOYEN</t>
        </is>
      </c>
      <c r="AH120" s="6" t="inlineStr">
        <is>
          <t>MOYEN</t>
        </is>
      </c>
      <c r="AI120" s="6" t="inlineStr">
        <is>
          <t>FAIBLE</t>
        </is>
      </c>
      <c r="AJ120" s="4" t="n">
        <v>0</v>
      </c>
      <c r="AK120" s="4" t="n"/>
      <c r="AL120" s="6" t="inlineStr">
        <is>
          <t>RETIRE_BANQUE72_HISTORIQUE_CONSERVE</t>
        </is>
      </c>
      <c r="AM120" s="6" t="inlineStr">
        <is>
          <t>Réduction méthodologique 120→72 : doublon de facette / priorité aux activités professionnelles observables et aux items à plus faible risque.</t>
        </is>
      </c>
      <c r="AN120" s="4" t="inlineStr">
        <is>
          <t>PIP-BANK-0.3</t>
        </is>
      </c>
      <c r="AO120" s="6" t="inlineStr">
        <is>
          <t>PIP-BANK-0.3</t>
        </is>
      </c>
      <c r="AP120" s="8">
        <f>IF(OR(C120="PILOTE",C120="ACTIF"),IF(AND(A120&lt;&gt;"",H120&lt;&gt;"",I120&lt;&gt;"",K120&lt;&gt;"",V120&lt;&gt;"",W120&lt;&gt;""),"OK","A_COMPLETER"),"OK_STRUCTURE")</f>
        <v/>
      </c>
    </row>
    <row r="121" ht="72" customHeight="1" s="34">
      <c r="A121" s="4" t="inlineStr">
        <is>
          <t>PIP-ACT-C-C5-017</t>
        </is>
      </c>
      <c r="B121" s="4" t="inlineStr">
        <is>
          <t>0.2</t>
        </is>
      </c>
      <c r="C121" s="4" t="inlineStr">
        <is>
          <t>PILOTE</t>
        </is>
      </c>
      <c r="D121" s="4" t="inlineStr">
        <is>
          <t>08/09/2026</t>
        </is>
      </c>
      <c r="E121" s="4" t="inlineStr">
        <is>
          <t>08/09/2026</t>
        </is>
      </c>
      <c r="F121" s="4" t="inlineStr">
        <is>
          <t>ACT</t>
        </is>
      </c>
      <c r="G121" s="4" t="inlineStr">
        <is>
          <t>Verbe d’action + objet/contexte</t>
        </is>
      </c>
      <c r="H121" s="4" t="inlineStr">
        <is>
          <t>C</t>
        </is>
      </c>
      <c r="I121" s="4" t="inlineStr">
        <is>
          <t>C5</t>
        </is>
      </c>
      <c r="J121" s="6" t="inlineStr">
        <is>
          <t>E</t>
        </is>
      </c>
      <c r="K121" s="6" t="inlineStr">
        <is>
          <t>Suivre l’avancement d’un dossier jusqu’à sa clôture.</t>
        </is>
      </c>
      <c r="L121" s="4" t="inlineStr">
        <is>
          <t>Cela ne m’attire pas du tout</t>
        </is>
      </c>
      <c r="M121" s="4" t="inlineStr">
        <is>
          <t>Cela m’attire peu</t>
        </is>
      </c>
      <c r="N121" s="4" t="inlineStr">
        <is>
          <t>Je suis partagé(e) / sans préférence marquée</t>
        </is>
      </c>
      <c r="O121" s="4" t="inlineStr">
        <is>
          <t>Cela m’attire</t>
        </is>
      </c>
      <c r="P121" s="4" t="inlineStr">
        <is>
          <t>Cela m’attire beaucoup</t>
        </is>
      </c>
      <c r="Q121" s="4" t="n">
        <v>1</v>
      </c>
      <c r="R121" s="4" t="n">
        <v>2</v>
      </c>
      <c r="S121" s="4" t="n">
        <v>3</v>
      </c>
      <c r="T121" s="4" t="n">
        <v>4</v>
      </c>
      <c r="U121" s="4" t="n">
        <v>5</v>
      </c>
      <c r="V121" s="6" t="inlineStr">
        <is>
          <t>La formulation cible l’intérêt pour structurer, fiabiliser et suivre méthodiquement. Elle mobilise un comportement caractéristique de la dimension C (Conventionnel) sans demander un niveau de compétence préalable.</t>
        </is>
      </c>
      <c r="W121" s="6" t="inlineStr">
        <is>
          <t>L’item relève de C5 — Traiter / suivre dossiers, données et opérations : Faire avancer méthodiquement dossiers, données, opérations ou transactions en assurant leur suivi.</t>
        </is>
      </c>
      <c r="X121" s="6" t="inlineStr">
        <is>
          <t>Revue méthodologique V0.3 : surveiller compréhension du vocabulaire, familiarité avec le contexte professionnel, désirabilité sociale au pilote.</t>
        </is>
      </c>
      <c r="Y121" s="6" t="inlineStr">
        <is>
          <t>FAIBLE</t>
        </is>
      </c>
      <c r="Z121" s="6" t="inlineStr">
        <is>
          <t>FAIBLE</t>
        </is>
      </c>
      <c r="AA121" s="6" t="inlineStr">
        <is>
          <t>FAIBLE</t>
        </is>
      </c>
      <c r="AB121" s="6" t="inlineStr">
        <is>
          <t>FAIBLE</t>
        </is>
      </c>
      <c r="AC121" s="6" t="inlineStr">
        <is>
          <t>MOYEN</t>
        </is>
      </c>
      <c r="AD121" s="6" t="inlineStr">
        <is>
          <t>FAIBLE</t>
        </is>
      </c>
      <c r="AE121" s="6" t="inlineStr">
        <is>
          <t>FAIBLE</t>
        </is>
      </c>
      <c r="AF121" s="6" t="inlineStr">
        <is>
          <t>FAIBLE</t>
        </is>
      </c>
      <c r="AG121" s="6" t="inlineStr">
        <is>
          <t>MOYEN</t>
        </is>
      </c>
      <c r="AH121" s="6" t="inlineStr">
        <is>
          <t>MOYEN</t>
        </is>
      </c>
      <c r="AI121" s="6" t="inlineStr">
        <is>
          <t>FAIBLE</t>
        </is>
      </c>
      <c r="AJ121" s="4" t="n">
        <v>0</v>
      </c>
      <c r="AK121" s="4" t="n"/>
      <c r="AL121" s="6" t="inlineStr">
        <is>
          <t>RETENU_V0.5_REECRIT_CONCRET</t>
        </is>
      </c>
      <c r="AM121" s="6" t="n"/>
      <c r="AN121" s="4" t="inlineStr">
        <is>
          <t>PIP-BANK-0.3</t>
        </is>
      </c>
      <c r="AO121" s="6" t="inlineStr">
        <is>
          <t>PIP-BANK-0.4</t>
        </is>
      </c>
      <c r="AP121" s="8">
        <f>IF(OR(C121="PILOTE",C121="ACTIF"),IF(AND(A121&lt;&gt;"",H121&lt;&gt;"",I121&lt;&gt;"",K121&lt;&gt;"",V121&lt;&gt;"",W121&lt;&gt;""),"OK","A_COMPLETER"),"OK_STRUCTURE")</f>
        <v/>
      </c>
    </row>
    <row r="122" ht="72" customHeight="1" s="34">
      <c r="A122" s="4" t="inlineStr">
        <is>
          <t>PIP-ACT-C-C5-018</t>
        </is>
      </c>
      <c r="B122" s="4" t="inlineStr">
        <is>
          <t>0.2</t>
        </is>
      </c>
      <c r="C122" s="4" t="inlineStr">
        <is>
          <t>PILOTE</t>
        </is>
      </c>
      <c r="D122" s="4" t="inlineStr">
        <is>
          <t>08/09/2026</t>
        </is>
      </c>
      <c r="E122" s="4" t="inlineStr">
        <is>
          <t>08/09/2026</t>
        </is>
      </c>
      <c r="F122" s="4" t="inlineStr">
        <is>
          <t>ACT</t>
        </is>
      </c>
      <c r="G122" s="4" t="inlineStr">
        <is>
          <t>Verbe d’action + objet/contexte</t>
        </is>
      </c>
      <c r="H122" s="4" t="inlineStr">
        <is>
          <t>C</t>
        </is>
      </c>
      <c r="I122" s="4" t="inlineStr">
        <is>
          <t>C5</t>
        </is>
      </c>
      <c r="J122" s="6" t="inlineStr">
        <is>
          <t>E</t>
        </is>
      </c>
      <c r="K122" s="6" t="inlineStr">
        <is>
          <t>Planifier et suivre des échéances pour que plusieurs opérations soient réalisées au bon moment.</t>
        </is>
      </c>
      <c r="L122" s="4" t="inlineStr">
        <is>
          <t>Cela ne m’attire pas du tout</t>
        </is>
      </c>
      <c r="M122" s="4" t="inlineStr">
        <is>
          <t>Cela m’attire peu</t>
        </is>
      </c>
      <c r="N122" s="4" t="inlineStr">
        <is>
          <t>Je suis partagé(e) / sans préférence marquée</t>
        </is>
      </c>
      <c r="O122" s="4" t="inlineStr">
        <is>
          <t>Cela m’attire</t>
        </is>
      </c>
      <c r="P122" s="4" t="inlineStr">
        <is>
          <t>Cela m’attire beaucoup</t>
        </is>
      </c>
      <c r="Q122" s="4" t="n">
        <v>1</v>
      </c>
      <c r="R122" s="4" t="n">
        <v>2</v>
      </c>
      <c r="S122" s="4" t="n">
        <v>3</v>
      </c>
      <c r="T122" s="4" t="n">
        <v>4</v>
      </c>
      <c r="U122" s="4" t="n">
        <v>5</v>
      </c>
      <c r="V122" s="6" t="inlineStr">
        <is>
          <t>La formulation cible l’intérêt pour structurer, fiabiliser et suivre méthodiquement. Elle mobilise un comportement caractéristique de la dimension C (Conventionnel) sans demander un niveau de compétence préalable.</t>
        </is>
      </c>
      <c r="W122" s="6" t="inlineStr">
        <is>
          <t>L’item relève de C5 — Traiter / suivre dossiers, données et opérations : Faire avancer méthodiquement dossiers, données, opérations ou transactions en assurant leur suivi.</t>
        </is>
      </c>
      <c r="X122" s="6" t="inlineStr">
        <is>
          <t>Revue méthodologique V0.3 : surveiller compréhension du vocabulaire, désirabilité sociale, frontière avec E au pilote.</t>
        </is>
      </c>
      <c r="Y122" s="6" t="inlineStr">
        <is>
          <t>FAIBLE</t>
        </is>
      </c>
      <c r="Z122" s="6" t="inlineStr">
        <is>
          <t>FAIBLE</t>
        </is>
      </c>
      <c r="AA122" s="6" t="inlineStr">
        <is>
          <t>FAIBLE</t>
        </is>
      </c>
      <c r="AB122" s="6" t="inlineStr">
        <is>
          <t>FAIBLE</t>
        </is>
      </c>
      <c r="AC122" s="6" t="inlineStr">
        <is>
          <t>MOYEN</t>
        </is>
      </c>
      <c r="AD122" s="6" t="inlineStr">
        <is>
          <t>FAIBLE</t>
        </is>
      </c>
      <c r="AE122" s="6" t="inlineStr">
        <is>
          <t>FAIBLE</t>
        </is>
      </c>
      <c r="AF122" s="6" t="inlineStr">
        <is>
          <t>FAIBLE</t>
        </is>
      </c>
      <c r="AG122" s="6" t="inlineStr">
        <is>
          <t>FAIBLE</t>
        </is>
      </c>
      <c r="AH122" s="6" t="inlineStr">
        <is>
          <t>MOYEN</t>
        </is>
      </c>
      <c r="AI122" s="6" t="inlineStr">
        <is>
          <t>MOYEN</t>
        </is>
      </c>
      <c r="AJ122" s="4" t="n">
        <v>0</v>
      </c>
      <c r="AK122" s="4" t="n"/>
      <c r="AL122" s="6" t="inlineStr">
        <is>
          <t>RETENU_V0.5_REECRIT_CONCRET</t>
        </is>
      </c>
      <c r="AM122" s="6" t="n"/>
      <c r="AN122" s="4" t="inlineStr">
        <is>
          <t>PIP-BANK-0.3</t>
        </is>
      </c>
      <c r="AO122" s="6" t="inlineStr">
        <is>
          <t>PIP-BANK-0.4</t>
        </is>
      </c>
      <c r="AP122" s="8">
        <f>IF(OR(C122="PILOTE",C122="ACTIF"),IF(AND(A122&lt;&gt;"",H122&lt;&gt;"",I122&lt;&gt;"",K122&lt;&gt;"",V122&lt;&gt;"",W122&lt;&gt;""),"OK","A_COMPLETER"),"OK_STRUCTURE")</f>
        <v/>
      </c>
    </row>
    <row r="123" ht="72" customHeight="1" s="34">
      <c r="A123" s="4" t="inlineStr">
        <is>
          <t>PIP-SIT-C-C5-019</t>
        </is>
      </c>
      <c r="B123" s="4" t="inlineStr">
        <is>
          <t>0.2</t>
        </is>
      </c>
      <c r="C123" s="4" t="inlineStr">
        <is>
          <t>PILOTE</t>
        </is>
      </c>
      <c r="D123" s="4" t="inlineStr">
        <is>
          <t>08/09/2026</t>
        </is>
      </c>
      <c r="E123" s="4" t="inlineStr">
        <is>
          <t>08/09/2026</t>
        </is>
      </c>
      <c r="F123" s="4" t="inlineStr">
        <is>
          <t>SIT</t>
        </is>
      </c>
      <c r="G123" s="4" t="inlineStr">
        <is>
          <t>Situation courte avec enjeu central</t>
        </is>
      </c>
      <c r="H123" s="4" t="inlineStr">
        <is>
          <t>C</t>
        </is>
      </c>
      <c r="I123" s="4" t="inlineStr">
        <is>
          <t>C5</t>
        </is>
      </c>
      <c r="J123" s="6" t="inlineStr">
        <is>
          <t>E</t>
        </is>
      </c>
      <c r="K123" s="6" t="inlineStr">
        <is>
          <t>Gérer plusieurs dossiers en parallèle en veillant à ce qu’aucune étape ou échéance ne soit oubliée.</t>
        </is>
      </c>
      <c r="L123" s="4" t="inlineStr">
        <is>
          <t>Cela ne m’attire pas du tout</t>
        </is>
      </c>
      <c r="M123" s="4" t="inlineStr">
        <is>
          <t>Cela m’attire peu</t>
        </is>
      </c>
      <c r="N123" s="4" t="inlineStr">
        <is>
          <t>Je suis partagé(e) / sans préférence marquée</t>
        </is>
      </c>
      <c r="O123" s="4" t="inlineStr">
        <is>
          <t>Cela m’attire</t>
        </is>
      </c>
      <c r="P123" s="4" t="inlineStr">
        <is>
          <t>Cela m’attire beaucoup</t>
        </is>
      </c>
      <c r="Q123" s="4" t="n">
        <v>1</v>
      </c>
      <c r="R123" s="4" t="n">
        <v>2</v>
      </c>
      <c r="S123" s="4" t="n">
        <v>3</v>
      </c>
      <c r="T123" s="4" t="n">
        <v>4</v>
      </c>
      <c r="U123" s="4" t="n">
        <v>5</v>
      </c>
      <c r="V123" s="6" t="inlineStr">
        <is>
          <t>La formulation cible l’intérêt pour structurer, fiabiliser et suivre méthodiquement. Elle mobilise un comportement caractéristique de la dimension C (Conventionnel) sans demander un niveau de compétence préalable.</t>
        </is>
      </c>
      <c r="W123" s="6" t="inlineStr">
        <is>
          <t>L’item relève de C5 — Traiter / suivre dossiers, données et opérations : Faire avancer méthodiquement dossiers, données, opérations ou transactions en assurant leur suivi.</t>
        </is>
      </c>
      <c r="X123" s="6" t="inlineStr">
        <is>
          <t>Revue méthodologique V0.3 : surveiller compréhension du vocabulaire, familiarité avec le contexte professionnel, désirabilité sociale au pilote.</t>
        </is>
      </c>
      <c r="Y123" s="6" t="inlineStr">
        <is>
          <t>FAIBLE</t>
        </is>
      </c>
      <c r="Z123" s="6" t="inlineStr">
        <is>
          <t>FAIBLE</t>
        </is>
      </c>
      <c r="AA123" s="6" t="inlineStr">
        <is>
          <t>FAIBLE</t>
        </is>
      </c>
      <c r="AB123" s="6" t="inlineStr">
        <is>
          <t>FAIBLE</t>
        </is>
      </c>
      <c r="AC123" s="6" t="inlineStr">
        <is>
          <t>MOYEN</t>
        </is>
      </c>
      <c r="AD123" s="6" t="inlineStr">
        <is>
          <t>FAIBLE</t>
        </is>
      </c>
      <c r="AE123" s="6" t="inlineStr">
        <is>
          <t>FAIBLE</t>
        </is>
      </c>
      <c r="AF123" s="6" t="inlineStr">
        <is>
          <t>FAIBLE</t>
        </is>
      </c>
      <c r="AG123" s="6" t="inlineStr">
        <is>
          <t>MOYEN</t>
        </is>
      </c>
      <c r="AH123" s="6" t="inlineStr">
        <is>
          <t>MOYEN</t>
        </is>
      </c>
      <c r="AI123" s="6" t="inlineStr">
        <is>
          <t>FAIBLE</t>
        </is>
      </c>
      <c r="AJ123" s="4" t="n">
        <v>0</v>
      </c>
      <c r="AK123" s="4" t="n"/>
      <c r="AL123" s="6" t="inlineStr">
        <is>
          <t>RETIRE_BANQUE72_HISTORIQUE_CONSERVE</t>
        </is>
      </c>
      <c r="AM123" s="6" t="inlineStr">
        <is>
          <t>Réduction méthodologique 120→72 : doublon de facette / priorité aux activités professionnelles observables et aux items à plus faible risque.</t>
        </is>
      </c>
      <c r="AN123" s="4" t="inlineStr">
        <is>
          <t>PIP-BANK-0.3</t>
        </is>
      </c>
      <c r="AO123" s="6" t="inlineStr">
        <is>
          <t>PIP-BANK-0.3</t>
        </is>
      </c>
      <c r="AP123" s="8">
        <f>IF(OR(C123="PILOTE",C123="ACTIF"),IF(AND(A123&lt;&gt;"",H123&lt;&gt;"",I123&lt;&gt;"",K123&lt;&gt;"",V123&lt;&gt;"",W123&lt;&gt;""),"OK","A_COMPLETER"),"OK_STRUCTURE")</f>
        <v/>
      </c>
    </row>
    <row r="124" ht="72" customHeight="1" s="34">
      <c r="A124" s="4" t="inlineStr">
        <is>
          <t>PIP-ENV-C-C5-020</t>
        </is>
      </c>
      <c r="B124" s="4" t="inlineStr">
        <is>
          <t>0.2</t>
        </is>
      </c>
      <c r="C124" s="4" t="inlineStr">
        <is>
          <t>PILOTE</t>
        </is>
      </c>
      <c r="D124" s="4" t="inlineStr">
        <is>
          <t>08/09/2026</t>
        </is>
      </c>
      <c r="E124" s="4" t="inlineStr">
        <is>
          <t>08/09/2026</t>
        </is>
      </c>
      <c r="F124" s="4" t="inlineStr">
        <is>
          <t>ENV</t>
        </is>
      </c>
      <c r="G124" s="4" t="inlineStr">
        <is>
          <t>Contexte décrit par ce qu’il permet de faire</t>
        </is>
      </c>
      <c r="H124" s="4" t="inlineStr">
        <is>
          <t>C</t>
        </is>
      </c>
      <c r="I124" s="4" t="inlineStr">
        <is>
          <t>C5</t>
        </is>
      </c>
      <c r="J124" s="6" t="inlineStr">
        <is>
          <t>E</t>
        </is>
      </c>
      <c r="K124" s="6" t="inlineStr">
        <is>
          <t>Travailler dans un contexte où l’on assure un suivi régulier de dossiers, de données ou d’opérations jusqu’à leur aboutissement.</t>
        </is>
      </c>
      <c r="L124" s="4" t="inlineStr">
        <is>
          <t>Cela ne m’attire pas du tout</t>
        </is>
      </c>
      <c r="M124" s="4" t="inlineStr">
        <is>
          <t>Cela m’attire peu</t>
        </is>
      </c>
      <c r="N124" s="4" t="inlineStr">
        <is>
          <t>Je suis partagé(e) / sans préférence marquée</t>
        </is>
      </c>
      <c r="O124" s="4" t="inlineStr">
        <is>
          <t>Cela m’attire</t>
        </is>
      </c>
      <c r="P124" s="4" t="inlineStr">
        <is>
          <t>Cela m’attire beaucoup</t>
        </is>
      </c>
      <c r="Q124" s="4" t="n">
        <v>1</v>
      </c>
      <c r="R124" s="4" t="n">
        <v>2</v>
      </c>
      <c r="S124" s="4" t="n">
        <v>3</v>
      </c>
      <c r="T124" s="4" t="n">
        <v>4</v>
      </c>
      <c r="U124" s="4" t="n">
        <v>5</v>
      </c>
      <c r="V124" s="6" t="inlineStr">
        <is>
          <t>La formulation cible l’intérêt pour structurer, fiabiliser et suivre méthodiquement. Elle mobilise un comportement caractéristique de la dimension C (Conventionnel) sans demander un niveau de compétence préalable.</t>
        </is>
      </c>
      <c r="W124" s="6" t="inlineStr">
        <is>
          <t>L’item relève de C5 — Traiter / suivre dossiers, données et opérations : Faire avancer méthodiquement dossiers, données, opérations ou transactions en assurant leur suivi.</t>
        </is>
      </c>
      <c r="X124" s="6" t="inlineStr">
        <is>
          <t>Revue méthodologique V0.3 : surveiller compréhension du vocabulaire, familiarité avec le contexte professionnel, désirabilité sociale au pilote.</t>
        </is>
      </c>
      <c r="Y124" s="6" t="inlineStr">
        <is>
          <t>FAIBLE</t>
        </is>
      </c>
      <c r="Z124" s="6" t="inlineStr">
        <is>
          <t>FAIBLE</t>
        </is>
      </c>
      <c r="AA124" s="6" t="inlineStr">
        <is>
          <t>FAIBLE</t>
        </is>
      </c>
      <c r="AB124" s="6" t="inlineStr">
        <is>
          <t>FAIBLE</t>
        </is>
      </c>
      <c r="AC124" s="6" t="inlineStr">
        <is>
          <t>MOYEN</t>
        </is>
      </c>
      <c r="AD124" s="6" t="inlineStr">
        <is>
          <t>FAIBLE</t>
        </is>
      </c>
      <c r="AE124" s="6" t="inlineStr">
        <is>
          <t>FAIBLE</t>
        </is>
      </c>
      <c r="AF124" s="6" t="inlineStr">
        <is>
          <t>FAIBLE</t>
        </is>
      </c>
      <c r="AG124" s="6" t="inlineStr">
        <is>
          <t>MOYEN</t>
        </is>
      </c>
      <c r="AH124" s="6" t="inlineStr">
        <is>
          <t>MOYEN</t>
        </is>
      </c>
      <c r="AI124" s="6" t="inlineStr">
        <is>
          <t>FAIBLE</t>
        </is>
      </c>
      <c r="AJ124" s="4" t="n">
        <v>0</v>
      </c>
      <c r="AK124" s="4" t="n"/>
      <c r="AL124" s="6" t="inlineStr">
        <is>
          <t>RETIRE_BANQUE72_HISTORIQUE_CONSERVE</t>
        </is>
      </c>
      <c r="AM124" s="6" t="inlineStr">
        <is>
          <t>Réduction méthodologique 120→72 : doublon de facette / priorité aux activités professionnelles observables et aux items à plus faible risque.</t>
        </is>
      </c>
      <c r="AN124" s="4" t="inlineStr">
        <is>
          <t>PIP-BANK-0.3</t>
        </is>
      </c>
      <c r="AO124" s="6" t="inlineStr">
        <is>
          <t>PIP-BANK-0.3</t>
        </is>
      </c>
      <c r="AP124" s="8">
        <f>IF(OR(C124="PILOTE",C124="ACTIF"),IF(AND(A124&lt;&gt;"",H124&lt;&gt;"",I124&lt;&gt;"",K124&lt;&gt;"",V124&lt;&gt;"",W124&lt;&gt;""),"OK","A_COMPLETER"),"OK_STRUCTURE")</f>
        <v/>
      </c>
    </row>
  </sheetData>
  <autoFilter ref="A4:AP124"/>
  <mergeCells count="2">
    <mergeCell ref="A2:AP2"/>
    <mergeCell ref="A1:AP1"/>
  </mergeCells>
  <conditionalFormatting sqref="AP5:AP124">
    <cfRule type="expression" priority="1" dxfId="0">
      <formula>AP5="A_COMPLETER"</formula>
    </cfRule>
  </conditionalFormatting>
  <pageMargins left="0.75" right="0.75" top="1" bottom="1" header="0.5" footer="0.5"/>
  <pageSetup orientation="landscape" fitToHeight="0"/>
  <headerFooter>
    <oddHeader/>
    <oddFooter>&amp;CClarté360 — Tableur maître PIP RIASEC&amp;RPage &amp;P /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O124"/>
  <sheetViews>
    <sheetView showGridLines="0" workbookViewId="0">
      <pane ySplit="4" topLeftCell="A5" activePane="bottomLeft" state="frozen"/>
      <selection pane="bottomLeft" activeCell="A1" sqref="A1"/>
    </sheetView>
  </sheetViews>
  <sheetFormatPr baseColWidth="10" defaultColWidth="8.88671875" defaultRowHeight="14.4"/>
  <cols>
    <col width="23" customWidth="1" style="34" min="1" max="1"/>
    <col width="10" customWidth="1" style="34" min="2" max="3"/>
    <col width="9" customWidth="1" style="34" min="4" max="4"/>
    <col width="20" customWidth="1" style="34" min="5" max="5"/>
    <col width="56" customWidth="1" style="34" min="6" max="6"/>
    <col width="20" customWidth="1" style="34" min="7" max="7"/>
    <col width="70" customWidth="1" style="34" min="8" max="8"/>
    <col width="55" customWidth="1" style="34" min="9" max="9"/>
    <col width="18" customWidth="1" style="34" min="10" max="10"/>
    <col width="20" customWidth="1" style="34" min="11" max="11"/>
    <col width="25" customWidth="1" style="34" min="12" max="12"/>
    <col width="18" customWidth="1" style="34" min="13" max="13"/>
    <col width="20" customWidth="1" style="34" min="14" max="14"/>
    <col width="32" customWidth="1" style="34" min="15" max="15"/>
  </cols>
  <sheetData>
    <row r="1" ht="19.8" customHeight="1" s="34">
      <c r="A1" s="36" t="inlineStr">
        <is>
          <t>REVUE DE CONTEXTUALISATION — 120 ITEMS PIP RIASEC</t>
        </is>
      </c>
    </row>
    <row r="2">
      <c r="A2" s="37" t="inlineStr">
        <is>
          <t>Objectif : réduire l’ambiguïté de projection sans modifier la formulation source ni introduire de second construit. Les exemples sont des aides de compréhension, jamais des éléments de scoring.</t>
        </is>
      </c>
    </row>
    <row r="4" ht="28.8" customHeight="1" s="34">
      <c r="A4" s="17" t="inlineStr">
        <is>
          <t>item_id</t>
        </is>
      </c>
      <c r="B4" s="17" t="inlineStr">
        <is>
          <t>dimension</t>
        </is>
      </c>
      <c r="C4" s="17" t="inlineStr">
        <is>
          <t>facette</t>
        </is>
      </c>
      <c r="D4" s="17" t="inlineStr">
        <is>
          <t>bloc</t>
        </is>
      </c>
      <c r="E4" s="17" t="inlineStr">
        <is>
          <t>dimension_concurrente</t>
        </is>
      </c>
      <c r="F4" s="17" t="inlineStr">
        <is>
          <t>formulation_source</t>
        </is>
      </c>
      <c r="G4" s="17" t="inlineStr">
        <is>
          <t>niveau_contextualisation</t>
        </is>
      </c>
      <c r="H4" s="17" t="inlineStr">
        <is>
          <t>exemple_concret_propose</t>
        </is>
      </c>
      <c r="I4" s="17" t="inlineStr">
        <is>
          <t>objectif_de_lexemple</t>
        </is>
      </c>
      <c r="J4" s="17" t="inlineStr">
        <is>
          <t>risque_hybridite_source</t>
        </is>
      </c>
      <c r="K4" s="17" t="inlineStr">
        <is>
          <t>risque_desirabilite_source</t>
        </is>
      </c>
      <c r="L4" s="17" t="inlineStr">
        <is>
          <t>risque_familiarite_sectorielle_source</t>
        </is>
      </c>
      <c r="M4" s="17" t="inlineStr">
        <is>
          <t>decision_exemple</t>
        </is>
      </c>
      <c r="N4" s="17" t="inlineStr">
        <is>
          <t>statut_revue</t>
        </is>
      </c>
      <c r="O4" s="17" t="inlineStr">
        <is>
          <t>commentaire_relecteur</t>
        </is>
      </c>
    </row>
    <row r="5" ht="48" customHeight="1" s="34">
      <c r="A5" s="18" t="inlineStr">
        <is>
          <t>PIP-ACT-R-R1-001</t>
        </is>
      </c>
      <c r="B5" s="18" t="inlineStr">
        <is>
          <t>R</t>
        </is>
      </c>
      <c r="C5" s="18" t="inlineStr">
        <is>
          <t>R1</t>
        </is>
      </c>
      <c r="D5" s="18" t="inlineStr">
        <is>
          <t>ACT</t>
        </is>
      </c>
      <c r="E5" s="18" t="inlineStr">
        <is>
          <t>A</t>
        </is>
      </c>
      <c r="F5" s="18" t="inlineStr">
        <is>
          <t>Assembler des éléments pour fabriquer un objet fonctionnel.</t>
        </is>
      </c>
      <c r="G5" s="19" t="inlineStr">
        <is>
          <t>FORTE</t>
        </is>
      </c>
      <c r="H5" s="20" t="inlineStr">
        <is>
          <t>Assembler les pièces d’un petit meuble ou d’un support pour qu’il soit solide et utilisable.</t>
        </is>
      </c>
      <c r="I5" s="21" t="inlineStr">
        <is>
          <t>Ancrer l’item dans une expression typique de R/R1 sans ajouter la dimension concurrente A.</t>
        </is>
      </c>
      <c r="J5" s="18" t="inlineStr">
        <is>
          <t>FAIBLE</t>
        </is>
      </c>
      <c r="K5" s="18" t="inlineStr">
        <is>
          <t>FAIBLE</t>
        </is>
      </c>
      <c r="L5" s="18" t="inlineStr">
        <is>
          <t>MOYEN</t>
        </is>
      </c>
      <c r="M5" s="22" t="inlineStr">
        <is>
          <t>A_VALIDER</t>
        </is>
      </c>
      <c r="N5" s="23" t="inlineStr">
        <is>
          <t>PROPOSITION_V0.4</t>
        </is>
      </c>
      <c r="O5" s="24" t="n"/>
    </row>
    <row r="6" ht="48" customHeight="1" s="34">
      <c r="A6" s="25" t="inlineStr">
        <is>
          <t>PIP-ACT-R-R1-002</t>
        </is>
      </c>
      <c r="B6" s="25" t="inlineStr">
        <is>
          <t>R</t>
        </is>
      </c>
      <c r="C6" s="25" t="inlineStr">
        <is>
          <t>R1</t>
        </is>
      </c>
      <c r="D6" s="25" t="inlineStr">
        <is>
          <t>ACT</t>
        </is>
      </c>
      <c r="E6" s="25" t="inlineStr">
        <is>
          <t>A</t>
        </is>
      </c>
      <c r="F6" s="25" t="inlineStr">
        <is>
          <t>Transformer une matière ou un matériau pour lui donner une forme utile.</t>
        </is>
      </c>
      <c r="G6" s="26" t="inlineStr">
        <is>
          <t>FORTE</t>
        </is>
      </c>
      <c r="H6" s="27" t="inlineStr">
        <is>
          <t>Travailler du bois, du métal ou un autre matériau pour obtenir une pièce ayant une fonction précise.</t>
        </is>
      </c>
      <c r="I6" s="28" t="inlineStr">
        <is>
          <t>Ancrer l’item dans une expression typique de R/R1 sans ajouter la dimension concurrente A.</t>
        </is>
      </c>
      <c r="J6" s="25" t="inlineStr">
        <is>
          <t>FAIBLE</t>
        </is>
      </c>
      <c r="K6" s="25" t="inlineStr">
        <is>
          <t>FAIBLE</t>
        </is>
      </c>
      <c r="L6" s="25" t="inlineStr">
        <is>
          <t>MOYEN</t>
        </is>
      </c>
      <c r="M6" s="29" t="inlineStr">
        <is>
          <t>A_VALIDER</t>
        </is>
      </c>
      <c r="N6" s="30" t="inlineStr">
        <is>
          <t>PROPOSITION_V0.4</t>
        </is>
      </c>
      <c r="O6" s="9" t="n"/>
    </row>
    <row r="7" ht="48" customHeight="1" s="34">
      <c r="A7" s="25" t="inlineStr">
        <is>
          <t>PIP-SIT-R-R1-003</t>
        </is>
      </c>
      <c r="B7" s="25" t="inlineStr">
        <is>
          <t>R</t>
        </is>
      </c>
      <c r="C7" s="25" t="inlineStr">
        <is>
          <t>R1</t>
        </is>
      </c>
      <c r="D7" s="25" t="inlineStr">
        <is>
          <t>SIT</t>
        </is>
      </c>
      <c r="E7" s="25" t="inlineStr">
        <is>
          <t>A</t>
        </is>
      </c>
      <c r="F7" s="25" t="inlineStr">
        <is>
          <t>Prendre en charge la réalisation concrète d’un objet ou d’une structure à partir d’éléments séparés.</t>
        </is>
      </c>
      <c r="G7" s="26" t="inlineStr">
        <is>
          <t>FORTE</t>
        </is>
      </c>
      <c r="H7" s="27" t="inlineStr">
        <is>
          <t>À partir de pièces séparées, réaliser concrètement une étagère, un présentoir ou une petite structure.</t>
        </is>
      </c>
      <c r="I7" s="28" t="inlineStr">
        <is>
          <t>Ancrer l’item dans une expression typique de R/R1 sans ajouter la dimension concurrente A.</t>
        </is>
      </c>
      <c r="J7" s="25" t="inlineStr">
        <is>
          <t>FAIBLE</t>
        </is>
      </c>
      <c r="K7" s="25" t="inlineStr">
        <is>
          <t>FAIBLE</t>
        </is>
      </c>
      <c r="L7" s="25" t="inlineStr">
        <is>
          <t>MOYEN</t>
        </is>
      </c>
      <c r="M7" s="29" t="inlineStr">
        <is>
          <t>A_VALIDER</t>
        </is>
      </c>
      <c r="N7" s="30" t="inlineStr">
        <is>
          <t>PROPOSITION_V0.4</t>
        </is>
      </c>
      <c r="O7" s="9" t="n"/>
    </row>
    <row r="8" ht="48" customHeight="1" s="34">
      <c r="A8" s="25" t="inlineStr">
        <is>
          <t>PIP-ENV-R-R1-004</t>
        </is>
      </c>
      <c r="B8" s="25" t="inlineStr">
        <is>
          <t>R</t>
        </is>
      </c>
      <c r="C8" s="25" t="inlineStr">
        <is>
          <t>R1</t>
        </is>
      </c>
      <c r="D8" s="25" t="inlineStr">
        <is>
          <t>ENV</t>
        </is>
      </c>
      <c r="E8" s="25" t="inlineStr">
        <is>
          <t>A</t>
        </is>
      </c>
      <c r="F8" s="25" t="inlineStr">
        <is>
          <t>Travailler dans un contexte où l’on voit directement le résultat matériel de ce que l’on fabrique ou transforme.</t>
        </is>
      </c>
      <c r="G8" s="26" t="inlineStr">
        <is>
          <t>FORTE</t>
        </is>
      </c>
      <c r="H8" s="27" t="inlineStr">
        <is>
          <t>Évoluer dans un atelier ou un espace de fabrication où l’on voit physiquement ce qui a été produit.</t>
        </is>
      </c>
      <c r="I8" s="28" t="inlineStr">
        <is>
          <t>Ancrer l’item dans une expression typique de R/R1 sans ajouter la dimension concurrente A.</t>
        </is>
      </c>
      <c r="J8" s="25" t="inlineStr">
        <is>
          <t>FAIBLE</t>
        </is>
      </c>
      <c r="K8" s="25" t="inlineStr">
        <is>
          <t>FAIBLE</t>
        </is>
      </c>
      <c r="L8" s="25" t="inlineStr">
        <is>
          <t>MOYEN</t>
        </is>
      </c>
      <c r="M8" s="29" t="inlineStr">
        <is>
          <t>A_VALIDER</t>
        </is>
      </c>
      <c r="N8" s="30" t="inlineStr">
        <is>
          <t>PROPOSITION_V0.4</t>
        </is>
      </c>
      <c r="O8" s="9" t="n"/>
    </row>
    <row r="9" ht="48" customHeight="1" s="34">
      <c r="A9" s="25" t="inlineStr">
        <is>
          <t>PIP-ACT-R-R2-005</t>
        </is>
      </c>
      <c r="B9" s="25" t="inlineStr">
        <is>
          <t>R</t>
        </is>
      </c>
      <c r="C9" s="25" t="inlineStr">
        <is>
          <t>R2</t>
        </is>
      </c>
      <c r="D9" s="25" t="inlineStr">
        <is>
          <t>ACT</t>
        </is>
      </c>
      <c r="E9" s="25" t="inlineStr">
        <is>
          <t>I</t>
        </is>
      </c>
      <c r="F9" s="25" t="inlineStr">
        <is>
          <t>Installer un équipement pour qu’il soit prêt à fonctionner.</t>
        </is>
      </c>
      <c r="G9" s="26" t="inlineStr">
        <is>
          <t>FORTE</t>
        </is>
      </c>
      <c r="H9" s="27" t="inlineStr">
        <is>
          <t>Installer un poste de travail, un appareil ou un équipement puis vérifier qu’il fonctionne.</t>
        </is>
      </c>
      <c r="I9" s="28" t="inlineStr">
        <is>
          <t>Ancrer l’item dans une expression typique de R/R2 sans ajouter la dimension concurrente I.</t>
        </is>
      </c>
      <c r="J9" s="25" t="inlineStr">
        <is>
          <t>FAIBLE</t>
        </is>
      </c>
      <c r="K9" s="25" t="inlineStr">
        <is>
          <t>FAIBLE</t>
        </is>
      </c>
      <c r="L9" s="25" t="inlineStr">
        <is>
          <t>MOYEN</t>
        </is>
      </c>
      <c r="M9" s="29" t="inlineStr">
        <is>
          <t>A_VALIDER</t>
        </is>
      </c>
      <c r="N9" s="30" t="inlineStr">
        <is>
          <t>PROPOSITION_V0.4</t>
        </is>
      </c>
      <c r="O9" s="9" t="n"/>
    </row>
    <row r="10" ht="48" customHeight="1" s="34">
      <c r="A10" s="25" t="inlineStr">
        <is>
          <t>PIP-ACT-R-R2-006</t>
        </is>
      </c>
      <c r="B10" s="25" t="inlineStr">
        <is>
          <t>R</t>
        </is>
      </c>
      <c r="C10" s="25" t="inlineStr">
        <is>
          <t>R2</t>
        </is>
      </c>
      <c r="D10" s="25" t="inlineStr">
        <is>
          <t>ACT</t>
        </is>
      </c>
      <c r="E10" s="25" t="inlineStr">
        <is>
          <t>I</t>
        </is>
      </c>
      <c r="F10" s="25" t="inlineStr">
        <is>
          <t>Réparer un matériel qui ne fonctionne plus correctement.</t>
        </is>
      </c>
      <c r="G10" s="26" t="inlineStr">
        <is>
          <t>FORTE</t>
        </is>
      </c>
      <c r="H10" s="27" t="inlineStr">
        <is>
          <t>Rechercher la panne d’un appareil simple puis intervenir concrètement pour le remettre en service.</t>
        </is>
      </c>
      <c r="I10" s="28" t="inlineStr">
        <is>
          <t>Ancrer l’item dans une expression typique de R/R2 sans ajouter la dimension concurrente I.</t>
        </is>
      </c>
      <c r="J10" s="25" t="inlineStr">
        <is>
          <t>MOYEN</t>
        </is>
      </c>
      <c r="K10" s="25" t="inlineStr">
        <is>
          <t>FAIBLE</t>
        </is>
      </c>
      <c r="L10" s="25" t="inlineStr">
        <is>
          <t>MOYEN</t>
        </is>
      </c>
      <c r="M10" s="29" t="inlineStr">
        <is>
          <t>A_VALIDER</t>
        </is>
      </c>
      <c r="N10" s="30" t="inlineStr">
        <is>
          <t>PROPOSITION_V0.4</t>
        </is>
      </c>
      <c r="O10" s="9" t="n"/>
    </row>
    <row r="11" ht="48" customHeight="1" s="34">
      <c r="A11" s="25" t="inlineStr">
        <is>
          <t>PIP-SIT-R-R2-007</t>
        </is>
      </c>
      <c r="B11" s="25" t="inlineStr">
        <is>
          <t>R</t>
        </is>
      </c>
      <c r="C11" s="25" t="inlineStr">
        <is>
          <t>R2</t>
        </is>
      </c>
      <c r="D11" s="25" t="inlineStr">
        <is>
          <t>SIT</t>
        </is>
      </c>
      <c r="E11" s="25" t="inlineStr">
        <is>
          <t>I</t>
        </is>
      </c>
      <c r="F11" s="25" t="inlineStr">
        <is>
          <t>Intervenir lorsqu’un équipement doit être réglé ou remis en service.</t>
        </is>
      </c>
      <c r="G11" s="26" t="inlineStr">
        <is>
          <t>FORTE</t>
        </is>
      </c>
      <c r="H11" s="27" t="inlineStr">
        <is>
          <t>Un équipement fonctionne mal : le régler, remplacer l’élément défectueux et tester le résultat.</t>
        </is>
      </c>
      <c r="I11" s="28" t="inlineStr">
        <is>
          <t>Ancrer l’item dans une expression typique de R/R2 sans ajouter la dimension concurrente I.</t>
        </is>
      </c>
      <c r="J11" s="25" t="inlineStr">
        <is>
          <t>MOYEN</t>
        </is>
      </c>
      <c r="K11" s="25" t="inlineStr">
        <is>
          <t>FAIBLE</t>
        </is>
      </c>
      <c r="L11" s="25" t="inlineStr">
        <is>
          <t>MOYEN</t>
        </is>
      </c>
      <c r="M11" s="29" t="inlineStr">
        <is>
          <t>A_VALIDER</t>
        </is>
      </c>
      <c r="N11" s="30" t="inlineStr">
        <is>
          <t>PROPOSITION_V0.4</t>
        </is>
      </c>
      <c r="O11" s="9" t="n"/>
    </row>
    <row r="12" ht="48" customHeight="1" s="34">
      <c r="A12" s="25" t="inlineStr">
        <is>
          <t>PIP-ENV-R-R2-008</t>
        </is>
      </c>
      <c r="B12" s="25" t="inlineStr">
        <is>
          <t>R</t>
        </is>
      </c>
      <c r="C12" s="25" t="inlineStr">
        <is>
          <t>R2</t>
        </is>
      </c>
      <c r="D12" s="25" t="inlineStr">
        <is>
          <t>ENV</t>
        </is>
      </c>
      <c r="E12" s="25" t="inlineStr">
        <is>
          <t>I</t>
        </is>
      </c>
      <c r="F12" s="25" t="inlineStr">
        <is>
          <t>Évoluer dans un contexte où une part importante du travail consiste à entretenir et remettre en fonctionnement des équipements.</t>
        </is>
      </c>
      <c r="G12" s="26" t="inlineStr">
        <is>
          <t>FORTE</t>
        </is>
      </c>
      <c r="H12" s="27" t="inlineStr">
        <is>
          <t>Travailler dans un service où l’on entretient régulièrement des équipements et où l’on intervient en cas de panne.</t>
        </is>
      </c>
      <c r="I12" s="28" t="inlineStr">
        <is>
          <t>Ancrer l’item dans une expression typique de R/R2 sans ajouter la dimension concurrente I.</t>
        </is>
      </c>
      <c r="J12" s="25" t="inlineStr">
        <is>
          <t>FAIBLE</t>
        </is>
      </c>
      <c r="K12" s="25" t="inlineStr">
        <is>
          <t>FAIBLE</t>
        </is>
      </c>
      <c r="L12" s="25" t="inlineStr">
        <is>
          <t>MOYEN</t>
        </is>
      </c>
      <c r="M12" s="29" t="inlineStr">
        <is>
          <t>A_VALIDER</t>
        </is>
      </c>
      <c r="N12" s="30" t="inlineStr">
        <is>
          <t>PROPOSITION_V0.4</t>
        </is>
      </c>
      <c r="O12" s="9" t="n"/>
    </row>
    <row r="13" ht="48" customHeight="1" s="34">
      <c r="A13" s="25" t="inlineStr">
        <is>
          <t>PIP-ACT-R-R3-009</t>
        </is>
      </c>
      <c r="B13" s="25" t="inlineStr">
        <is>
          <t>R</t>
        </is>
      </c>
      <c r="C13" s="25" t="inlineStr">
        <is>
          <t>R3</t>
        </is>
      </c>
      <c r="D13" s="25" t="inlineStr">
        <is>
          <t>ACT</t>
        </is>
      </c>
      <c r="E13" s="25" t="inlineStr">
        <is>
          <t>I</t>
        </is>
      </c>
      <c r="F13" s="25" t="inlineStr">
        <is>
          <t>Utiliser des outils pour réaliser une tâche concrète avec précision.</t>
        </is>
      </c>
      <c r="G13" s="26" t="inlineStr">
        <is>
          <t>FORTE</t>
        </is>
      </c>
      <c r="H13" s="27" t="inlineStr">
        <is>
          <t>Utiliser des outils de mesure et des outils manuels pour réaliser un montage avec précision.</t>
        </is>
      </c>
      <c r="I13" s="28" t="inlineStr">
        <is>
          <t>Ancrer l’item dans une expression typique de R/R3 sans ajouter la dimension concurrente I.</t>
        </is>
      </c>
      <c r="J13" s="25" t="inlineStr">
        <is>
          <t>FAIBLE</t>
        </is>
      </c>
      <c r="K13" s="25" t="inlineStr">
        <is>
          <t>FAIBLE</t>
        </is>
      </c>
      <c r="L13" s="25" t="inlineStr">
        <is>
          <t>MOYEN</t>
        </is>
      </c>
      <c r="M13" s="29" t="inlineStr">
        <is>
          <t>A_VALIDER</t>
        </is>
      </c>
      <c r="N13" s="30" t="inlineStr">
        <is>
          <t>PROPOSITION_V0.4</t>
        </is>
      </c>
      <c r="O13" s="9" t="n"/>
    </row>
    <row r="14" ht="48" customHeight="1" s="34">
      <c r="A14" s="25" t="inlineStr">
        <is>
          <t>PIP-ACT-R-R3-010</t>
        </is>
      </c>
      <c r="B14" s="25" t="inlineStr">
        <is>
          <t>R</t>
        </is>
      </c>
      <c r="C14" s="25" t="inlineStr">
        <is>
          <t>R3</t>
        </is>
      </c>
      <c r="D14" s="25" t="inlineStr">
        <is>
          <t>ACT</t>
        </is>
      </c>
      <c r="E14" s="25" t="inlineStr">
        <is>
          <t>I</t>
        </is>
      </c>
      <c r="F14" s="25" t="inlineStr">
        <is>
          <t>Piloter ou régler une machine pour obtenir le résultat attendu.</t>
        </is>
      </c>
      <c r="G14" s="26" t="inlineStr">
        <is>
          <t>FORTE</t>
        </is>
      </c>
      <c r="H14" s="27" t="inlineStr">
        <is>
          <t>Régler une machine ou un équipement pour obtenir une dimension, une forme ou un résultat précis.</t>
        </is>
      </c>
      <c r="I14" s="28" t="inlineStr">
        <is>
          <t>Ancrer l’item dans une expression typique de R/R3 sans ajouter la dimension concurrente I.</t>
        </is>
      </c>
      <c r="J14" s="25" t="inlineStr">
        <is>
          <t>FAIBLE</t>
        </is>
      </c>
      <c r="K14" s="25" t="inlineStr">
        <is>
          <t>FAIBLE</t>
        </is>
      </c>
      <c r="L14" s="25" t="inlineStr">
        <is>
          <t>MOYEN</t>
        </is>
      </c>
      <c r="M14" s="29" t="inlineStr">
        <is>
          <t>A_VALIDER</t>
        </is>
      </c>
      <c r="N14" s="30" t="inlineStr">
        <is>
          <t>PROPOSITION_V0.4</t>
        </is>
      </c>
      <c r="O14" s="9" t="n"/>
    </row>
    <row r="15" ht="48" customHeight="1" s="34">
      <c r="A15" s="25" t="inlineStr">
        <is>
          <t>PIP-SIT-R-R3-011</t>
        </is>
      </c>
      <c r="B15" s="25" t="inlineStr">
        <is>
          <t>R</t>
        </is>
      </c>
      <c r="C15" s="25" t="inlineStr">
        <is>
          <t>R3</t>
        </is>
      </c>
      <c r="D15" s="25" t="inlineStr">
        <is>
          <t>SIT</t>
        </is>
      </c>
      <c r="E15" s="25" t="inlineStr">
        <is>
          <t>I</t>
        </is>
      </c>
      <c r="F15" s="25" t="inlineStr">
        <is>
          <t>Prendre en charge une tâche qui nécessite de manipuler directement un appareil ou un équipement.</t>
        </is>
      </c>
      <c r="G15" s="26" t="inlineStr">
        <is>
          <t>FORTE</t>
        </is>
      </c>
      <c r="H15" s="27" t="inlineStr">
        <is>
          <t>Réaliser une opération qui demande de manipuler directement un appareil, une machine ou un instrument.</t>
        </is>
      </c>
      <c r="I15" s="28" t="inlineStr">
        <is>
          <t>Ancrer l’item dans une expression typique de R/R3 sans ajouter la dimension concurrente I.</t>
        </is>
      </c>
      <c r="J15" s="25" t="inlineStr">
        <is>
          <t>FAIBLE</t>
        </is>
      </c>
      <c r="K15" s="25" t="inlineStr">
        <is>
          <t>FAIBLE</t>
        </is>
      </c>
      <c r="L15" s="25" t="inlineStr">
        <is>
          <t>MOYEN</t>
        </is>
      </c>
      <c r="M15" s="29" t="inlineStr">
        <is>
          <t>A_VALIDER</t>
        </is>
      </c>
      <c r="N15" s="30" t="inlineStr">
        <is>
          <t>PROPOSITION_V0.4</t>
        </is>
      </c>
      <c r="O15" s="9" t="n"/>
    </row>
    <row r="16" ht="48" customHeight="1" s="34">
      <c r="A16" s="25" t="inlineStr">
        <is>
          <t>PIP-ENV-R-R3-012</t>
        </is>
      </c>
      <c r="B16" s="25" t="inlineStr">
        <is>
          <t>R</t>
        </is>
      </c>
      <c r="C16" s="25" t="inlineStr">
        <is>
          <t>R3</t>
        </is>
      </c>
      <c r="D16" s="25" t="inlineStr">
        <is>
          <t>ENV</t>
        </is>
      </c>
      <c r="E16" s="25" t="inlineStr">
        <is>
          <t>I</t>
        </is>
      </c>
      <c r="F16" s="25" t="inlineStr">
        <is>
          <t>Travailler dans un environnement où l’on utilise régulièrement des outils, des instruments ou des machines pour agir sur le réel.</t>
        </is>
      </c>
      <c r="G16" s="26" t="inlineStr">
        <is>
          <t>FORTE</t>
        </is>
      </c>
      <c r="H16" s="27" t="inlineStr">
        <is>
          <t>Travailler dans un environnement où l’usage d’outils, d’instruments ou de machines fait partie du quotidien.</t>
        </is>
      </c>
      <c r="I16" s="28" t="inlineStr">
        <is>
          <t>Ancrer l’item dans une expression typique de R/R3 sans ajouter la dimension concurrente I.</t>
        </is>
      </c>
      <c r="J16" s="25" t="inlineStr">
        <is>
          <t>FAIBLE</t>
        </is>
      </c>
      <c r="K16" s="25" t="inlineStr">
        <is>
          <t>FAIBLE</t>
        </is>
      </c>
      <c r="L16" s="25" t="inlineStr">
        <is>
          <t>MOYEN</t>
        </is>
      </c>
      <c r="M16" s="29" t="inlineStr">
        <is>
          <t>A_VALIDER</t>
        </is>
      </c>
      <c r="N16" s="30" t="inlineStr">
        <is>
          <t>PROPOSITION_V0.4</t>
        </is>
      </c>
      <c r="O16" s="9" t="n"/>
    </row>
    <row r="17" ht="48" customHeight="1" s="34">
      <c r="A17" s="25" t="inlineStr">
        <is>
          <t>PIP-ACT-R-R4-013</t>
        </is>
      </c>
      <c r="B17" s="25" t="inlineStr">
        <is>
          <t>R</t>
        </is>
      </c>
      <c r="C17" s="25" t="inlineStr">
        <is>
          <t>R4</t>
        </is>
      </c>
      <c r="D17" s="25" t="inlineStr">
        <is>
          <t>ACT</t>
        </is>
      </c>
      <c r="E17" s="25" t="inlineStr">
        <is>
          <t>I</t>
        </is>
      </c>
      <c r="F17" s="25" t="inlineStr">
        <is>
          <t>Se rendre sur différents sites pour intervenir directement sur le terrain.</t>
        </is>
      </c>
      <c r="G17" s="26" t="inlineStr">
        <is>
          <t>FORTE</t>
        </is>
      </c>
      <c r="H17" s="27" t="inlineStr">
        <is>
          <t>Se déplacer sur plusieurs sites pour constater une situation et intervenir directement sur place.</t>
        </is>
      </c>
      <c r="I17" s="28" t="inlineStr">
        <is>
          <t>Ancrer l’item dans une expression typique de R/R4 sans ajouter la dimension concurrente I.</t>
        </is>
      </c>
      <c r="J17" s="25" t="inlineStr">
        <is>
          <t>FAIBLE</t>
        </is>
      </c>
      <c r="K17" s="25" t="inlineStr">
        <is>
          <t>FAIBLE</t>
        </is>
      </c>
      <c r="L17" s="25" t="inlineStr">
        <is>
          <t>MOYEN</t>
        </is>
      </c>
      <c r="M17" s="29" t="inlineStr">
        <is>
          <t>A_VALIDER</t>
        </is>
      </c>
      <c r="N17" s="30" t="inlineStr">
        <is>
          <t>PROPOSITION_V0.4</t>
        </is>
      </c>
      <c r="O17" s="9" t="n"/>
    </row>
    <row r="18" ht="48" customHeight="1" s="34">
      <c r="A18" s="25" t="inlineStr">
        <is>
          <t>PIP-ACT-R-R4-014</t>
        </is>
      </c>
      <c r="B18" s="25" t="inlineStr">
        <is>
          <t>R</t>
        </is>
      </c>
      <c r="C18" s="25" t="inlineStr">
        <is>
          <t>R4</t>
        </is>
      </c>
      <c r="D18" s="25" t="inlineStr">
        <is>
          <t>ACT</t>
        </is>
      </c>
      <c r="E18" s="25" t="inlineStr">
        <is>
          <t>I</t>
        </is>
      </c>
      <c r="F18" s="25" t="inlineStr">
        <is>
          <t>Réaliser une activité professionnelle principalement en extérieur.</t>
        </is>
      </c>
      <c r="G18" s="26" t="inlineStr">
        <is>
          <t>FORTE</t>
        </is>
      </c>
      <c r="H18" s="27" t="inlineStr">
        <is>
          <t>Passer l’essentiel de sa journée de travail dehors, sur un chantier, un site naturel ou un espace extérieur.</t>
        </is>
      </c>
      <c r="I18" s="28" t="inlineStr">
        <is>
          <t>Ancrer l’item dans une expression typique de R/R4 sans ajouter la dimension concurrente I.</t>
        </is>
      </c>
      <c r="J18" s="25" t="inlineStr">
        <is>
          <t>FAIBLE</t>
        </is>
      </c>
      <c r="K18" s="25" t="inlineStr">
        <is>
          <t>FAIBLE</t>
        </is>
      </c>
      <c r="L18" s="25" t="inlineStr">
        <is>
          <t>MOYEN</t>
        </is>
      </c>
      <c r="M18" s="29" t="inlineStr">
        <is>
          <t>A_VALIDER</t>
        </is>
      </c>
      <c r="N18" s="30" t="inlineStr">
        <is>
          <t>PROPOSITION_V0.4</t>
        </is>
      </c>
      <c r="O18" s="9" t="n"/>
    </row>
    <row r="19" ht="48" customHeight="1" s="34">
      <c r="A19" s="25" t="inlineStr">
        <is>
          <t>PIP-SIT-R-R4-015</t>
        </is>
      </c>
      <c r="B19" s="25" t="inlineStr">
        <is>
          <t>R</t>
        </is>
      </c>
      <c r="C19" s="25" t="inlineStr">
        <is>
          <t>R4</t>
        </is>
      </c>
      <c r="D19" s="25" t="inlineStr">
        <is>
          <t>SIT</t>
        </is>
      </c>
      <c r="E19" s="25" t="inlineStr">
        <is>
          <t>I</t>
        </is>
      </c>
      <c r="F19" s="25" t="inlineStr">
        <is>
          <t>Intervenir sur place lorsqu’une situation concrète doit être traitée directement plutôt qu’à distance.</t>
        </is>
      </c>
      <c r="G19" s="26" t="inlineStr">
        <is>
          <t>FORTE</t>
        </is>
      </c>
      <c r="H19" s="27" t="inlineStr">
        <is>
          <t>Un problème apparaît sur un site : aller sur place pour observer la situation et agir immédiatement.</t>
        </is>
      </c>
      <c r="I19" s="28" t="inlineStr">
        <is>
          <t>Ancrer l’item dans une expression typique de R/R4 sans ajouter la dimension concurrente I.</t>
        </is>
      </c>
      <c r="J19" s="25" t="inlineStr">
        <is>
          <t>FAIBLE</t>
        </is>
      </c>
      <c r="K19" s="25" t="inlineStr">
        <is>
          <t>FAIBLE</t>
        </is>
      </c>
      <c r="L19" s="25" t="inlineStr">
        <is>
          <t>MOYEN</t>
        </is>
      </c>
      <c r="M19" s="29" t="inlineStr">
        <is>
          <t>A_VALIDER</t>
        </is>
      </c>
      <c r="N19" s="30" t="inlineStr">
        <is>
          <t>PROPOSITION_V0.4</t>
        </is>
      </c>
      <c r="O19" s="9" t="n"/>
    </row>
    <row r="20" ht="48" customHeight="1" s="34">
      <c r="A20" s="25" t="inlineStr">
        <is>
          <t>PIP-ENV-R-R4-016</t>
        </is>
      </c>
      <c r="B20" s="25" t="inlineStr">
        <is>
          <t>R</t>
        </is>
      </c>
      <c r="C20" s="25" t="inlineStr">
        <is>
          <t>R4</t>
        </is>
      </c>
      <c r="D20" s="25" t="inlineStr">
        <is>
          <t>ENV</t>
        </is>
      </c>
      <c r="E20" s="25" t="inlineStr">
        <is>
          <t>I</t>
        </is>
      </c>
      <c r="F20" s="25" t="inlineStr">
        <is>
          <t>Travailler dans un contexte où l’activité se déroule souvent sur le terrain, au contact direct de l’environnement réel.</t>
        </is>
      </c>
      <c r="G20" s="26" t="inlineStr">
        <is>
          <t>FORTE</t>
        </is>
      </c>
      <c r="H20" s="27" t="inlineStr">
        <is>
          <t>Exercer un métier où l’on est souvent sur le terrain plutôt que derrière un bureau.</t>
        </is>
      </c>
      <c r="I20" s="28" t="inlineStr">
        <is>
          <t>Ancrer l’item dans une expression typique de R/R4 sans ajouter la dimension concurrente I.</t>
        </is>
      </c>
      <c r="J20" s="25" t="inlineStr">
        <is>
          <t>FAIBLE</t>
        </is>
      </c>
      <c r="K20" s="25" t="inlineStr">
        <is>
          <t>FAIBLE</t>
        </is>
      </c>
      <c r="L20" s="25" t="inlineStr">
        <is>
          <t>MOYEN</t>
        </is>
      </c>
      <c r="M20" s="29" t="inlineStr">
        <is>
          <t>A_VALIDER</t>
        </is>
      </c>
      <c r="N20" s="30" t="inlineStr">
        <is>
          <t>PROPOSITION_V0.4</t>
        </is>
      </c>
      <c r="O20" s="9" t="n"/>
    </row>
    <row r="21" ht="48" customHeight="1" s="34">
      <c r="A21" s="25" t="inlineStr">
        <is>
          <t>PIP-ACT-R-R5-017</t>
        </is>
      </c>
      <c r="B21" s="25" t="inlineStr">
        <is>
          <t>R</t>
        </is>
      </c>
      <c r="C21" s="25" t="inlineStr">
        <is>
          <t>R5</t>
        </is>
      </c>
      <c r="D21" s="25" t="inlineStr">
        <is>
          <t>ACT</t>
        </is>
      </c>
      <c r="E21" s="25" t="inlineStr">
        <is>
          <t>S,I</t>
        </is>
      </c>
      <c r="F21" s="25" t="inlineStr">
        <is>
          <t>S’occuper concrètement de plantes ou d’animaux dans le cadre du travail.</t>
        </is>
      </c>
      <c r="G21" s="26" t="inlineStr">
        <is>
          <t>FORTE</t>
        </is>
      </c>
      <c r="H21" s="27" t="inlineStr">
        <is>
          <t>S’occuper concrètement de cultures, de plantes ou d’animaux : nourrir, entretenir, surveiller leur état.</t>
        </is>
      </c>
      <c r="I21" s="28" t="inlineStr">
        <is>
          <t>Ancrer l’item dans une expression typique de R/R5 sans ajouter la dimension concurrente S,I.</t>
        </is>
      </c>
      <c r="J21" s="25" t="inlineStr">
        <is>
          <t>MOYEN</t>
        </is>
      </c>
      <c r="K21" s="25" t="inlineStr">
        <is>
          <t>FAIBLE</t>
        </is>
      </c>
      <c r="L21" s="25" t="inlineStr">
        <is>
          <t>MOYEN</t>
        </is>
      </c>
      <c r="M21" s="29" t="inlineStr">
        <is>
          <t>A_VALIDER</t>
        </is>
      </c>
      <c r="N21" s="30" t="inlineStr">
        <is>
          <t>PROPOSITION_V0.4</t>
        </is>
      </c>
      <c r="O21" s="9" t="n"/>
    </row>
    <row r="22" ht="48" customHeight="1" s="34">
      <c r="A22" s="25" t="inlineStr">
        <is>
          <t>PIP-ACT-R-R5-018</t>
        </is>
      </c>
      <c r="B22" s="25" t="inlineStr">
        <is>
          <t>R</t>
        </is>
      </c>
      <c r="C22" s="25" t="inlineStr">
        <is>
          <t>R5</t>
        </is>
      </c>
      <c r="D22" s="25" t="inlineStr">
        <is>
          <t>ACT</t>
        </is>
      </c>
      <c r="E22" s="25" t="inlineStr">
        <is>
          <t>S,I</t>
        </is>
      </c>
      <c r="F22" s="25" t="inlineStr">
        <is>
          <t>Manipuler des matériaux ou des produits pour réaliser une tâche physique utile.</t>
        </is>
      </c>
      <c r="G22" s="26" t="inlineStr">
        <is>
          <t>FORTE</t>
        </is>
      </c>
      <c r="H22" s="27" t="inlineStr">
        <is>
          <t>Manipuler des matériaux, déplacer des éléments ou préparer physiquement des produits pour réaliser une opération utile.</t>
        </is>
      </c>
      <c r="I22" s="28" t="inlineStr">
        <is>
          <t>Ancrer l’item dans une expression typique de R/R5 sans ajouter la dimension concurrente S,I.</t>
        </is>
      </c>
      <c r="J22" s="25" t="inlineStr">
        <is>
          <t>FAIBLE</t>
        </is>
      </c>
      <c r="K22" s="25" t="inlineStr">
        <is>
          <t>FAIBLE</t>
        </is>
      </c>
      <c r="L22" s="25" t="inlineStr">
        <is>
          <t>MOYEN</t>
        </is>
      </c>
      <c r="M22" s="29" t="inlineStr">
        <is>
          <t>A_VALIDER</t>
        </is>
      </c>
      <c r="N22" s="30" t="inlineStr">
        <is>
          <t>PROPOSITION_V0.4</t>
        </is>
      </c>
      <c r="O22" s="9" t="n"/>
    </row>
    <row r="23" ht="48" customHeight="1" s="34">
      <c r="A23" s="25" t="inlineStr">
        <is>
          <t>PIP-SIT-R-R5-019</t>
        </is>
      </c>
      <c r="B23" s="25" t="inlineStr">
        <is>
          <t>R</t>
        </is>
      </c>
      <c r="C23" s="25" t="inlineStr">
        <is>
          <t>R5</t>
        </is>
      </c>
      <c r="D23" s="25" t="inlineStr">
        <is>
          <t>SIT</t>
        </is>
      </c>
      <c r="E23" s="25" t="inlineStr">
        <is>
          <t>S,I</t>
        </is>
      </c>
      <c r="F23" s="25" t="inlineStr">
        <is>
          <t>Prendre en charge une activité où il faut agir directement sur du vivant, de la matière ou un environnement physique.</t>
        </is>
      </c>
      <c r="G23" s="26" t="inlineStr">
        <is>
          <t>FORTE</t>
        </is>
      </c>
      <c r="H23" s="27" t="inlineStr">
        <is>
          <t>Prendre en charge une tâche nécessitant d’agir directement sur des matières, des plantes, des animaux ou un espace physique.</t>
        </is>
      </c>
      <c r="I23" s="28" t="inlineStr">
        <is>
          <t>Ancrer l’item dans une expression typique de R/R5 sans ajouter la dimension concurrente S,I.</t>
        </is>
      </c>
      <c r="J23" s="25" t="inlineStr">
        <is>
          <t>FAIBLE</t>
        </is>
      </c>
      <c r="K23" s="25" t="inlineStr">
        <is>
          <t>FAIBLE</t>
        </is>
      </c>
      <c r="L23" s="25" t="inlineStr">
        <is>
          <t>MOYEN</t>
        </is>
      </c>
      <c r="M23" s="29" t="inlineStr">
        <is>
          <t>A_VALIDER</t>
        </is>
      </c>
      <c r="N23" s="30" t="inlineStr">
        <is>
          <t>PROPOSITION_V0.4</t>
        </is>
      </c>
      <c r="O23" s="9" t="n"/>
    </row>
    <row r="24" ht="48" customHeight="1" s="34">
      <c r="A24" s="25" t="inlineStr">
        <is>
          <t>PIP-ENV-R-R5-020</t>
        </is>
      </c>
      <c r="B24" s="25" t="inlineStr">
        <is>
          <t>R</t>
        </is>
      </c>
      <c r="C24" s="25" t="inlineStr">
        <is>
          <t>R5</t>
        </is>
      </c>
      <c r="D24" s="25" t="inlineStr">
        <is>
          <t>ENV</t>
        </is>
      </c>
      <c r="E24" s="25" t="inlineStr">
        <is>
          <t>S,I</t>
        </is>
      </c>
      <c r="F24" s="25" t="inlineStr">
        <is>
          <t>Évoluer dans un environnement où le travail implique régulièrement une action physique concrète sur des matières, des plantes, des animaux ou des objets.</t>
        </is>
      </c>
      <c r="G24" s="26" t="inlineStr">
        <is>
          <t>FORTE</t>
        </is>
      </c>
      <c r="H24" s="27" t="inlineStr">
        <is>
          <t>Travailler dans un environnement où l’activité implique régulièrement de manipuler des matières, des objets ou du vivant.</t>
        </is>
      </c>
      <c r="I24" s="28" t="inlineStr">
        <is>
          <t>Ancrer l’item dans une expression typique de R/R5 sans ajouter la dimension concurrente S,I.</t>
        </is>
      </c>
      <c r="J24" s="25" t="inlineStr">
        <is>
          <t>FAIBLE</t>
        </is>
      </c>
      <c r="K24" s="25" t="inlineStr">
        <is>
          <t>FAIBLE</t>
        </is>
      </c>
      <c r="L24" s="25" t="inlineStr">
        <is>
          <t>MOYEN</t>
        </is>
      </c>
      <c r="M24" s="29" t="inlineStr">
        <is>
          <t>A_VALIDER</t>
        </is>
      </c>
      <c r="N24" s="30" t="inlineStr">
        <is>
          <t>PROPOSITION_V0.4</t>
        </is>
      </c>
      <c r="O24" s="9" t="n"/>
    </row>
    <row r="25" ht="48" customHeight="1" s="34">
      <c r="A25" s="18" t="inlineStr">
        <is>
          <t>PIP-ACT-I-I1-001</t>
        </is>
      </c>
      <c r="B25" s="18" t="inlineStr">
        <is>
          <t>I</t>
        </is>
      </c>
      <c r="C25" s="18" t="inlineStr">
        <is>
          <t>I1</t>
        </is>
      </c>
      <c r="D25" s="18" t="inlineStr">
        <is>
          <t>ACT</t>
        </is>
      </c>
      <c r="E25" s="18" t="inlineStr">
        <is>
          <t>C</t>
        </is>
      </c>
      <c r="F25" s="18" t="inlineStr">
        <is>
          <t>Observer attentivement une situation pour en repérer les caractéristiques importantes.</t>
        </is>
      </c>
      <c r="G25" s="22" t="inlineStr">
        <is>
          <t>UTILE</t>
        </is>
      </c>
      <c r="H25" s="20" t="inlineStr">
        <is>
          <t>Observer un fonctionnement, un phénomène ou une situation et relever les détails importants avant de conclure.</t>
        </is>
      </c>
      <c r="I25" s="21" t="inlineStr">
        <is>
          <t>Ancrer l’item dans une expression typique de I/I1 sans ajouter la dimension concurrente C.</t>
        </is>
      </c>
      <c r="J25" s="18" t="inlineStr">
        <is>
          <t>FAIBLE</t>
        </is>
      </c>
      <c r="K25" s="18" t="inlineStr">
        <is>
          <t>FAIBLE</t>
        </is>
      </c>
      <c r="L25" s="18" t="inlineStr">
        <is>
          <t>FAIBLE</t>
        </is>
      </c>
      <c r="M25" s="22" t="inlineStr">
        <is>
          <t>A_VALIDER</t>
        </is>
      </c>
      <c r="N25" s="23" t="inlineStr">
        <is>
          <t>PROPOSITION_V0.4</t>
        </is>
      </c>
      <c r="O25" s="24" t="n"/>
    </row>
    <row r="26" ht="48" customHeight="1" s="34">
      <c r="A26" s="25" t="inlineStr">
        <is>
          <t>PIP-ACT-I-I1-002</t>
        </is>
      </c>
      <c r="B26" s="25" t="inlineStr">
        <is>
          <t>I</t>
        </is>
      </c>
      <c r="C26" s="25" t="inlineStr">
        <is>
          <t>I1</t>
        </is>
      </c>
      <c r="D26" s="25" t="inlineStr">
        <is>
          <t>ACT</t>
        </is>
      </c>
      <c r="E26" s="25" t="inlineStr">
        <is>
          <t>C</t>
        </is>
      </c>
      <c r="F26" s="25" t="inlineStr">
        <is>
          <t>Comparer plusieurs informations ou observations pour identifier ce qui les distingue.</t>
        </is>
      </c>
      <c r="G26" s="29" t="inlineStr">
        <is>
          <t>UTILE</t>
        </is>
      </c>
      <c r="H26" s="27" t="inlineStr">
        <is>
          <t>Comparer deux séries d’informations ou d’observations pour identifier précisément ce qui diffère.</t>
        </is>
      </c>
      <c r="I26" s="28" t="inlineStr">
        <is>
          <t>Ancrer l’item dans une expression typique de I/I1 sans ajouter la dimension concurrente C.</t>
        </is>
      </c>
      <c r="J26" s="25" t="inlineStr">
        <is>
          <t>FAIBLE</t>
        </is>
      </c>
      <c r="K26" s="25" t="inlineStr">
        <is>
          <t>FAIBLE</t>
        </is>
      </c>
      <c r="L26" s="25" t="inlineStr">
        <is>
          <t>FAIBLE</t>
        </is>
      </c>
      <c r="M26" s="29" t="inlineStr">
        <is>
          <t>A_VALIDER</t>
        </is>
      </c>
      <c r="N26" s="30" t="inlineStr">
        <is>
          <t>PROPOSITION_V0.4</t>
        </is>
      </c>
      <c r="O26" s="9" t="n"/>
    </row>
    <row r="27" ht="48" customHeight="1" s="34">
      <c r="A27" s="25" t="inlineStr">
        <is>
          <t>PIP-SIT-I-I1-003</t>
        </is>
      </c>
      <c r="B27" s="25" t="inlineStr">
        <is>
          <t>I</t>
        </is>
      </c>
      <c r="C27" s="25" t="inlineStr">
        <is>
          <t>I1</t>
        </is>
      </c>
      <c r="D27" s="25" t="inlineStr">
        <is>
          <t>SIT</t>
        </is>
      </c>
      <c r="E27" s="25" t="inlineStr">
        <is>
          <t>C</t>
        </is>
      </c>
      <c r="F27" s="25" t="inlineStr">
        <is>
          <t>Examiner une situation nouvelle afin de comprendre précisément ce qui s’y passe.</t>
        </is>
      </c>
      <c r="G27" s="29" t="inlineStr">
        <is>
          <t>UTILE</t>
        </is>
      </c>
      <c r="H27" s="27" t="inlineStr">
        <is>
          <t>Face à une situation inhabituelle, prendre le temps d’examiner les faits avant d’avancer une explication.</t>
        </is>
      </c>
      <c r="I27" s="28" t="inlineStr">
        <is>
          <t>Ancrer l’item dans une expression typique de I/I1 sans ajouter la dimension concurrente C.</t>
        </is>
      </c>
      <c r="J27" s="25" t="inlineStr">
        <is>
          <t>FAIBLE</t>
        </is>
      </c>
      <c r="K27" s="25" t="inlineStr">
        <is>
          <t>FAIBLE</t>
        </is>
      </c>
      <c r="L27" s="25" t="inlineStr">
        <is>
          <t>FAIBLE</t>
        </is>
      </c>
      <c r="M27" s="29" t="inlineStr">
        <is>
          <t>A_VALIDER</t>
        </is>
      </c>
      <c r="N27" s="30" t="inlineStr">
        <is>
          <t>PROPOSITION_V0.4</t>
        </is>
      </c>
      <c r="O27" s="9" t="n"/>
    </row>
    <row r="28" ht="48" customHeight="1" s="34">
      <c r="A28" s="25" t="inlineStr">
        <is>
          <t>PIP-ENV-I-I1-004</t>
        </is>
      </c>
      <c r="B28" s="25" t="inlineStr">
        <is>
          <t>I</t>
        </is>
      </c>
      <c r="C28" s="25" t="inlineStr">
        <is>
          <t>I1</t>
        </is>
      </c>
      <c r="D28" s="25" t="inlineStr">
        <is>
          <t>ENV</t>
        </is>
      </c>
      <c r="E28" s="25" t="inlineStr">
        <is>
          <t>C</t>
        </is>
      </c>
      <c r="F28" s="25" t="inlineStr">
        <is>
          <t>Travailler dans un contexte où l’on dispose de temps pour observer et examiner les faits avant de tirer des conclusions.</t>
        </is>
      </c>
      <c r="G28" s="29" t="inlineStr">
        <is>
          <t>UTILE</t>
        </is>
      </c>
      <c r="H28" s="27" t="inlineStr">
        <is>
          <t>Travailler dans un contexte où l’on peut observer, vérifier et examiner les faits avant de prendre position.</t>
        </is>
      </c>
      <c r="I28" s="28" t="inlineStr">
        <is>
          <t>Ancrer l’item dans une expression typique de I/I1 sans ajouter la dimension concurrente C.</t>
        </is>
      </c>
      <c r="J28" s="25" t="inlineStr">
        <is>
          <t>FAIBLE</t>
        </is>
      </c>
      <c r="K28" s="25" t="inlineStr">
        <is>
          <t>FAIBLE</t>
        </is>
      </c>
      <c r="L28" s="25" t="inlineStr">
        <is>
          <t>FAIBLE</t>
        </is>
      </c>
      <c r="M28" s="29" t="inlineStr">
        <is>
          <t>A_VALIDER</t>
        </is>
      </c>
      <c r="N28" s="30" t="inlineStr">
        <is>
          <t>PROPOSITION_V0.4</t>
        </is>
      </c>
      <c r="O28" s="9" t="n"/>
    </row>
    <row r="29" ht="48" customHeight="1" s="34">
      <c r="A29" s="25" t="inlineStr">
        <is>
          <t>PIP-ACT-I-I2-005</t>
        </is>
      </c>
      <c r="B29" s="25" t="inlineStr">
        <is>
          <t>I</t>
        </is>
      </c>
      <c r="C29" s="25" t="inlineStr">
        <is>
          <t>I2</t>
        </is>
      </c>
      <c r="D29" s="25" t="inlineStr">
        <is>
          <t>ACT</t>
        </is>
      </c>
      <c r="E29" s="25" t="inlineStr">
        <is>
          <t>C</t>
        </is>
      </c>
      <c r="F29" s="25" t="inlineStr">
        <is>
          <t>Analyser plusieurs informations pour comprendre les liens entre elles.</t>
        </is>
      </c>
      <c r="G29" s="29" t="inlineStr">
        <is>
          <t>UTILE</t>
        </is>
      </c>
      <c r="H29" s="27" t="inlineStr">
        <is>
          <t>Analyser plusieurs données pour comprendre comment elles sont liées et ce qu’elles expliquent.</t>
        </is>
      </c>
      <c r="I29" s="28" t="inlineStr">
        <is>
          <t>Ancrer l’item dans une expression typique de I/I2 sans ajouter la dimension concurrente C.</t>
        </is>
      </c>
      <c r="J29" s="25" t="inlineStr">
        <is>
          <t>FAIBLE</t>
        </is>
      </c>
      <c r="K29" s="25" t="inlineStr">
        <is>
          <t>FAIBLE</t>
        </is>
      </c>
      <c r="L29" s="25" t="inlineStr">
        <is>
          <t>FAIBLE</t>
        </is>
      </c>
      <c r="M29" s="29" t="inlineStr">
        <is>
          <t>A_VALIDER</t>
        </is>
      </c>
      <c r="N29" s="30" t="inlineStr">
        <is>
          <t>PROPOSITION_V0.4</t>
        </is>
      </c>
      <c r="O29" s="9" t="n"/>
    </row>
    <row r="30" ht="48" customHeight="1" s="34">
      <c r="A30" s="25" t="inlineStr">
        <is>
          <t>PIP-ACT-I-I2-006</t>
        </is>
      </c>
      <c r="B30" s="25" t="inlineStr">
        <is>
          <t>I</t>
        </is>
      </c>
      <c r="C30" s="25" t="inlineStr">
        <is>
          <t>I2</t>
        </is>
      </c>
      <c r="D30" s="25" t="inlineStr">
        <is>
          <t>ACT</t>
        </is>
      </c>
      <c r="E30" s="25" t="inlineStr">
        <is>
          <t>C</t>
        </is>
      </c>
      <c r="F30" s="25" t="inlineStr">
        <is>
          <t>Décomposer un problème complexe en plusieurs éléments pour mieux le comprendre.</t>
        </is>
      </c>
      <c r="G30" s="26" t="inlineStr">
        <is>
          <t>FORTE</t>
        </is>
      </c>
      <c r="H30" s="27" t="inlineStr">
        <is>
          <t>Découper un problème complexe en plusieurs questions plus simples afin d’en comprendre la logique.</t>
        </is>
      </c>
      <c r="I30" s="28" t="inlineStr">
        <is>
          <t>Ancrer l’item dans une expression typique de I/I2 sans ajouter la dimension concurrente C.</t>
        </is>
      </c>
      <c r="J30" s="25" t="inlineStr">
        <is>
          <t>FAIBLE</t>
        </is>
      </c>
      <c r="K30" s="25" t="inlineStr">
        <is>
          <t>FAIBLE</t>
        </is>
      </c>
      <c r="L30" s="25" t="inlineStr">
        <is>
          <t>FAIBLE</t>
        </is>
      </c>
      <c r="M30" s="29" t="inlineStr">
        <is>
          <t>A_VALIDER</t>
        </is>
      </c>
      <c r="N30" s="30" t="inlineStr">
        <is>
          <t>PROPOSITION_V0.4</t>
        </is>
      </c>
      <c r="O30" s="9" t="n"/>
    </row>
    <row r="31" ht="48" customHeight="1" s="34">
      <c r="A31" s="25" t="inlineStr">
        <is>
          <t>PIP-SIT-I-I2-007</t>
        </is>
      </c>
      <c r="B31" s="25" t="inlineStr">
        <is>
          <t>I</t>
        </is>
      </c>
      <c r="C31" s="25" t="inlineStr">
        <is>
          <t>I2</t>
        </is>
      </c>
      <c r="D31" s="25" t="inlineStr">
        <is>
          <t>SIT</t>
        </is>
      </c>
      <c r="E31" s="25" t="inlineStr">
        <is>
          <t>C</t>
        </is>
      </c>
      <c r="F31" s="25" t="inlineStr">
        <is>
          <t>Faire face à un problème où il faut raisonner étape par étape avant de trouver une explication.</t>
        </is>
      </c>
      <c r="G31" s="29" t="inlineStr">
        <is>
          <t>UTILE</t>
        </is>
      </c>
      <c r="H31" s="27" t="inlineStr">
        <is>
          <t>Un problème n’a pas de réponse évidente : raisonner étape par étape pour comprendre ce qui se passe.</t>
        </is>
      </c>
      <c r="I31" s="28" t="inlineStr">
        <is>
          <t>Ancrer l’item dans une expression typique de I/I2 sans ajouter la dimension concurrente C.</t>
        </is>
      </c>
      <c r="J31" s="25" t="inlineStr">
        <is>
          <t>FAIBLE</t>
        </is>
      </c>
      <c r="K31" s="25" t="inlineStr">
        <is>
          <t>FAIBLE</t>
        </is>
      </c>
      <c r="L31" s="25" t="inlineStr">
        <is>
          <t>FAIBLE</t>
        </is>
      </c>
      <c r="M31" s="29" t="inlineStr">
        <is>
          <t>A_VALIDER</t>
        </is>
      </c>
      <c r="N31" s="30" t="inlineStr">
        <is>
          <t>PROPOSITION_V0.4</t>
        </is>
      </c>
      <c r="O31" s="9" t="n"/>
    </row>
    <row r="32" ht="48" customHeight="1" s="34">
      <c r="A32" s="25" t="inlineStr">
        <is>
          <t>PIP-ENV-I-I2-008</t>
        </is>
      </c>
      <c r="B32" s="25" t="inlineStr">
        <is>
          <t>I</t>
        </is>
      </c>
      <c r="C32" s="25" t="inlineStr">
        <is>
          <t>I2</t>
        </is>
      </c>
      <c r="D32" s="25" t="inlineStr">
        <is>
          <t>ENV</t>
        </is>
      </c>
      <c r="E32" s="25" t="inlineStr">
        <is>
          <t>C</t>
        </is>
      </c>
      <c r="F32" s="25" t="inlineStr">
        <is>
          <t>Évoluer dans un contexte où l’on doit régulièrement interpréter des informations et construire un raisonnement.</t>
        </is>
      </c>
      <c r="G32" s="26" t="inlineStr">
        <is>
          <t>FORTE</t>
        </is>
      </c>
      <c r="H32" s="27" t="inlineStr">
        <is>
          <t>Exercer dans un environnement où l’on doit souvent interpréter des informations et construire un raisonnement argumenté.</t>
        </is>
      </c>
      <c r="I32" s="28" t="inlineStr">
        <is>
          <t>Ancrer l’item dans une expression typique de I/I2 sans ajouter la dimension concurrente C.</t>
        </is>
      </c>
      <c r="J32" s="25" t="inlineStr">
        <is>
          <t>FAIBLE</t>
        </is>
      </c>
      <c r="K32" s="25" t="inlineStr">
        <is>
          <t>FAIBLE</t>
        </is>
      </c>
      <c r="L32" s="25" t="inlineStr">
        <is>
          <t>FAIBLE</t>
        </is>
      </c>
      <c r="M32" s="29" t="inlineStr">
        <is>
          <t>A_VALIDER</t>
        </is>
      </c>
      <c r="N32" s="30" t="inlineStr">
        <is>
          <t>PROPOSITION_V0.4</t>
        </is>
      </c>
      <c r="O32" s="9" t="n"/>
    </row>
    <row r="33" ht="48" customHeight="1" s="34">
      <c r="A33" s="25" t="inlineStr">
        <is>
          <t>PIP-ACT-I-I3-009</t>
        </is>
      </c>
      <c r="B33" s="25" t="inlineStr">
        <is>
          <t>I</t>
        </is>
      </c>
      <c r="C33" s="25" t="inlineStr">
        <is>
          <t>I3</t>
        </is>
      </c>
      <c r="D33" s="25" t="inlineStr">
        <is>
          <t>ACT</t>
        </is>
      </c>
      <c r="E33" s="25" t="inlineStr">
        <is>
          <t>C</t>
        </is>
      </c>
      <c r="F33" s="25" t="inlineStr">
        <is>
          <t>Rechercher des informations provenant de plusieurs sources pour répondre à une question.</t>
        </is>
      </c>
      <c r="G33" s="29" t="inlineStr">
        <is>
          <t>UTILE</t>
        </is>
      </c>
      <c r="H33" s="27" t="inlineStr">
        <is>
          <t>Chercher des informations dans plusieurs sources fiables pour répondre à une question précise.</t>
        </is>
      </c>
      <c r="I33" s="28" t="inlineStr">
        <is>
          <t>Ancrer l’item dans une expression typique de I/I3 sans ajouter la dimension concurrente C.</t>
        </is>
      </c>
      <c r="J33" s="25" t="inlineStr">
        <is>
          <t>FAIBLE</t>
        </is>
      </c>
      <c r="K33" s="25" t="inlineStr">
        <is>
          <t>FAIBLE</t>
        </is>
      </c>
      <c r="L33" s="25" t="inlineStr">
        <is>
          <t>FAIBLE</t>
        </is>
      </c>
      <c r="M33" s="29" t="inlineStr">
        <is>
          <t>A_VALIDER</t>
        </is>
      </c>
      <c r="N33" s="30" t="inlineStr">
        <is>
          <t>PROPOSITION_V0.4</t>
        </is>
      </c>
      <c r="O33" s="9" t="n"/>
    </row>
    <row r="34" ht="48" customHeight="1" s="34">
      <c r="A34" s="25" t="inlineStr">
        <is>
          <t>PIP-ACT-I-I3-010</t>
        </is>
      </c>
      <c r="B34" s="25" t="inlineStr">
        <is>
          <t>I</t>
        </is>
      </c>
      <c r="C34" s="25" t="inlineStr">
        <is>
          <t>I3</t>
        </is>
      </c>
      <c r="D34" s="25" t="inlineStr">
        <is>
          <t>ACT</t>
        </is>
      </c>
      <c r="E34" s="25" t="inlineStr">
        <is>
          <t>C</t>
        </is>
      </c>
      <c r="F34" s="25" t="inlineStr">
        <is>
          <t>Enquêter pour vérifier ce qui est exact lorsqu’une situation reste incertaine.</t>
        </is>
      </c>
      <c r="G34" s="29" t="inlineStr">
        <is>
          <t>UTILE</t>
        </is>
      </c>
      <c r="H34" s="27" t="inlineStr">
        <is>
          <t>Vérifier une information incertaine en recoupant des sources et en recherchant des éléments de preuve.</t>
        </is>
      </c>
      <c r="I34" s="28" t="inlineStr">
        <is>
          <t>Ancrer l’item dans une expression typique de I/I3 sans ajouter la dimension concurrente C.</t>
        </is>
      </c>
      <c r="J34" s="25" t="inlineStr">
        <is>
          <t>FAIBLE</t>
        </is>
      </c>
      <c r="K34" s="25" t="inlineStr">
        <is>
          <t>FAIBLE</t>
        </is>
      </c>
      <c r="L34" s="25" t="inlineStr">
        <is>
          <t>FAIBLE</t>
        </is>
      </c>
      <c r="M34" s="29" t="inlineStr">
        <is>
          <t>A_VALIDER</t>
        </is>
      </c>
      <c r="N34" s="30" t="inlineStr">
        <is>
          <t>PROPOSITION_V0.4</t>
        </is>
      </c>
      <c r="O34" s="9" t="n"/>
    </row>
    <row r="35" ht="48" customHeight="1" s="34">
      <c r="A35" s="25" t="inlineStr">
        <is>
          <t>PIP-SIT-I-I3-011</t>
        </is>
      </c>
      <c r="B35" s="25" t="inlineStr">
        <is>
          <t>I</t>
        </is>
      </c>
      <c r="C35" s="25" t="inlineStr">
        <is>
          <t>I3</t>
        </is>
      </c>
      <c r="D35" s="25" t="inlineStr">
        <is>
          <t>SIT</t>
        </is>
      </c>
      <c r="E35" s="25" t="inlineStr">
        <is>
          <t>C</t>
        </is>
      </c>
      <c r="F35" s="25" t="inlineStr">
        <is>
          <t>Être confronté à une question sans réponse immédiate et devoir approfondir les recherches pour la comprendre.</t>
        </is>
      </c>
      <c r="G35" s="31" t="inlineStr">
        <is>
          <t>LEGERE</t>
        </is>
      </c>
      <c r="H35" s="27" t="inlineStr">
        <is>
          <t>Une question reste sans réponse : approfondir la recherche jusqu’à comprendre les éléments essentiels.</t>
        </is>
      </c>
      <c r="I35" s="28" t="inlineStr">
        <is>
          <t>Ancrer l’item dans une expression typique de I/I3 sans ajouter la dimension concurrente C.</t>
        </is>
      </c>
      <c r="J35" s="25" t="inlineStr">
        <is>
          <t>FAIBLE</t>
        </is>
      </c>
      <c r="K35" s="25" t="inlineStr">
        <is>
          <t>FAIBLE</t>
        </is>
      </c>
      <c r="L35" s="25" t="inlineStr">
        <is>
          <t>FAIBLE</t>
        </is>
      </c>
      <c r="M35" s="29" t="inlineStr">
        <is>
          <t>A_VALIDER</t>
        </is>
      </c>
      <c r="N35" s="30" t="inlineStr">
        <is>
          <t>PROPOSITION_V0.4</t>
        </is>
      </c>
      <c r="O35" s="9" t="n"/>
    </row>
    <row r="36" ht="48" customHeight="1" s="34">
      <c r="A36" s="25" t="inlineStr">
        <is>
          <t>PIP-ENV-I-I3-012</t>
        </is>
      </c>
      <c r="B36" s="25" t="inlineStr">
        <is>
          <t>I</t>
        </is>
      </c>
      <c r="C36" s="25" t="inlineStr">
        <is>
          <t>I3</t>
        </is>
      </c>
      <c r="D36" s="25" t="inlineStr">
        <is>
          <t>ENV</t>
        </is>
      </c>
      <c r="E36" s="25" t="inlineStr">
        <is>
          <t>C</t>
        </is>
      </c>
      <c r="F36" s="25" t="inlineStr">
        <is>
          <t>Travailler dans un contexte où l’on peut explorer des sujets, consulter des sources et approfondir des questions.</t>
        </is>
      </c>
      <c r="G36" s="26" t="inlineStr">
        <is>
          <t>FORTE</t>
        </is>
      </c>
      <c r="H36" s="27" t="inlineStr">
        <is>
          <t>Travailler dans un contexte où l’on dispose régulièrement de temps pour chercher, documenter et approfondir des sujets.</t>
        </is>
      </c>
      <c r="I36" s="28" t="inlineStr">
        <is>
          <t>Ancrer l’item dans une expression typique de I/I3 sans ajouter la dimension concurrente C.</t>
        </is>
      </c>
      <c r="J36" s="25" t="inlineStr">
        <is>
          <t>FAIBLE</t>
        </is>
      </c>
      <c r="K36" s="25" t="inlineStr">
        <is>
          <t>FAIBLE</t>
        </is>
      </c>
      <c r="L36" s="25" t="inlineStr">
        <is>
          <t>FAIBLE</t>
        </is>
      </c>
      <c r="M36" s="29" t="inlineStr">
        <is>
          <t>A_VALIDER</t>
        </is>
      </c>
      <c r="N36" s="30" t="inlineStr">
        <is>
          <t>PROPOSITION_V0.4</t>
        </is>
      </c>
      <c r="O36" s="9" t="n"/>
    </row>
    <row r="37" ht="48" customHeight="1" s="34">
      <c r="A37" s="25" t="inlineStr">
        <is>
          <t>PIP-ACT-I-I4-013</t>
        </is>
      </c>
      <c r="B37" s="25" t="inlineStr">
        <is>
          <t>I</t>
        </is>
      </c>
      <c r="C37" s="25" t="inlineStr">
        <is>
          <t>I4</t>
        </is>
      </c>
      <c r="D37" s="25" t="inlineStr">
        <is>
          <t>ACT</t>
        </is>
      </c>
      <c r="E37" s="25" t="inlineStr">
        <is>
          <t>R</t>
        </is>
      </c>
      <c r="F37" s="25" t="inlineStr">
        <is>
          <t>Tester une hypothèse pour voir si elle se vérifie.</t>
        </is>
      </c>
      <c r="G37" s="31" t="inlineStr">
        <is>
          <t>LEGERE</t>
        </is>
      </c>
      <c r="H37" s="27" t="inlineStr">
        <is>
          <t>Tester une hypothèse en définissant une manière simple de vérifier si elle se confirme.</t>
        </is>
      </c>
      <c r="I37" s="28" t="inlineStr">
        <is>
          <t>Ancrer l’item dans une expression typique de I/I4 sans ajouter la dimension concurrente R.</t>
        </is>
      </c>
      <c r="J37" s="25" t="inlineStr">
        <is>
          <t>FAIBLE</t>
        </is>
      </c>
      <c r="K37" s="25" t="inlineStr">
        <is>
          <t>FAIBLE</t>
        </is>
      </c>
      <c r="L37" s="25" t="inlineStr">
        <is>
          <t>FAIBLE</t>
        </is>
      </c>
      <c r="M37" s="29" t="inlineStr">
        <is>
          <t>A_VALIDER</t>
        </is>
      </c>
      <c r="N37" s="30" t="inlineStr">
        <is>
          <t>PROPOSITION_V0.4</t>
        </is>
      </c>
      <c r="O37" s="9" t="n"/>
    </row>
    <row r="38" ht="48" customHeight="1" s="34">
      <c r="A38" s="25" t="inlineStr">
        <is>
          <t>PIP-ACT-I-I4-014</t>
        </is>
      </c>
      <c r="B38" s="25" t="inlineStr">
        <is>
          <t>I</t>
        </is>
      </c>
      <c r="C38" s="25" t="inlineStr">
        <is>
          <t>I4</t>
        </is>
      </c>
      <c r="D38" s="25" t="inlineStr">
        <is>
          <t>ACT</t>
        </is>
      </c>
      <c r="E38" s="25" t="inlineStr">
        <is>
          <t>R</t>
        </is>
      </c>
      <c r="F38" s="25" t="inlineStr">
        <is>
          <t>Comparer plusieurs essais pour comprendre ce qui produit un résultat différent.</t>
        </is>
      </c>
      <c r="G38" s="31" t="inlineStr">
        <is>
          <t>LEGERE</t>
        </is>
      </c>
      <c r="H38" s="27" t="inlineStr">
        <is>
          <t>Réaliser plusieurs essais en modifiant un paramètre pour comprendre ce qui change le résultat.</t>
        </is>
      </c>
      <c r="I38" s="28" t="inlineStr">
        <is>
          <t>Ancrer l’item dans une expression typique de I/I4 sans ajouter la dimension concurrente R.</t>
        </is>
      </c>
      <c r="J38" s="25" t="inlineStr">
        <is>
          <t>FAIBLE</t>
        </is>
      </c>
      <c r="K38" s="25" t="inlineStr">
        <is>
          <t>FAIBLE</t>
        </is>
      </c>
      <c r="L38" s="25" t="inlineStr">
        <is>
          <t>FAIBLE</t>
        </is>
      </c>
      <c r="M38" s="29" t="inlineStr">
        <is>
          <t>A_VALIDER</t>
        </is>
      </c>
      <c r="N38" s="30" t="inlineStr">
        <is>
          <t>PROPOSITION_V0.4</t>
        </is>
      </c>
      <c r="O38" s="9" t="n"/>
    </row>
    <row r="39" ht="48" customHeight="1" s="34">
      <c r="A39" s="25" t="inlineStr">
        <is>
          <t>PIP-SIT-I-I4-015</t>
        </is>
      </c>
      <c r="B39" s="25" t="inlineStr">
        <is>
          <t>I</t>
        </is>
      </c>
      <c r="C39" s="25" t="inlineStr">
        <is>
          <t>I4</t>
        </is>
      </c>
      <c r="D39" s="25" t="inlineStr">
        <is>
          <t>SIT</t>
        </is>
      </c>
      <c r="E39" s="25" t="inlineStr">
        <is>
          <t>R</t>
        </is>
      </c>
      <c r="F39" s="25" t="inlineStr">
        <is>
          <t>Chercher la meilleure explication d’un phénomène en réalisant des essais ou des mesures.</t>
        </is>
      </c>
      <c r="G39" s="31" t="inlineStr">
        <is>
          <t>LEGERE</t>
        </is>
      </c>
      <c r="H39" s="27" t="inlineStr">
        <is>
          <t>Pour expliquer un phénomène, effectuer des mesures ou des essais et comparer les résultats obtenus.</t>
        </is>
      </c>
      <c r="I39" s="28" t="inlineStr">
        <is>
          <t>Ancrer l’item dans une expression typique de I/I4 sans ajouter la dimension concurrente R.</t>
        </is>
      </c>
      <c r="J39" s="25" t="inlineStr">
        <is>
          <t>FAIBLE</t>
        </is>
      </c>
      <c r="K39" s="25" t="inlineStr">
        <is>
          <t>FAIBLE</t>
        </is>
      </c>
      <c r="L39" s="25" t="inlineStr">
        <is>
          <t>FAIBLE</t>
        </is>
      </c>
      <c r="M39" s="29" t="inlineStr">
        <is>
          <t>A_VALIDER</t>
        </is>
      </c>
      <c r="N39" s="30" t="inlineStr">
        <is>
          <t>PROPOSITION_V0.4</t>
        </is>
      </c>
      <c r="O39" s="9" t="n"/>
    </row>
    <row r="40" ht="48" customHeight="1" s="34">
      <c r="A40" s="25" t="inlineStr">
        <is>
          <t>PIP-ENV-I-I4-016</t>
        </is>
      </c>
      <c r="B40" s="25" t="inlineStr">
        <is>
          <t>I</t>
        </is>
      </c>
      <c r="C40" s="25" t="inlineStr">
        <is>
          <t>I4</t>
        </is>
      </c>
      <c r="D40" s="25" t="inlineStr">
        <is>
          <t>ENV</t>
        </is>
      </c>
      <c r="E40" s="25" t="inlineStr">
        <is>
          <t>R</t>
        </is>
      </c>
      <c r="F40" s="25" t="inlineStr">
        <is>
          <t>Évoluer dans un contexte où l’on peut expérimenter, mesurer et tirer des enseignements des résultats.</t>
        </is>
      </c>
      <c r="G40" s="29" t="inlineStr">
        <is>
          <t>UTILE</t>
        </is>
      </c>
      <c r="H40" s="27" t="inlineStr">
        <is>
          <t>Évoluer dans un environnement où l’on peut tester, mesurer, expérimenter et apprendre des résultats.</t>
        </is>
      </c>
      <c r="I40" s="28" t="inlineStr">
        <is>
          <t>Ancrer l’item dans une expression typique de I/I4 sans ajouter la dimension concurrente R.</t>
        </is>
      </c>
      <c r="J40" s="25" t="inlineStr">
        <is>
          <t>FAIBLE</t>
        </is>
      </c>
      <c r="K40" s="25" t="inlineStr">
        <is>
          <t>FAIBLE</t>
        </is>
      </c>
      <c r="L40" s="25" t="inlineStr">
        <is>
          <t>FAIBLE</t>
        </is>
      </c>
      <c r="M40" s="29" t="inlineStr">
        <is>
          <t>A_VALIDER</t>
        </is>
      </c>
      <c r="N40" s="30" t="inlineStr">
        <is>
          <t>PROPOSITION_V0.4</t>
        </is>
      </c>
      <c r="O40" s="9" t="n"/>
    </row>
    <row r="41" ht="48" customHeight="1" s="34">
      <c r="A41" s="25" t="inlineStr">
        <is>
          <t>PIP-ACT-I-I5-017</t>
        </is>
      </c>
      <c r="B41" s="25" t="inlineStr">
        <is>
          <t>I</t>
        </is>
      </c>
      <c r="C41" s="25" t="inlineStr">
        <is>
          <t>I5</t>
        </is>
      </c>
      <c r="D41" s="25" t="inlineStr">
        <is>
          <t>ACT</t>
        </is>
      </c>
      <c r="E41" s="25" t="inlineStr">
        <is>
          <t>R</t>
        </is>
      </c>
      <c r="F41" s="25" t="inlineStr">
        <is>
          <t>Chercher la cause d’un problème pour pouvoir l’expliquer.</t>
        </is>
      </c>
      <c r="G41" s="29" t="inlineStr">
        <is>
          <t>UTILE</t>
        </is>
      </c>
      <c r="H41" s="27" t="inlineStr">
        <is>
          <t>Rechercher la cause d’un dysfonctionnement ou d’un phénomène avant de proposer une explication.</t>
        </is>
      </c>
      <c r="I41" s="28" t="inlineStr">
        <is>
          <t>Ancrer l’item dans une expression typique de I/I5 sans ajouter la dimension concurrente R.</t>
        </is>
      </c>
      <c r="J41" s="25" t="inlineStr">
        <is>
          <t>FAIBLE</t>
        </is>
      </c>
      <c r="K41" s="25" t="inlineStr">
        <is>
          <t>FAIBLE</t>
        </is>
      </c>
      <c r="L41" s="25" t="inlineStr">
        <is>
          <t>FAIBLE</t>
        </is>
      </c>
      <c r="M41" s="29" t="inlineStr">
        <is>
          <t>A_VALIDER</t>
        </is>
      </c>
      <c r="N41" s="30" t="inlineStr">
        <is>
          <t>PROPOSITION_V0.4</t>
        </is>
      </c>
      <c r="O41" s="9" t="n"/>
    </row>
    <row r="42" ht="48" customHeight="1" s="34">
      <c r="A42" s="25" t="inlineStr">
        <is>
          <t>PIP-ACT-I-I5-018</t>
        </is>
      </c>
      <c r="B42" s="25" t="inlineStr">
        <is>
          <t>I</t>
        </is>
      </c>
      <c r="C42" s="25" t="inlineStr">
        <is>
          <t>I5</t>
        </is>
      </c>
      <c r="D42" s="25" t="inlineStr">
        <is>
          <t>ACT</t>
        </is>
      </c>
      <c r="E42" s="25" t="inlineStr">
        <is>
          <t>R</t>
        </is>
      </c>
      <c r="F42" s="25" t="inlineStr">
        <is>
          <t>Résoudre un problème nouveau en construisant une solution fondée sur les informations disponibles.</t>
        </is>
      </c>
      <c r="G42" s="26" t="inlineStr">
        <is>
          <t>FORTE</t>
        </is>
      </c>
      <c r="H42" s="27" t="inlineStr">
        <is>
          <t>Résoudre un problème nouveau en utilisant les informations disponibles pour construire une solution raisonnée.</t>
        </is>
      </c>
      <c r="I42" s="28" t="inlineStr">
        <is>
          <t>Ancrer l’item dans une expression typique de I/I5 sans ajouter la dimension concurrente R.</t>
        </is>
      </c>
      <c r="J42" s="25" t="inlineStr">
        <is>
          <t>FAIBLE</t>
        </is>
      </c>
      <c r="K42" s="25" t="inlineStr">
        <is>
          <t>FAIBLE</t>
        </is>
      </c>
      <c r="L42" s="25" t="inlineStr">
        <is>
          <t>FAIBLE</t>
        </is>
      </c>
      <c r="M42" s="29" t="inlineStr">
        <is>
          <t>A_VALIDER</t>
        </is>
      </c>
      <c r="N42" s="30" t="inlineStr">
        <is>
          <t>PROPOSITION_V0.4</t>
        </is>
      </c>
      <c r="O42" s="9" t="n"/>
    </row>
    <row r="43" ht="48" customHeight="1" s="34">
      <c r="A43" s="25" t="inlineStr">
        <is>
          <t>PIP-SIT-I-I5-019</t>
        </is>
      </c>
      <c r="B43" s="25" t="inlineStr">
        <is>
          <t>I</t>
        </is>
      </c>
      <c r="C43" s="25" t="inlineStr">
        <is>
          <t>I5</t>
        </is>
      </c>
      <c r="D43" s="25" t="inlineStr">
        <is>
          <t>SIT</t>
        </is>
      </c>
      <c r="E43" s="25" t="inlineStr">
        <is>
          <t>R</t>
        </is>
      </c>
      <c r="F43" s="25" t="inlineStr">
        <is>
          <t>Prendre en charge une situation complexe dont la solution n’est pas connue à l’avance et qui demande d’abord de comprendre le problème.</t>
        </is>
      </c>
      <c r="G43" s="26" t="inlineStr">
        <is>
          <t>FORTE</t>
        </is>
      </c>
      <c r="H43" s="27" t="inlineStr">
        <is>
          <t>Face à une situation complexe et inédite, comprendre d’abord le problème avant d’élaborer une solution.</t>
        </is>
      </c>
      <c r="I43" s="28" t="inlineStr">
        <is>
          <t>Ancrer l’item dans une expression typique de I/I5 sans ajouter la dimension concurrente R.</t>
        </is>
      </c>
      <c r="J43" s="25" t="inlineStr">
        <is>
          <t>MOYEN</t>
        </is>
      </c>
      <c r="K43" s="25" t="inlineStr">
        <is>
          <t>FAIBLE</t>
        </is>
      </c>
      <c r="L43" s="25" t="inlineStr">
        <is>
          <t>FAIBLE</t>
        </is>
      </c>
      <c r="M43" s="29" t="inlineStr">
        <is>
          <t>A_VALIDER</t>
        </is>
      </c>
      <c r="N43" s="30" t="inlineStr">
        <is>
          <t>PROPOSITION_V0.4</t>
        </is>
      </c>
      <c r="O43" s="9" t="n"/>
    </row>
    <row r="44" ht="48" customHeight="1" s="34">
      <c r="A44" s="25" t="inlineStr">
        <is>
          <t>PIP-ENV-I-I5-020</t>
        </is>
      </c>
      <c r="B44" s="25" t="inlineStr">
        <is>
          <t>I</t>
        </is>
      </c>
      <c r="C44" s="25" t="inlineStr">
        <is>
          <t>I5</t>
        </is>
      </c>
      <c r="D44" s="25" t="inlineStr">
        <is>
          <t>ENV</t>
        </is>
      </c>
      <c r="E44" s="25" t="inlineStr">
        <is>
          <t>R</t>
        </is>
      </c>
      <c r="F44" s="25" t="inlineStr">
        <is>
          <t>Travailler dans un contexte où l’on est régulièrement amené à expliquer des phénomènes ou à résoudre des problèmes qui demandent réflexion et compréhension.</t>
        </is>
      </c>
      <c r="G44" s="26" t="inlineStr">
        <is>
          <t>FORTE</t>
        </is>
      </c>
      <c r="H44" s="27" t="inlineStr">
        <is>
          <t>Travailler dans un contexte où l’on doit fréquemment expliquer des phénomènes ou résoudre des problèmes qui demandent réflexion.</t>
        </is>
      </c>
      <c r="I44" s="28" t="inlineStr">
        <is>
          <t>Ancrer l’item dans une expression typique de I/I5 sans ajouter la dimension concurrente R.</t>
        </is>
      </c>
      <c r="J44" s="25" t="inlineStr">
        <is>
          <t>FAIBLE</t>
        </is>
      </c>
      <c r="K44" s="25" t="inlineStr">
        <is>
          <t>FAIBLE</t>
        </is>
      </c>
      <c r="L44" s="25" t="inlineStr">
        <is>
          <t>FAIBLE</t>
        </is>
      </c>
      <c r="M44" s="29" t="inlineStr">
        <is>
          <t>A_VALIDER</t>
        </is>
      </c>
      <c r="N44" s="30" t="inlineStr">
        <is>
          <t>PROPOSITION_V0.4</t>
        </is>
      </c>
      <c r="O44" s="9" t="n"/>
    </row>
    <row r="45" ht="48" customHeight="1" s="34">
      <c r="A45" s="18" t="inlineStr">
        <is>
          <t>PIP-ACT-A-A1-001</t>
        </is>
      </c>
      <c r="B45" s="18" t="inlineStr">
        <is>
          <t>A</t>
        </is>
      </c>
      <c r="C45" s="18" t="inlineStr">
        <is>
          <t>A1</t>
        </is>
      </c>
      <c r="D45" s="18" t="inlineStr">
        <is>
          <t>ACT</t>
        </is>
      </c>
      <c r="E45" s="18" t="inlineStr">
        <is>
          <t>I,E</t>
        </is>
      </c>
      <c r="F45" s="18" t="inlineStr">
        <is>
          <t>Imaginer plusieurs idées nouvelles à partir d’un même sujet.</t>
        </is>
      </c>
      <c r="G45" s="22" t="inlineStr">
        <is>
          <t>UTILE</t>
        </is>
      </c>
      <c r="H45" s="20" t="inlineStr">
        <is>
          <t>Imaginer plusieurs concepts différents pour répondre à un même thème ou à une même demande.</t>
        </is>
      </c>
      <c r="I45" s="21" t="inlineStr">
        <is>
          <t>Ancrer l’item dans une expression typique de A/A1 sans ajouter la dimension concurrente I,E.</t>
        </is>
      </c>
      <c r="J45" s="18" t="inlineStr">
        <is>
          <t>FAIBLE</t>
        </is>
      </c>
      <c r="K45" s="18" t="inlineStr">
        <is>
          <t>FAIBLE</t>
        </is>
      </c>
      <c r="L45" s="18" t="inlineStr">
        <is>
          <t>FAIBLE</t>
        </is>
      </c>
      <c r="M45" s="22" t="inlineStr">
        <is>
          <t>A_VALIDER</t>
        </is>
      </c>
      <c r="N45" s="23" t="inlineStr">
        <is>
          <t>PROPOSITION_V0.4</t>
        </is>
      </c>
      <c r="O45" s="24" t="n"/>
    </row>
    <row r="46" ht="48" customHeight="1" s="34">
      <c r="A46" s="25" t="inlineStr">
        <is>
          <t>PIP-ACT-A-A1-002</t>
        </is>
      </c>
      <c r="B46" s="25" t="inlineStr">
        <is>
          <t>A</t>
        </is>
      </c>
      <c r="C46" s="25" t="inlineStr">
        <is>
          <t>A1</t>
        </is>
      </c>
      <c r="D46" s="25" t="inlineStr">
        <is>
          <t>ACT</t>
        </is>
      </c>
      <c r="E46" s="25" t="inlineStr">
        <is>
          <t>I,E</t>
        </is>
      </c>
      <c r="F46" s="25" t="inlineStr">
        <is>
          <t>Inventer une manière originale de présenter ou de réaliser quelque chose.</t>
        </is>
      </c>
      <c r="G46" s="29" t="inlineStr">
        <is>
          <t>UTILE</t>
        </is>
      </c>
      <c r="H46" s="27" t="inlineStr">
        <is>
          <t>Inventer une manière originale de présenter un message, un objet ou une expérience.</t>
        </is>
      </c>
      <c r="I46" s="28" t="inlineStr">
        <is>
          <t>Ancrer l’item dans une expression typique de A/A1 sans ajouter la dimension concurrente I,E.</t>
        </is>
      </c>
      <c r="J46" s="25" t="inlineStr">
        <is>
          <t>FAIBLE</t>
        </is>
      </c>
      <c r="K46" s="25" t="inlineStr">
        <is>
          <t>FAIBLE</t>
        </is>
      </c>
      <c r="L46" s="25" t="inlineStr">
        <is>
          <t>FAIBLE</t>
        </is>
      </c>
      <c r="M46" s="29" t="inlineStr">
        <is>
          <t>A_VALIDER</t>
        </is>
      </c>
      <c r="N46" s="30" t="inlineStr">
        <is>
          <t>PROPOSITION_V0.4</t>
        </is>
      </c>
      <c r="O46" s="9" t="n"/>
    </row>
    <row r="47" ht="48" customHeight="1" s="34">
      <c r="A47" s="25" t="inlineStr">
        <is>
          <t>PIP-SIT-A-A1-003</t>
        </is>
      </c>
      <c r="B47" s="25" t="inlineStr">
        <is>
          <t>A</t>
        </is>
      </c>
      <c r="C47" s="25" t="inlineStr">
        <is>
          <t>A1</t>
        </is>
      </c>
      <c r="D47" s="25" t="inlineStr">
        <is>
          <t>SIT</t>
        </is>
      </c>
      <c r="E47" s="25" t="inlineStr">
        <is>
          <t>I,E</t>
        </is>
      </c>
      <c r="F47" s="25" t="inlineStr">
        <is>
          <t>Faire face à une demande pour laquelle aucune solution n’est imposée et imaginer une proposition nouvelle.</t>
        </is>
      </c>
      <c r="G47" s="29" t="inlineStr">
        <is>
          <t>UTILE</t>
        </is>
      </c>
      <c r="H47" s="27" t="inlineStr">
        <is>
          <t>Une demande est ouverte et aucune solution n’est imposée : imaginer une proposition nouvelle et personnelle.</t>
        </is>
      </c>
      <c r="I47" s="28" t="inlineStr">
        <is>
          <t>Ancrer l’item dans une expression typique de A/A1 sans ajouter la dimension concurrente I,E.</t>
        </is>
      </c>
      <c r="J47" s="25" t="inlineStr">
        <is>
          <t>FAIBLE</t>
        </is>
      </c>
      <c r="K47" s="25" t="inlineStr">
        <is>
          <t>FAIBLE</t>
        </is>
      </c>
      <c r="L47" s="25" t="inlineStr">
        <is>
          <t>FAIBLE</t>
        </is>
      </c>
      <c r="M47" s="29" t="inlineStr">
        <is>
          <t>A_VALIDER</t>
        </is>
      </c>
      <c r="N47" s="30" t="inlineStr">
        <is>
          <t>PROPOSITION_V0.4</t>
        </is>
      </c>
      <c r="O47" s="9" t="n"/>
    </row>
    <row r="48" ht="48" customHeight="1" s="34">
      <c r="A48" s="25" t="inlineStr">
        <is>
          <t>PIP-ENV-A-A1-004</t>
        </is>
      </c>
      <c r="B48" s="25" t="inlineStr">
        <is>
          <t>A</t>
        </is>
      </c>
      <c r="C48" s="25" t="inlineStr">
        <is>
          <t>A1</t>
        </is>
      </c>
      <c r="D48" s="25" t="inlineStr">
        <is>
          <t>ENV</t>
        </is>
      </c>
      <c r="E48" s="25" t="inlineStr">
        <is>
          <t>I,E</t>
        </is>
      </c>
      <c r="F48" s="25" t="inlineStr">
        <is>
          <t>Travailler dans un contexte où l’on attend régulièrement des idées nouvelles et où plusieurs pistes sont possibles.</t>
        </is>
      </c>
      <c r="G48" s="29" t="inlineStr">
        <is>
          <t>UTILE</t>
        </is>
      </c>
      <c r="H48" s="27" t="inlineStr">
        <is>
          <t>Travailler dans un contexte où l’on attend des idées nouvelles et où plusieurs réponses créatives sont possibles.</t>
        </is>
      </c>
      <c r="I48" s="28" t="inlineStr">
        <is>
          <t>Ancrer l’item dans une expression typique de A/A1 sans ajouter la dimension concurrente I,E.</t>
        </is>
      </c>
      <c r="J48" s="25" t="inlineStr">
        <is>
          <t>FAIBLE</t>
        </is>
      </c>
      <c r="K48" s="25" t="inlineStr">
        <is>
          <t>FAIBLE</t>
        </is>
      </c>
      <c r="L48" s="25" t="inlineStr">
        <is>
          <t>FAIBLE</t>
        </is>
      </c>
      <c r="M48" s="29" t="inlineStr">
        <is>
          <t>A_VALIDER</t>
        </is>
      </c>
      <c r="N48" s="30" t="inlineStr">
        <is>
          <t>PROPOSITION_V0.4</t>
        </is>
      </c>
      <c r="O48" s="9" t="n"/>
    </row>
    <row r="49" ht="48" customHeight="1" s="34">
      <c r="A49" s="25" t="inlineStr">
        <is>
          <t>PIP-ACT-A-A2-005</t>
        </is>
      </c>
      <c r="B49" s="25" t="inlineStr">
        <is>
          <t>A</t>
        </is>
      </c>
      <c r="C49" s="25" t="inlineStr">
        <is>
          <t>A2</t>
        </is>
      </c>
      <c r="D49" s="25" t="inlineStr">
        <is>
          <t>ACT</t>
        </is>
      </c>
      <c r="E49" s="25" t="inlineStr">
        <is>
          <t>R</t>
        </is>
      </c>
      <c r="F49" s="25" t="inlineStr">
        <is>
          <t>Concevoir l’organisation visuelle ou la forme d’un support pour qu’il exprime une intention.</t>
        </is>
      </c>
      <c r="G49" s="26" t="inlineStr">
        <is>
          <t>FORTE</t>
        </is>
      </c>
      <c r="H49" s="27" t="inlineStr">
        <is>
          <t>Concevoir librement la mise en page d’une affiche, d’une brochure ou d’un support visuel pour transmettre une intention.</t>
        </is>
      </c>
      <c r="I49" s="28" t="inlineStr">
        <is>
          <t>Ancrer l’item dans une expression typique de A/A2 sans ajouter la dimension concurrente R.</t>
        </is>
      </c>
      <c r="J49" s="25" t="inlineStr">
        <is>
          <t>MOYEN</t>
        </is>
      </c>
      <c r="K49" s="25" t="inlineStr">
        <is>
          <t>FAIBLE</t>
        </is>
      </c>
      <c r="L49" s="25" t="inlineStr">
        <is>
          <t>FAIBLE</t>
        </is>
      </c>
      <c r="M49" s="29" t="inlineStr">
        <is>
          <t>A_VALIDER</t>
        </is>
      </c>
      <c r="N49" s="30" t="inlineStr">
        <is>
          <t>PROPOSITION_V0.4</t>
        </is>
      </c>
      <c r="O49" s="9" t="n"/>
    </row>
    <row r="50" ht="48" customHeight="1" s="34">
      <c r="A50" s="25" t="inlineStr">
        <is>
          <t>PIP-ACT-A-A2-006</t>
        </is>
      </c>
      <c r="B50" s="25" t="inlineStr">
        <is>
          <t>A</t>
        </is>
      </c>
      <c r="C50" s="25" t="inlineStr">
        <is>
          <t>A2</t>
        </is>
      </c>
      <c r="D50" s="25" t="inlineStr">
        <is>
          <t>ACT</t>
        </is>
      </c>
      <c r="E50" s="25" t="inlineStr">
        <is>
          <t>R</t>
        </is>
      </c>
      <c r="F50" s="25" t="inlineStr">
        <is>
          <t>Composer différents éléments pour créer un ensemble cohérent et personnel.</t>
        </is>
      </c>
      <c r="G50" s="29" t="inlineStr">
        <is>
          <t>UTILE</t>
        </is>
      </c>
      <c r="H50" s="27" t="inlineStr">
        <is>
          <t>Composer un ensemble en choisissant personnellement la disposition des formes, textes, images, sons ou autres éléments.</t>
        </is>
      </c>
      <c r="I50" s="28" t="inlineStr">
        <is>
          <t>Ancrer l’item dans une expression typique de A/A2 sans ajouter la dimension concurrente R.</t>
        </is>
      </c>
      <c r="J50" s="25" t="inlineStr">
        <is>
          <t>FAIBLE</t>
        </is>
      </c>
      <c r="K50" s="25" t="inlineStr">
        <is>
          <t>FAIBLE</t>
        </is>
      </c>
      <c r="L50" s="25" t="inlineStr">
        <is>
          <t>FAIBLE</t>
        </is>
      </c>
      <c r="M50" s="29" t="inlineStr">
        <is>
          <t>A_VALIDER</t>
        </is>
      </c>
      <c r="N50" s="30" t="inlineStr">
        <is>
          <t>PROPOSITION_V0.4</t>
        </is>
      </c>
      <c r="O50" s="9" t="n"/>
    </row>
    <row r="51" ht="48" customHeight="1" s="34">
      <c r="A51" s="25" t="inlineStr">
        <is>
          <t>PIP-SIT-A-A2-007</t>
        </is>
      </c>
      <c r="B51" s="25" t="inlineStr">
        <is>
          <t>A</t>
        </is>
      </c>
      <c r="C51" s="25" t="inlineStr">
        <is>
          <t>A2</t>
        </is>
      </c>
      <c r="D51" s="25" t="inlineStr">
        <is>
          <t>SIT</t>
        </is>
      </c>
      <c r="E51" s="25" t="inlineStr">
        <is>
          <t>R</t>
        </is>
      </c>
      <c r="F51" s="25" t="inlineStr">
        <is>
          <t>Créer une proposition en choisissant librement la manière d’agencer plusieurs éléments.</t>
        </is>
      </c>
      <c r="G51" s="26" t="inlineStr">
        <is>
          <t>FORTE</t>
        </is>
      </c>
      <c r="H51" s="27" t="inlineStr">
        <is>
          <t>Créer une proposition en décidant librement comment agencer les éléments d’un support visuel, d’un espace ou d’une présentation créative.</t>
        </is>
      </c>
      <c r="I51" s="28" t="inlineStr">
        <is>
          <t>Ancrer l’item dans une expression typique de A/A2 sans ajouter la dimension concurrente R.</t>
        </is>
      </c>
      <c r="J51" s="25" t="inlineStr">
        <is>
          <t>FAIBLE</t>
        </is>
      </c>
      <c r="K51" s="25" t="inlineStr">
        <is>
          <t>FAIBLE</t>
        </is>
      </c>
      <c r="L51" s="25" t="inlineStr">
        <is>
          <t>FAIBLE</t>
        </is>
      </c>
      <c r="M51" s="29" t="inlineStr">
        <is>
          <t>A_VALIDER</t>
        </is>
      </c>
      <c r="N51" s="30" t="inlineStr">
        <is>
          <t>PROPOSITION_V0.4</t>
        </is>
      </c>
      <c r="O51" s="9" t="n"/>
    </row>
    <row r="52" ht="48" customHeight="1" s="34">
      <c r="A52" s="25" t="inlineStr">
        <is>
          <t>PIP-ENV-A-A2-008</t>
        </is>
      </c>
      <c r="B52" s="25" t="inlineStr">
        <is>
          <t>A</t>
        </is>
      </c>
      <c r="C52" s="25" t="inlineStr">
        <is>
          <t>A2</t>
        </is>
      </c>
      <c r="D52" s="25" t="inlineStr">
        <is>
          <t>ENV</t>
        </is>
      </c>
      <c r="E52" s="25" t="inlineStr">
        <is>
          <t>R</t>
        </is>
      </c>
      <c r="F52" s="25" t="inlineStr">
        <is>
          <t>Évoluer dans un contexte où l’on peut concevoir des formes, des contenus ou des expériences avec une réelle liberté de choix.</t>
        </is>
      </c>
      <c r="G52" s="29" t="inlineStr">
        <is>
          <t>UTILE</t>
        </is>
      </c>
      <c r="H52" s="27" t="inlineStr">
        <is>
          <t>Évoluer dans un contexte où l’on conçoit des formes, contenus ou expériences avec une vraie marge de choix personnel.</t>
        </is>
      </c>
      <c r="I52" s="28" t="inlineStr">
        <is>
          <t>Ancrer l’item dans une expression typique de A/A2 sans ajouter la dimension concurrente R.</t>
        </is>
      </c>
      <c r="J52" s="25" t="inlineStr">
        <is>
          <t>FAIBLE</t>
        </is>
      </c>
      <c r="K52" s="25" t="inlineStr">
        <is>
          <t>FAIBLE</t>
        </is>
      </c>
      <c r="L52" s="25" t="inlineStr">
        <is>
          <t>FAIBLE</t>
        </is>
      </c>
      <c r="M52" s="29" t="inlineStr">
        <is>
          <t>A_VALIDER</t>
        </is>
      </c>
      <c r="N52" s="30" t="inlineStr">
        <is>
          <t>PROPOSITION_V0.4</t>
        </is>
      </c>
      <c r="O52" s="9" t="n"/>
    </row>
    <row r="53" ht="48" customHeight="1" s="34">
      <c r="A53" s="25" t="inlineStr">
        <is>
          <t>PIP-ACT-A-A3-009</t>
        </is>
      </c>
      <c r="B53" s="25" t="inlineStr">
        <is>
          <t>A</t>
        </is>
      </c>
      <c r="C53" s="25" t="inlineStr">
        <is>
          <t>A3</t>
        </is>
      </c>
      <c r="D53" s="25" t="inlineStr">
        <is>
          <t>ACT</t>
        </is>
      </c>
      <c r="E53" s="25" t="inlineStr">
        <is>
          <t>S,E</t>
        </is>
      </c>
      <c r="F53" s="25" t="inlineStr">
        <is>
          <t>Écrire un texte pour transmettre une idée, une émotion ou un point de vue.</t>
        </is>
      </c>
      <c r="G53" s="31" t="inlineStr">
        <is>
          <t>LEGERE</t>
        </is>
      </c>
      <c r="H53" s="27" t="inlineStr">
        <is>
          <t>Écrire un texte, un récit ou un message destiné à faire ressentir une idée, une émotion ou un point de vue.</t>
        </is>
      </c>
      <c r="I53" s="28" t="inlineStr">
        <is>
          <t>Ancrer l’item dans une expression typique de A/A3 sans ajouter la dimension concurrente S,E.</t>
        </is>
      </c>
      <c r="J53" s="25" t="inlineStr">
        <is>
          <t>FAIBLE</t>
        </is>
      </c>
      <c r="K53" s="25" t="inlineStr">
        <is>
          <t>FAIBLE</t>
        </is>
      </c>
      <c r="L53" s="25" t="inlineStr">
        <is>
          <t>FAIBLE</t>
        </is>
      </c>
      <c r="M53" s="29" t="inlineStr">
        <is>
          <t>A_VALIDER</t>
        </is>
      </c>
      <c r="N53" s="30" t="inlineStr">
        <is>
          <t>PROPOSITION_V0.4</t>
        </is>
      </c>
      <c r="O53" s="9" t="n"/>
    </row>
    <row r="54" ht="48" customHeight="1" s="34">
      <c r="A54" s="25" t="inlineStr">
        <is>
          <t>PIP-ACT-A-A3-010</t>
        </is>
      </c>
      <c r="B54" s="25" t="inlineStr">
        <is>
          <t>A</t>
        </is>
      </c>
      <c r="C54" s="25" t="inlineStr">
        <is>
          <t>A3</t>
        </is>
      </c>
      <c r="D54" s="25" t="inlineStr">
        <is>
          <t>ACT</t>
        </is>
      </c>
      <c r="E54" s="25" t="inlineStr">
        <is>
          <t>S,E</t>
        </is>
      </c>
      <c r="F54" s="25" t="inlineStr">
        <is>
          <t>Mettre en récit un sujet pour le rendre vivant et expressif.</t>
        </is>
      </c>
      <c r="G54" s="29" t="inlineStr">
        <is>
          <t>UTILE</t>
        </is>
      </c>
      <c r="H54" s="27" t="inlineStr">
        <is>
          <t>Transformer un sujet factuel en récit vivant pour capter l’attention d’un public.</t>
        </is>
      </c>
      <c r="I54" s="28" t="inlineStr">
        <is>
          <t>Ancrer l’item dans une expression typique de A/A3 sans ajouter la dimension concurrente S,E.</t>
        </is>
      </c>
      <c r="J54" s="25" t="inlineStr">
        <is>
          <t>FAIBLE</t>
        </is>
      </c>
      <c r="K54" s="25" t="inlineStr">
        <is>
          <t>FAIBLE</t>
        </is>
      </c>
      <c r="L54" s="25" t="inlineStr">
        <is>
          <t>FAIBLE</t>
        </is>
      </c>
      <c r="M54" s="29" t="inlineStr">
        <is>
          <t>A_VALIDER</t>
        </is>
      </c>
      <c r="N54" s="30" t="inlineStr">
        <is>
          <t>PROPOSITION_V0.4</t>
        </is>
      </c>
      <c r="O54" s="9" t="n"/>
    </row>
    <row r="55" ht="48" customHeight="1" s="34">
      <c r="A55" s="25" t="inlineStr">
        <is>
          <t>PIP-SIT-A-A3-011</t>
        </is>
      </c>
      <c r="B55" s="25" t="inlineStr">
        <is>
          <t>A</t>
        </is>
      </c>
      <c r="C55" s="25" t="inlineStr">
        <is>
          <t>A3</t>
        </is>
      </c>
      <c r="D55" s="25" t="inlineStr">
        <is>
          <t>SIT</t>
        </is>
      </c>
      <c r="E55" s="25" t="inlineStr">
        <is>
          <t>S,E</t>
        </is>
      </c>
      <c r="F55" s="25" t="inlineStr">
        <is>
          <t>Trouver une manière personnelle de raconter ou de représenter une histoire, une idée ou une expérience.</t>
        </is>
      </c>
      <c r="G55" s="31" t="inlineStr">
        <is>
          <t>LEGERE</t>
        </is>
      </c>
      <c r="H55" s="27" t="inlineStr">
        <is>
          <t>Choisir une manière personnelle de raconter ou représenter une expérience afin qu’elle ait une tonalité propre.</t>
        </is>
      </c>
      <c r="I55" s="28" t="inlineStr">
        <is>
          <t>Ancrer l’item dans une expression typique de A/A3 sans ajouter la dimension concurrente S,E.</t>
        </is>
      </c>
      <c r="J55" s="25" t="inlineStr">
        <is>
          <t>FAIBLE</t>
        </is>
      </c>
      <c r="K55" s="25" t="inlineStr">
        <is>
          <t>FAIBLE</t>
        </is>
      </c>
      <c r="L55" s="25" t="inlineStr">
        <is>
          <t>FAIBLE</t>
        </is>
      </c>
      <c r="M55" s="29" t="inlineStr">
        <is>
          <t>A_VALIDER</t>
        </is>
      </c>
      <c r="N55" s="30" t="inlineStr">
        <is>
          <t>PROPOSITION_V0.4</t>
        </is>
      </c>
      <c r="O55" s="9" t="n"/>
    </row>
    <row r="56" ht="48" customHeight="1" s="34">
      <c r="A56" s="25" t="inlineStr">
        <is>
          <t>PIP-ENV-A-A3-012</t>
        </is>
      </c>
      <c r="B56" s="25" t="inlineStr">
        <is>
          <t>A</t>
        </is>
      </c>
      <c r="C56" s="25" t="inlineStr">
        <is>
          <t>A3</t>
        </is>
      </c>
      <c r="D56" s="25" t="inlineStr">
        <is>
          <t>ENV</t>
        </is>
      </c>
      <c r="E56" s="25" t="inlineStr">
        <is>
          <t>S,E</t>
        </is>
      </c>
      <c r="F56" s="25" t="inlineStr">
        <is>
          <t>Travailler dans un contexte où l’expression par les mots, les images, le son ou la mise en scène occupe une place importante.</t>
        </is>
      </c>
      <c r="G56" s="29" t="inlineStr">
        <is>
          <t>UTILE</t>
        </is>
      </c>
      <c r="H56" s="27" t="inlineStr">
        <is>
          <t>Travailler dans un environnement où les mots, les images, le son ou la mise en scène servent régulièrement à s’exprimer.</t>
        </is>
      </c>
      <c r="I56" s="28" t="inlineStr">
        <is>
          <t>Ancrer l’item dans une expression typique de A/A3 sans ajouter la dimension concurrente S,E.</t>
        </is>
      </c>
      <c r="J56" s="25" t="inlineStr">
        <is>
          <t>FAIBLE</t>
        </is>
      </c>
      <c r="K56" s="25" t="inlineStr">
        <is>
          <t>FAIBLE</t>
        </is>
      </c>
      <c r="L56" s="25" t="inlineStr">
        <is>
          <t>FAIBLE</t>
        </is>
      </c>
      <c r="M56" s="29" t="inlineStr">
        <is>
          <t>A_VALIDER</t>
        </is>
      </c>
      <c r="N56" s="30" t="inlineStr">
        <is>
          <t>PROPOSITION_V0.4</t>
        </is>
      </c>
      <c r="O56" s="9" t="n"/>
    </row>
    <row r="57" ht="48" customHeight="1" s="34">
      <c r="A57" s="25" t="inlineStr">
        <is>
          <t>PIP-ACT-A-A4-013</t>
        </is>
      </c>
      <c r="B57" s="25" t="inlineStr">
        <is>
          <t>A</t>
        </is>
      </c>
      <c r="C57" s="25" t="inlineStr">
        <is>
          <t>A4</t>
        </is>
      </c>
      <c r="D57" s="25" t="inlineStr">
        <is>
          <t>ACT</t>
        </is>
      </c>
      <c r="E57" s="25" t="inlineStr">
        <is>
          <t>R</t>
        </is>
      </c>
      <c r="F57" s="25" t="inlineStr">
        <is>
          <t>Créer une composition visuelle en jouant sur les formes, les images ou les couleurs.</t>
        </is>
      </c>
      <c r="G57" s="31" t="inlineStr">
        <is>
          <t>LEGERE</t>
        </is>
      </c>
      <c r="H57" s="27" t="inlineStr">
        <is>
          <t>Créer une affiche, une illustration ou une composition visuelle en jouant librement sur les formes et les couleurs.</t>
        </is>
      </c>
      <c r="I57" s="28" t="inlineStr">
        <is>
          <t>Ancrer l’item dans une expression typique de A/A4 sans ajouter la dimension concurrente R.</t>
        </is>
      </c>
      <c r="J57" s="25" t="inlineStr">
        <is>
          <t>FAIBLE</t>
        </is>
      </c>
      <c r="K57" s="25" t="inlineStr">
        <is>
          <t>FAIBLE</t>
        </is>
      </c>
      <c r="L57" s="25" t="inlineStr">
        <is>
          <t>FAIBLE</t>
        </is>
      </c>
      <c r="M57" s="29" t="inlineStr">
        <is>
          <t>A_VALIDER</t>
        </is>
      </c>
      <c r="N57" s="30" t="inlineStr">
        <is>
          <t>PROPOSITION_V0.4</t>
        </is>
      </c>
      <c r="O57" s="9" t="n"/>
    </row>
    <row r="58" ht="48" customHeight="1" s="34">
      <c r="A58" s="25" t="inlineStr">
        <is>
          <t>PIP-ACT-A-A4-014</t>
        </is>
      </c>
      <c r="B58" s="25" t="inlineStr">
        <is>
          <t>A</t>
        </is>
      </c>
      <c r="C58" s="25" t="inlineStr">
        <is>
          <t>A4</t>
        </is>
      </c>
      <c r="D58" s="25" t="inlineStr">
        <is>
          <t>ACT</t>
        </is>
      </c>
      <c r="E58" s="25" t="inlineStr">
        <is>
          <t>R</t>
        </is>
      </c>
      <c r="F58" s="25" t="inlineStr">
        <is>
          <t>Imaginer une ambiance à partir de sons, d’images, de matières ou d’un espace.</t>
        </is>
      </c>
      <c r="G58" s="31" t="inlineStr">
        <is>
          <t>LEGERE</t>
        </is>
      </c>
      <c r="H58" s="27" t="inlineStr">
        <is>
          <t>Imaginer l’ambiance d’un espace, d’un événement ou d’un contenu à partir de sons, d’images, de matières ou de lumière.</t>
        </is>
      </c>
      <c r="I58" s="28" t="inlineStr">
        <is>
          <t>Ancrer l’item dans une expression typique de A/A4 sans ajouter la dimension concurrente R.</t>
        </is>
      </c>
      <c r="J58" s="25" t="inlineStr">
        <is>
          <t>FAIBLE</t>
        </is>
      </c>
      <c r="K58" s="25" t="inlineStr">
        <is>
          <t>FAIBLE</t>
        </is>
      </c>
      <c r="L58" s="25" t="inlineStr">
        <is>
          <t>FAIBLE</t>
        </is>
      </c>
      <c r="M58" s="29" t="inlineStr">
        <is>
          <t>A_VALIDER</t>
        </is>
      </c>
      <c r="N58" s="30" t="inlineStr">
        <is>
          <t>PROPOSITION_V0.4</t>
        </is>
      </c>
      <c r="O58" s="9" t="n"/>
    </row>
    <row r="59" ht="48" customHeight="1" s="34">
      <c r="A59" s="25" t="inlineStr">
        <is>
          <t>PIP-SIT-A-A4-015</t>
        </is>
      </c>
      <c r="B59" s="25" t="inlineStr">
        <is>
          <t>A</t>
        </is>
      </c>
      <c r="C59" s="25" t="inlineStr">
        <is>
          <t>A4</t>
        </is>
      </c>
      <c r="D59" s="25" t="inlineStr">
        <is>
          <t>SIT</t>
        </is>
      </c>
      <c r="E59" s="25" t="inlineStr">
        <is>
          <t>R</t>
        </is>
      </c>
      <c r="F59" s="25" t="inlineStr">
        <is>
          <t>Concevoir une expérience où l’effet visuel, sonore ou sensoriel compte autant que la fonction.</t>
        </is>
      </c>
      <c r="G59" s="31" t="inlineStr">
        <is>
          <t>LEGERE</t>
        </is>
      </c>
      <c r="H59" s="27" t="inlineStr">
        <is>
          <t>Concevoir une expérience dans laquelle l’effet visuel, sonore ou sensoriel compte autant que sa fonction pratique.</t>
        </is>
      </c>
      <c r="I59" s="28" t="inlineStr">
        <is>
          <t>Ancrer l’item dans une expression typique de A/A4 sans ajouter la dimension concurrente R.</t>
        </is>
      </c>
      <c r="J59" s="25" t="inlineStr">
        <is>
          <t>FAIBLE</t>
        </is>
      </c>
      <c r="K59" s="25" t="inlineStr">
        <is>
          <t>FAIBLE</t>
        </is>
      </c>
      <c r="L59" s="25" t="inlineStr">
        <is>
          <t>FAIBLE</t>
        </is>
      </c>
      <c r="M59" s="29" t="inlineStr">
        <is>
          <t>A_VALIDER</t>
        </is>
      </c>
      <c r="N59" s="30" t="inlineStr">
        <is>
          <t>PROPOSITION_V0.4</t>
        </is>
      </c>
      <c r="O59" s="9" t="n"/>
    </row>
    <row r="60" ht="48" customHeight="1" s="34">
      <c r="A60" s="25" t="inlineStr">
        <is>
          <t>PIP-ENV-A-A4-016</t>
        </is>
      </c>
      <c r="B60" s="25" t="inlineStr">
        <is>
          <t>A</t>
        </is>
      </c>
      <c r="C60" s="25" t="inlineStr">
        <is>
          <t>A4</t>
        </is>
      </c>
      <c r="D60" s="25" t="inlineStr">
        <is>
          <t>ENV</t>
        </is>
      </c>
      <c r="E60" s="25" t="inlineStr">
        <is>
          <t>R</t>
        </is>
      </c>
      <c r="F60" s="25" t="inlineStr">
        <is>
          <t>Évoluer dans un contexte où l’on crée régulièrement des contenus, des espaces ou des objets destinés à produire une impression visuelle ou sensorielle.</t>
        </is>
      </c>
      <c r="G60" s="29" t="inlineStr">
        <is>
          <t>UTILE</t>
        </is>
      </c>
      <c r="H60" s="27" t="inlineStr">
        <is>
          <t>Évoluer dans un contexte où l’on crée régulièrement des contenus ou des espaces destinés à produire une impression visuelle ou sensorielle.</t>
        </is>
      </c>
      <c r="I60" s="28" t="inlineStr">
        <is>
          <t>Ancrer l’item dans une expression typique de A/A4 sans ajouter la dimension concurrente R.</t>
        </is>
      </c>
      <c r="J60" s="25" t="inlineStr">
        <is>
          <t>FAIBLE</t>
        </is>
      </c>
      <c r="K60" s="25" t="inlineStr">
        <is>
          <t>FAIBLE</t>
        </is>
      </c>
      <c r="L60" s="25" t="inlineStr">
        <is>
          <t>FAIBLE</t>
        </is>
      </c>
      <c r="M60" s="29" t="inlineStr">
        <is>
          <t>A_VALIDER</t>
        </is>
      </c>
      <c r="N60" s="30" t="inlineStr">
        <is>
          <t>PROPOSITION_V0.4</t>
        </is>
      </c>
      <c r="O60" s="9" t="n"/>
    </row>
    <row r="61" ht="48" customHeight="1" s="34">
      <c r="A61" s="25" t="inlineStr">
        <is>
          <t>PIP-ACT-A-A5-017</t>
        </is>
      </c>
      <c r="B61" s="25" t="inlineStr">
        <is>
          <t>A</t>
        </is>
      </c>
      <c r="C61" s="25" t="inlineStr">
        <is>
          <t>A5</t>
        </is>
      </c>
      <c r="D61" s="25" t="inlineStr">
        <is>
          <t>ACT</t>
        </is>
      </c>
      <c r="E61" s="25" t="inlineStr">
        <is>
          <t>I,E</t>
        </is>
      </c>
      <c r="F61" s="25" t="inlineStr">
        <is>
          <t>Explorer plusieurs pistes créatives avant de choisir celle qui convient le mieux.</t>
        </is>
      </c>
      <c r="G61" s="31" t="inlineStr">
        <is>
          <t>LEGERE</t>
        </is>
      </c>
      <c r="H61" s="27" t="inlineStr">
        <is>
          <t>Explorer plusieurs pistes créatives pour un même projet avant de retenir celle qui exprime le mieux l’intention recherchée.</t>
        </is>
      </c>
      <c r="I61" s="28" t="inlineStr">
        <is>
          <t>Ancrer l’item dans une expression typique de A/A5 sans ajouter la dimension concurrente I,E.</t>
        </is>
      </c>
      <c r="J61" s="25" t="inlineStr">
        <is>
          <t>FAIBLE</t>
        </is>
      </c>
      <c r="K61" s="25" t="inlineStr">
        <is>
          <t>FAIBLE</t>
        </is>
      </c>
      <c r="L61" s="25" t="inlineStr">
        <is>
          <t>FAIBLE</t>
        </is>
      </c>
      <c r="M61" s="29" t="inlineStr">
        <is>
          <t>A_VALIDER</t>
        </is>
      </c>
      <c r="N61" s="30" t="inlineStr">
        <is>
          <t>PROPOSITION_V0.4</t>
        </is>
      </c>
      <c r="O61" s="9" t="n"/>
    </row>
    <row r="62" ht="48" customHeight="1" s="34">
      <c r="A62" s="25" t="inlineStr">
        <is>
          <t>PIP-ACT-A-A5-018</t>
        </is>
      </c>
      <c r="B62" s="25" t="inlineStr">
        <is>
          <t>A</t>
        </is>
      </c>
      <c r="C62" s="25" t="inlineStr">
        <is>
          <t>A5</t>
        </is>
      </c>
      <c r="D62" s="25" t="inlineStr">
        <is>
          <t>ACT</t>
        </is>
      </c>
      <c r="E62" s="25" t="inlineStr">
        <is>
          <t>I,E</t>
        </is>
      </c>
      <c r="F62" s="25" t="inlineStr">
        <is>
          <t>Réinventer une manière habituelle de faire pour proposer une approche originale.</t>
        </is>
      </c>
      <c r="G62" s="31" t="inlineStr">
        <is>
          <t>LEGERE</t>
        </is>
      </c>
      <c r="H62" s="27" t="inlineStr">
        <is>
          <t>Repenser une manière habituelle de présenter ou de réaliser quelque chose afin de proposer une approche originale.</t>
        </is>
      </c>
      <c r="I62" s="28" t="inlineStr">
        <is>
          <t>Ancrer l’item dans une expression typique de A/A5 sans ajouter la dimension concurrente I,E.</t>
        </is>
      </c>
      <c r="J62" s="25" t="inlineStr">
        <is>
          <t>FAIBLE</t>
        </is>
      </c>
      <c r="K62" s="25" t="inlineStr">
        <is>
          <t>FAIBLE</t>
        </is>
      </c>
      <c r="L62" s="25" t="inlineStr">
        <is>
          <t>FAIBLE</t>
        </is>
      </c>
      <c r="M62" s="29" t="inlineStr">
        <is>
          <t>A_VALIDER</t>
        </is>
      </c>
      <c r="N62" s="30" t="inlineStr">
        <is>
          <t>PROPOSITION_V0.4</t>
        </is>
      </c>
      <c r="O62" s="9" t="n"/>
    </row>
    <row r="63" ht="48" customHeight="1" s="34">
      <c r="A63" s="25" t="inlineStr">
        <is>
          <t>PIP-SIT-A-A5-019</t>
        </is>
      </c>
      <c r="B63" s="25" t="inlineStr">
        <is>
          <t>A</t>
        </is>
      </c>
      <c r="C63" s="25" t="inlineStr">
        <is>
          <t>A5</t>
        </is>
      </c>
      <c r="D63" s="25" t="inlineStr">
        <is>
          <t>SIT</t>
        </is>
      </c>
      <c r="E63" s="25" t="inlineStr">
        <is>
          <t>I,E</t>
        </is>
      </c>
      <c r="F63" s="25" t="inlineStr">
        <is>
          <t>Travailler sur un problème pour lequel plusieurs réponses différentes peuvent être pertinentes.</t>
        </is>
      </c>
      <c r="G63" s="26" t="inlineStr">
        <is>
          <t>FORTE</t>
        </is>
      </c>
      <c r="H63" s="27" t="inlineStr">
        <is>
          <t>Travailler sur une demande ouverte pour laquelle plusieurs réponses créatives différentes peuvent être pertinentes.</t>
        </is>
      </c>
      <c r="I63" s="28" t="inlineStr">
        <is>
          <t>Ancrer l’item dans une expression typique de A/A5 sans ajouter la dimension concurrente I,E.</t>
        </is>
      </c>
      <c r="J63" s="25" t="inlineStr">
        <is>
          <t>MOYEN</t>
        </is>
      </c>
      <c r="K63" s="25" t="inlineStr">
        <is>
          <t>FAIBLE</t>
        </is>
      </c>
      <c r="L63" s="25" t="inlineStr">
        <is>
          <t>FAIBLE</t>
        </is>
      </c>
      <c r="M63" s="29" t="inlineStr">
        <is>
          <t>A_VALIDER</t>
        </is>
      </c>
      <c r="N63" s="30" t="inlineStr">
        <is>
          <t>PROPOSITION_V0.4</t>
        </is>
      </c>
      <c r="O63" s="9" t="n"/>
    </row>
    <row r="64" ht="48" customHeight="1" s="34">
      <c r="A64" s="25" t="inlineStr">
        <is>
          <t>PIP-ENV-A-A5-020</t>
        </is>
      </c>
      <c r="B64" s="25" t="inlineStr">
        <is>
          <t>A</t>
        </is>
      </c>
      <c r="C64" s="25" t="inlineStr">
        <is>
          <t>A5</t>
        </is>
      </c>
      <c r="D64" s="25" t="inlineStr">
        <is>
          <t>ENV</t>
        </is>
      </c>
      <c r="E64" s="25" t="inlineStr">
        <is>
          <t>I,E</t>
        </is>
      </c>
      <c r="F64" s="25" t="inlineStr">
        <is>
          <t>Évoluer dans un contexte où les consignes laissent une place importante à l’interprétation personnelle et à l’expérimentation créative.</t>
        </is>
      </c>
      <c r="G64" s="29" t="inlineStr">
        <is>
          <t>UTILE</t>
        </is>
      </c>
      <c r="H64" s="27" t="inlineStr">
        <is>
          <t>Évoluer dans un environnement où les consignes laissent volontairement une large place à l’interprétation et à l’expérimentation créative.</t>
        </is>
      </c>
      <c r="I64" s="28" t="inlineStr">
        <is>
          <t>Ancrer l’item dans une expression typique de A/A5 sans ajouter la dimension concurrente I,E.</t>
        </is>
      </c>
      <c r="J64" s="25" t="inlineStr">
        <is>
          <t>FAIBLE</t>
        </is>
      </c>
      <c r="K64" s="25" t="inlineStr">
        <is>
          <t>FAIBLE</t>
        </is>
      </c>
      <c r="L64" s="25" t="inlineStr">
        <is>
          <t>FAIBLE</t>
        </is>
      </c>
      <c r="M64" s="29" t="inlineStr">
        <is>
          <t>A_VALIDER</t>
        </is>
      </c>
      <c r="N64" s="30" t="inlineStr">
        <is>
          <t>PROPOSITION_V0.4</t>
        </is>
      </c>
      <c r="O64" s="9" t="n"/>
    </row>
    <row r="65" ht="48" customHeight="1" s="34">
      <c r="A65" s="18" t="inlineStr">
        <is>
          <t>PIP-ACT-S-S1-001</t>
        </is>
      </c>
      <c r="B65" s="18" t="inlineStr">
        <is>
          <t>S</t>
        </is>
      </c>
      <c r="C65" s="18" t="inlineStr">
        <is>
          <t>S1</t>
        </is>
      </c>
      <c r="D65" s="18" t="inlineStr">
        <is>
          <t>ACT</t>
        </is>
      </c>
      <c r="E65" s="18" t="inlineStr">
        <is>
          <t>I</t>
        </is>
      </c>
      <c r="F65" s="18" t="inlineStr">
        <is>
          <t>Expliquer un sujet à une personne pour l’aider à le comprendre.</t>
        </is>
      </c>
      <c r="G65" s="22" t="inlineStr">
        <is>
          <t>UTILE</t>
        </is>
      </c>
      <c r="H65" s="20" t="inlineStr">
        <is>
          <t>Expliquer une notion à une personne jusqu’à ce qu’elle puisse la comprendre par elle-même.</t>
        </is>
      </c>
      <c r="I65" s="21" t="inlineStr">
        <is>
          <t>Ancrer l’item dans une expression typique de S/S1 sans ajouter la dimension concurrente I.</t>
        </is>
      </c>
      <c r="J65" s="18" t="inlineStr">
        <is>
          <t>FAIBLE</t>
        </is>
      </c>
      <c r="K65" s="18" t="inlineStr">
        <is>
          <t>MOYEN</t>
        </is>
      </c>
      <c r="L65" s="18" t="inlineStr">
        <is>
          <t>FAIBLE</t>
        </is>
      </c>
      <c r="M65" s="22" t="inlineStr">
        <is>
          <t>A_VALIDER</t>
        </is>
      </c>
      <c r="N65" s="23" t="inlineStr">
        <is>
          <t>PROPOSITION_V0.4</t>
        </is>
      </c>
      <c r="O65" s="24" t="n"/>
    </row>
    <row r="66" ht="48" customHeight="1" s="34">
      <c r="A66" s="25" t="inlineStr">
        <is>
          <t>PIP-ACT-S-S1-002</t>
        </is>
      </c>
      <c r="B66" s="25" t="inlineStr">
        <is>
          <t>S</t>
        </is>
      </c>
      <c r="C66" s="25" t="inlineStr">
        <is>
          <t>S1</t>
        </is>
      </c>
      <c r="D66" s="25" t="inlineStr">
        <is>
          <t>ACT</t>
        </is>
      </c>
      <c r="E66" s="25" t="inlineStr">
        <is>
          <t>I</t>
        </is>
      </c>
      <c r="F66" s="25" t="inlineStr">
        <is>
          <t>Montrer à quelqu’un comment réaliser une tâche afin qu’il puisse ensuite la faire seul.</t>
        </is>
      </c>
      <c r="G66" s="29" t="inlineStr">
        <is>
          <t>UTILE</t>
        </is>
      </c>
      <c r="H66" s="27" t="inlineStr">
        <is>
          <t>Montrer étape par étape à quelqu’un comment réaliser une tâche pour qu’il puisse ensuite la refaire seul.</t>
        </is>
      </c>
      <c r="I66" s="28" t="inlineStr">
        <is>
          <t>Ancrer l’item dans une expression typique de S/S1 sans ajouter la dimension concurrente I.</t>
        </is>
      </c>
      <c r="J66" s="25" t="inlineStr">
        <is>
          <t>FAIBLE</t>
        </is>
      </c>
      <c r="K66" s="25" t="inlineStr">
        <is>
          <t>MOYEN</t>
        </is>
      </c>
      <c r="L66" s="25" t="inlineStr">
        <is>
          <t>FAIBLE</t>
        </is>
      </c>
      <c r="M66" s="29" t="inlineStr">
        <is>
          <t>A_VALIDER</t>
        </is>
      </c>
      <c r="N66" s="30" t="inlineStr">
        <is>
          <t>PROPOSITION_V0.4</t>
        </is>
      </c>
      <c r="O66" s="9" t="n"/>
    </row>
    <row r="67" ht="48" customHeight="1" s="34">
      <c r="A67" s="25" t="inlineStr">
        <is>
          <t>PIP-SIT-S-S1-003</t>
        </is>
      </c>
      <c r="B67" s="25" t="inlineStr">
        <is>
          <t>S</t>
        </is>
      </c>
      <c r="C67" s="25" t="inlineStr">
        <is>
          <t>S1</t>
        </is>
      </c>
      <c r="D67" s="25" t="inlineStr">
        <is>
          <t>SIT</t>
        </is>
      </c>
      <c r="E67" s="25" t="inlineStr">
        <is>
          <t>I</t>
        </is>
      </c>
      <c r="F67" s="25" t="inlineStr">
        <is>
          <t>Adapter sa manière d’expliquer lorsqu’une personne ne comprend pas du premier coup.</t>
        </is>
      </c>
      <c r="G67" s="29" t="inlineStr">
        <is>
          <t>UTILE</t>
        </is>
      </c>
      <c r="H67" s="27" t="inlineStr">
        <is>
          <t>Une personne ne comprend pas une première explication : chercher une autre manière de lui présenter les choses.</t>
        </is>
      </c>
      <c r="I67" s="28" t="inlineStr">
        <is>
          <t>Ancrer l’item dans une expression typique de S/S1 sans ajouter la dimension concurrente I.</t>
        </is>
      </c>
      <c r="J67" s="25" t="inlineStr">
        <is>
          <t>FAIBLE</t>
        </is>
      </c>
      <c r="K67" s="25" t="inlineStr">
        <is>
          <t>MOYEN</t>
        </is>
      </c>
      <c r="L67" s="25" t="inlineStr">
        <is>
          <t>FAIBLE</t>
        </is>
      </c>
      <c r="M67" s="29" t="inlineStr">
        <is>
          <t>A_VALIDER</t>
        </is>
      </c>
      <c r="N67" s="30" t="inlineStr">
        <is>
          <t>PROPOSITION_V0.4</t>
        </is>
      </c>
      <c r="O67" s="9" t="n"/>
    </row>
    <row r="68" ht="48" customHeight="1" s="34">
      <c r="A68" s="25" t="inlineStr">
        <is>
          <t>PIP-ENV-S-S1-004</t>
        </is>
      </c>
      <c r="B68" s="25" t="inlineStr">
        <is>
          <t>S</t>
        </is>
      </c>
      <c r="C68" s="25" t="inlineStr">
        <is>
          <t>S1</t>
        </is>
      </c>
      <c r="D68" s="25" t="inlineStr">
        <is>
          <t>ENV</t>
        </is>
      </c>
      <c r="E68" s="25" t="inlineStr">
        <is>
          <t>I</t>
        </is>
      </c>
      <c r="F68" s="25" t="inlineStr">
        <is>
          <t>Travailler dans un contexte où l’on aide régulièrement d’autres personnes à apprendre ou à progresser.</t>
        </is>
      </c>
      <c r="G68" s="29" t="inlineStr">
        <is>
          <t>UTILE</t>
        </is>
      </c>
      <c r="H68" s="27" t="inlineStr">
        <is>
          <t>Travailler dans un contexte où l’on consacre régulièrement du temps à aider d’autres personnes à apprendre ou progresser.</t>
        </is>
      </c>
      <c r="I68" s="28" t="inlineStr">
        <is>
          <t>Ancrer l’item dans une expression typique de S/S1 sans ajouter la dimension concurrente I.</t>
        </is>
      </c>
      <c r="J68" s="25" t="inlineStr">
        <is>
          <t>FAIBLE</t>
        </is>
      </c>
      <c r="K68" s="25" t="inlineStr">
        <is>
          <t>MOYEN</t>
        </is>
      </c>
      <c r="L68" s="25" t="inlineStr">
        <is>
          <t>FAIBLE</t>
        </is>
      </c>
      <c r="M68" s="29" t="inlineStr">
        <is>
          <t>A_VALIDER</t>
        </is>
      </c>
      <c r="N68" s="30" t="inlineStr">
        <is>
          <t>PROPOSITION_V0.4</t>
        </is>
      </c>
      <c r="O68" s="9" t="n"/>
    </row>
    <row r="69" ht="48" customHeight="1" s="34">
      <c r="A69" s="25" t="inlineStr">
        <is>
          <t>PIP-ACT-S-S2-005</t>
        </is>
      </c>
      <c r="B69" s="25" t="inlineStr">
        <is>
          <t>S</t>
        </is>
      </c>
      <c r="C69" s="25" t="inlineStr">
        <is>
          <t>S2</t>
        </is>
      </c>
      <c r="D69" s="25" t="inlineStr">
        <is>
          <t>ACT</t>
        </is>
      </c>
      <c r="E69" s="25" t="inlineStr">
        <is>
          <t>E</t>
        </is>
      </c>
      <c r="F69" s="25" t="inlineStr">
        <is>
          <t>Accompagner une personne dans la réalisation d’un objectif qui compte pour elle.</t>
        </is>
      </c>
      <c r="G69" s="29" t="inlineStr">
        <is>
          <t>UTILE</t>
        </is>
      </c>
      <c r="H69" s="27" t="inlineStr">
        <is>
          <t>Accompagner une personne dans les étapes nécessaires pour atteindre un objectif qui compte pour elle.</t>
        </is>
      </c>
      <c r="I69" s="28" t="inlineStr">
        <is>
          <t>Ancrer l’item dans une expression typique de S/S2 sans ajouter la dimension concurrente E.</t>
        </is>
      </c>
      <c r="J69" s="25" t="inlineStr">
        <is>
          <t>FAIBLE</t>
        </is>
      </c>
      <c r="K69" s="25" t="inlineStr">
        <is>
          <t>MOYEN</t>
        </is>
      </c>
      <c r="L69" s="25" t="inlineStr">
        <is>
          <t>FAIBLE</t>
        </is>
      </c>
      <c r="M69" s="29" t="inlineStr">
        <is>
          <t>A_VALIDER</t>
        </is>
      </c>
      <c r="N69" s="30" t="inlineStr">
        <is>
          <t>PROPOSITION_V0.4</t>
        </is>
      </c>
      <c r="O69" s="9" t="n"/>
    </row>
    <row r="70" ht="48" customHeight="1" s="34">
      <c r="A70" s="25" t="inlineStr">
        <is>
          <t>PIP-ACT-S-S2-006</t>
        </is>
      </c>
      <c r="B70" s="25" t="inlineStr">
        <is>
          <t>S</t>
        </is>
      </c>
      <c r="C70" s="25" t="inlineStr">
        <is>
          <t>S2</t>
        </is>
      </c>
      <c r="D70" s="25" t="inlineStr">
        <is>
          <t>ACT</t>
        </is>
      </c>
      <c r="E70" s="25" t="inlineStr">
        <is>
          <t>E</t>
        </is>
      </c>
      <c r="F70" s="25" t="inlineStr">
        <is>
          <t>Soutenir quelqu’un qui rencontre une difficulté dans son parcours.</t>
        </is>
      </c>
      <c r="G70" s="29" t="inlineStr">
        <is>
          <t>UTILE</t>
        </is>
      </c>
      <c r="H70" s="27" t="inlineStr">
        <is>
          <t>Soutenir quelqu’un qui traverse une difficulté professionnelle ou personnelle liée à son parcours.</t>
        </is>
      </c>
      <c r="I70" s="28" t="inlineStr">
        <is>
          <t>Ancrer l’item dans une expression typique de S/S2 sans ajouter la dimension concurrente E.</t>
        </is>
      </c>
      <c r="J70" s="25" t="inlineStr">
        <is>
          <t>FAIBLE</t>
        </is>
      </c>
      <c r="K70" s="25" t="inlineStr">
        <is>
          <t>MOYEN</t>
        </is>
      </c>
      <c r="L70" s="25" t="inlineStr">
        <is>
          <t>FAIBLE</t>
        </is>
      </c>
      <c r="M70" s="29" t="inlineStr">
        <is>
          <t>A_VALIDER</t>
        </is>
      </c>
      <c r="N70" s="30" t="inlineStr">
        <is>
          <t>PROPOSITION_V0.4</t>
        </is>
      </c>
      <c r="O70" s="9" t="n"/>
    </row>
    <row r="71" ht="48" customHeight="1" s="34">
      <c r="A71" s="25" t="inlineStr">
        <is>
          <t>PIP-SIT-S-S2-007</t>
        </is>
      </c>
      <c r="B71" s="25" t="inlineStr">
        <is>
          <t>S</t>
        </is>
      </c>
      <c r="C71" s="25" t="inlineStr">
        <is>
          <t>S2</t>
        </is>
      </c>
      <c r="D71" s="25" t="inlineStr">
        <is>
          <t>SIT</t>
        </is>
      </c>
      <c r="E71" s="25" t="inlineStr">
        <is>
          <t>E</t>
        </is>
      </c>
      <c r="F71" s="25" t="inlineStr">
        <is>
          <t>Être aux côtés d’une personne pendant une période de changement et l’aider à avancer.</t>
        </is>
      </c>
      <c r="G71" s="29" t="inlineStr">
        <is>
          <t>UTILE</t>
        </is>
      </c>
      <c r="H71" s="27" t="inlineStr">
        <is>
          <t>Être présent auprès d’une personne pendant un changement important et l’aider à avancer progressivement.</t>
        </is>
      </c>
      <c r="I71" s="28" t="inlineStr">
        <is>
          <t>Ancrer l’item dans une expression typique de S/S2 sans ajouter la dimension concurrente E.</t>
        </is>
      </c>
      <c r="J71" s="25" t="inlineStr">
        <is>
          <t>FAIBLE</t>
        </is>
      </c>
      <c r="K71" s="25" t="inlineStr">
        <is>
          <t>MOYEN</t>
        </is>
      </c>
      <c r="L71" s="25" t="inlineStr">
        <is>
          <t>FAIBLE</t>
        </is>
      </c>
      <c r="M71" s="29" t="inlineStr">
        <is>
          <t>A_VALIDER</t>
        </is>
      </c>
      <c r="N71" s="30" t="inlineStr">
        <is>
          <t>PROPOSITION_V0.4</t>
        </is>
      </c>
      <c r="O71" s="9" t="n"/>
    </row>
    <row r="72" ht="48" customHeight="1" s="34">
      <c r="A72" s="25" t="inlineStr">
        <is>
          <t>PIP-ENV-S-S2-008</t>
        </is>
      </c>
      <c r="B72" s="25" t="inlineStr">
        <is>
          <t>S</t>
        </is>
      </c>
      <c r="C72" s="25" t="inlineStr">
        <is>
          <t>S2</t>
        </is>
      </c>
      <c r="D72" s="25" t="inlineStr">
        <is>
          <t>ENV</t>
        </is>
      </c>
      <c r="E72" s="25" t="inlineStr">
        <is>
          <t>E</t>
        </is>
      </c>
      <c r="F72" s="25" t="inlineStr">
        <is>
          <t>Évoluer dans un contexte où une part importante du travail consiste à soutenir directement des personnes dans leur progression.</t>
        </is>
      </c>
      <c r="G72" s="29" t="inlineStr">
        <is>
          <t>UTILE</t>
        </is>
      </c>
      <c r="H72" s="27" t="inlineStr">
        <is>
          <t>Évoluer dans un contexte où une part importante du travail consiste à soutenir directement des personnes dans leur progression.</t>
        </is>
      </c>
      <c r="I72" s="28" t="inlineStr">
        <is>
          <t>Ancrer l’item dans une expression typique de S/S2 sans ajouter la dimension concurrente E.</t>
        </is>
      </c>
      <c r="J72" s="25" t="inlineStr">
        <is>
          <t>FAIBLE</t>
        </is>
      </c>
      <c r="K72" s="25" t="inlineStr">
        <is>
          <t>MOYEN</t>
        </is>
      </c>
      <c r="L72" s="25" t="inlineStr">
        <is>
          <t>FAIBLE</t>
        </is>
      </c>
      <c r="M72" s="29" t="inlineStr">
        <is>
          <t>A_VALIDER</t>
        </is>
      </c>
      <c r="N72" s="30" t="inlineStr">
        <is>
          <t>PROPOSITION_V0.4</t>
        </is>
      </c>
      <c r="O72" s="9" t="n"/>
    </row>
    <row r="73" ht="48" customHeight="1" s="34">
      <c r="A73" s="25" t="inlineStr">
        <is>
          <t>PIP-ACT-S-S3-009</t>
        </is>
      </c>
      <c r="B73" s="25" t="inlineStr">
        <is>
          <t>S</t>
        </is>
      </c>
      <c r="C73" s="25" t="inlineStr">
        <is>
          <t>S3</t>
        </is>
      </c>
      <c r="D73" s="25" t="inlineStr">
        <is>
          <t>ACT</t>
        </is>
      </c>
      <c r="E73" s="25" t="inlineStr">
        <is>
          <t>E,I</t>
        </is>
      </c>
      <c r="F73" s="25" t="inlineStr">
        <is>
          <t>Écouter la situation d’une personne puis l’aider à identifier les options qui s’offrent à elle.</t>
        </is>
      </c>
      <c r="G73" s="26" t="inlineStr">
        <is>
          <t>FORTE</t>
        </is>
      </c>
      <c r="H73" s="27" t="inlineStr">
        <is>
          <t>Écouter la situation d’une personne puis l’aider à repérer les différentes options possibles.</t>
        </is>
      </c>
      <c r="I73" s="28" t="inlineStr">
        <is>
          <t>Ancrer l’item dans une expression typique de S/S3 sans ajouter la dimension concurrente E,I.</t>
        </is>
      </c>
      <c r="J73" s="25" t="inlineStr">
        <is>
          <t>MOYEN</t>
        </is>
      </c>
      <c r="K73" s="25" t="inlineStr">
        <is>
          <t>MOYEN</t>
        </is>
      </c>
      <c r="L73" s="25" t="inlineStr">
        <is>
          <t>FAIBLE</t>
        </is>
      </c>
      <c r="M73" s="29" t="inlineStr">
        <is>
          <t>A_VALIDER</t>
        </is>
      </c>
      <c r="N73" s="30" t="inlineStr">
        <is>
          <t>PROPOSITION_V0.4</t>
        </is>
      </c>
      <c r="O73" s="9" t="n"/>
    </row>
    <row r="74" ht="48" customHeight="1" s="34">
      <c r="A74" s="25" t="inlineStr">
        <is>
          <t>PIP-ACT-S-S3-010</t>
        </is>
      </c>
      <c r="B74" s="25" t="inlineStr">
        <is>
          <t>S</t>
        </is>
      </c>
      <c r="C74" s="25" t="inlineStr">
        <is>
          <t>S3</t>
        </is>
      </c>
      <c r="D74" s="25" t="inlineStr">
        <is>
          <t>ACT</t>
        </is>
      </c>
      <c r="E74" s="25" t="inlineStr">
        <is>
          <t>E,I</t>
        </is>
      </c>
      <c r="F74" s="25" t="inlineStr">
        <is>
          <t>Donner des informations utiles pour aider quelqu’un à faire un choix.</t>
        </is>
      </c>
      <c r="G74" s="29" t="inlineStr">
        <is>
          <t>UTILE</t>
        </is>
      </c>
      <c r="H74" s="27" t="inlineStr">
        <is>
          <t>Donner à quelqu’un les informations utiles pour qu’il puisse prendre lui-même une décision éclairée.</t>
        </is>
      </c>
      <c r="I74" s="28" t="inlineStr">
        <is>
          <t>Ancrer l’item dans une expression typique de S/S3 sans ajouter la dimension concurrente E,I.</t>
        </is>
      </c>
      <c r="J74" s="25" t="inlineStr">
        <is>
          <t>FAIBLE</t>
        </is>
      </c>
      <c r="K74" s="25" t="inlineStr">
        <is>
          <t>MOYEN</t>
        </is>
      </c>
      <c r="L74" s="25" t="inlineStr">
        <is>
          <t>FAIBLE</t>
        </is>
      </c>
      <c r="M74" s="29" t="inlineStr">
        <is>
          <t>A_VALIDER</t>
        </is>
      </c>
      <c r="N74" s="30" t="inlineStr">
        <is>
          <t>PROPOSITION_V0.4</t>
        </is>
      </c>
      <c r="O74" s="9" t="n"/>
    </row>
    <row r="75" ht="48" customHeight="1" s="34">
      <c r="A75" s="25" t="inlineStr">
        <is>
          <t>PIP-SIT-S-S3-011</t>
        </is>
      </c>
      <c r="B75" s="25" t="inlineStr">
        <is>
          <t>S</t>
        </is>
      </c>
      <c r="C75" s="25" t="inlineStr">
        <is>
          <t>S3</t>
        </is>
      </c>
      <c r="D75" s="25" t="inlineStr">
        <is>
          <t>SIT</t>
        </is>
      </c>
      <c r="E75" s="25" t="inlineStr">
        <is>
          <t>E,I</t>
        </is>
      </c>
      <c r="F75" s="25" t="inlineStr">
        <is>
          <t>Aider une personne indécise à clarifier ce qui lui conviendrait le mieux sans décider à sa place.</t>
        </is>
      </c>
      <c r="G75" s="26" t="inlineStr">
        <is>
          <t>FORTE</t>
        </is>
      </c>
      <c r="H75" s="27" t="inlineStr">
        <is>
          <t>Une personne hésite entre plusieurs choix : l’aider à clarifier ce qui lui convient sans choisir à sa place.</t>
        </is>
      </c>
      <c r="I75" s="28" t="inlineStr">
        <is>
          <t>Ancrer l’item dans une expression typique de S/S3 sans ajouter la dimension concurrente E,I.</t>
        </is>
      </c>
      <c r="J75" s="25" t="inlineStr">
        <is>
          <t>MOYEN</t>
        </is>
      </c>
      <c r="K75" s="25" t="inlineStr">
        <is>
          <t>MOYEN</t>
        </is>
      </c>
      <c r="L75" s="25" t="inlineStr">
        <is>
          <t>FAIBLE</t>
        </is>
      </c>
      <c r="M75" s="29" t="inlineStr">
        <is>
          <t>A_VALIDER</t>
        </is>
      </c>
      <c r="N75" s="30" t="inlineStr">
        <is>
          <t>PROPOSITION_V0.4</t>
        </is>
      </c>
      <c r="O75" s="9" t="n"/>
    </row>
    <row r="76" ht="48" customHeight="1" s="34">
      <c r="A76" s="25" t="inlineStr">
        <is>
          <t>PIP-ENV-S-S3-012</t>
        </is>
      </c>
      <c r="B76" s="25" t="inlineStr">
        <is>
          <t>S</t>
        </is>
      </c>
      <c r="C76" s="25" t="inlineStr">
        <is>
          <t>S3</t>
        </is>
      </c>
      <c r="D76" s="25" t="inlineStr">
        <is>
          <t>ENV</t>
        </is>
      </c>
      <c r="E76" s="25" t="inlineStr">
        <is>
          <t>E,I</t>
        </is>
      </c>
      <c r="F76" s="25" t="inlineStr">
        <is>
          <t>Travailler dans un contexte où l’on conseille et oriente régulièrement des personnes en fonction de leur situation.</t>
        </is>
      </c>
      <c r="G76" s="26" t="inlineStr">
        <is>
          <t>FORTE</t>
        </is>
      </c>
      <c r="H76" s="27" t="inlineStr">
        <is>
          <t>Travailler dans un contexte où l’on conseille et oriente régulièrement des personnes selon leur situation.</t>
        </is>
      </c>
      <c r="I76" s="28" t="inlineStr">
        <is>
          <t>Ancrer l’item dans une expression typique de S/S3 sans ajouter la dimension concurrente E,I.</t>
        </is>
      </c>
      <c r="J76" s="25" t="inlineStr">
        <is>
          <t>FAIBLE</t>
        </is>
      </c>
      <c r="K76" s="25" t="inlineStr">
        <is>
          <t>MOYEN</t>
        </is>
      </c>
      <c r="L76" s="25" t="inlineStr">
        <is>
          <t>FAIBLE</t>
        </is>
      </c>
      <c r="M76" s="29" t="inlineStr">
        <is>
          <t>A_VALIDER</t>
        </is>
      </c>
      <c r="N76" s="30" t="inlineStr">
        <is>
          <t>PROPOSITION_V0.4</t>
        </is>
      </c>
      <c r="O76" s="9" t="n"/>
    </row>
    <row r="77" ht="48" customHeight="1" s="34">
      <c r="A77" s="25" t="inlineStr">
        <is>
          <t>PIP-ACT-S-S4-013</t>
        </is>
      </c>
      <c r="B77" s="25" t="inlineStr">
        <is>
          <t>S</t>
        </is>
      </c>
      <c r="C77" s="25" t="inlineStr">
        <is>
          <t>S4</t>
        </is>
      </c>
      <c r="D77" s="25" t="inlineStr">
        <is>
          <t>ACT</t>
        </is>
      </c>
      <c r="E77" s="25" t="inlineStr">
        <is>
          <t>R,I</t>
        </is>
      </c>
      <c r="F77" s="25" t="inlineStr">
        <is>
          <t>Prendre soin d’une personne qui a besoin d’aide pour préserver ou retrouver son bien-être.</t>
        </is>
      </c>
      <c r="G77" s="29" t="inlineStr">
        <is>
          <t>UTILE</t>
        </is>
      </c>
      <c r="H77" s="27" t="inlineStr">
        <is>
          <t>Aider concrètement une personne fragilisée à préserver ou retrouver son confort, sa santé ou son autonomie.</t>
        </is>
      </c>
      <c r="I77" s="28" t="inlineStr">
        <is>
          <t>Ancrer l’item dans une expression typique de S/S4 sans ajouter la dimension concurrente R,I.</t>
        </is>
      </c>
      <c r="J77" s="25" t="inlineStr">
        <is>
          <t>FAIBLE</t>
        </is>
      </c>
      <c r="K77" s="25" t="inlineStr">
        <is>
          <t>MOYEN</t>
        </is>
      </c>
      <c r="L77" s="25" t="inlineStr">
        <is>
          <t>FAIBLE</t>
        </is>
      </c>
      <c r="M77" s="29" t="inlineStr">
        <is>
          <t>A_VALIDER</t>
        </is>
      </c>
      <c r="N77" s="30" t="inlineStr">
        <is>
          <t>PROPOSITION_V0.4</t>
        </is>
      </c>
      <c r="O77" s="9" t="n"/>
    </row>
    <row r="78" ht="48" customHeight="1" s="34">
      <c r="A78" s="25" t="inlineStr">
        <is>
          <t>PIP-ACT-S-S4-014</t>
        </is>
      </c>
      <c r="B78" s="25" t="inlineStr">
        <is>
          <t>S</t>
        </is>
      </c>
      <c r="C78" s="25" t="inlineStr">
        <is>
          <t>S4</t>
        </is>
      </c>
      <c r="D78" s="25" t="inlineStr">
        <is>
          <t>ACT</t>
        </is>
      </c>
      <c r="E78" s="25" t="inlineStr">
        <is>
          <t>R,I</t>
        </is>
      </c>
      <c r="F78" s="25" t="inlineStr">
        <is>
          <t>Réaliser des gestes d’assistance destinés à protéger la santé ou la sécurité d’une personne.</t>
        </is>
      </c>
      <c r="G78" s="26" t="inlineStr">
        <is>
          <t>FORTE</t>
        </is>
      </c>
      <c r="H78" s="27" t="inlineStr">
        <is>
          <t>Réaliser des gestes d’assistance ou de prévention destinés à protéger la santé ou la sécurité d’une personne.</t>
        </is>
      </c>
      <c r="I78" s="28" t="inlineStr">
        <is>
          <t>Ancrer l’item dans une expression typique de S/S4 sans ajouter la dimension concurrente R,I.</t>
        </is>
      </c>
      <c r="J78" s="25" t="inlineStr">
        <is>
          <t>FAIBLE</t>
        </is>
      </c>
      <c r="K78" s="25" t="inlineStr">
        <is>
          <t>MOYEN</t>
        </is>
      </c>
      <c r="L78" s="25" t="inlineStr">
        <is>
          <t>MOYEN</t>
        </is>
      </c>
      <c r="M78" s="29" t="inlineStr">
        <is>
          <t>A_VALIDER</t>
        </is>
      </c>
      <c r="N78" s="30" t="inlineStr">
        <is>
          <t>PROPOSITION_V0.4</t>
        </is>
      </c>
      <c r="O78" s="9" t="n"/>
    </row>
    <row r="79" ht="48" customHeight="1" s="34">
      <c r="A79" s="25" t="inlineStr">
        <is>
          <t>PIP-SIT-S-S4-015</t>
        </is>
      </c>
      <c r="B79" s="25" t="inlineStr">
        <is>
          <t>S</t>
        </is>
      </c>
      <c r="C79" s="25" t="inlineStr">
        <is>
          <t>S4</t>
        </is>
      </c>
      <c r="D79" s="25" t="inlineStr">
        <is>
          <t>SIT</t>
        </is>
      </c>
      <c r="E79" s="25" t="inlineStr">
        <is>
          <t>R,I</t>
        </is>
      </c>
      <c r="F79" s="25" t="inlineStr">
        <is>
          <t>Intervenir auprès d’une personne fragilisée afin de l’aider à retrouver davantage d’autonomie.</t>
        </is>
      </c>
      <c r="G79" s="29" t="inlineStr">
        <is>
          <t>UTILE</t>
        </is>
      </c>
      <c r="H79" s="27" t="inlineStr">
        <is>
          <t>Intervenir auprès d’une personne temporairement en difficulté afin de l’aider à retrouver davantage d’autonomie.</t>
        </is>
      </c>
      <c r="I79" s="28" t="inlineStr">
        <is>
          <t>Ancrer l’item dans une expression typique de S/S4 sans ajouter la dimension concurrente R,I.</t>
        </is>
      </c>
      <c r="J79" s="25" t="inlineStr">
        <is>
          <t>FAIBLE</t>
        </is>
      </c>
      <c r="K79" s="25" t="inlineStr">
        <is>
          <t>MOYEN</t>
        </is>
      </c>
      <c r="L79" s="25" t="inlineStr">
        <is>
          <t>FAIBLE</t>
        </is>
      </c>
      <c r="M79" s="29" t="inlineStr">
        <is>
          <t>A_VALIDER</t>
        </is>
      </c>
      <c r="N79" s="30" t="inlineStr">
        <is>
          <t>PROPOSITION_V0.4</t>
        </is>
      </c>
      <c r="O79" s="9" t="n"/>
    </row>
    <row r="80" ht="48" customHeight="1" s="34">
      <c r="A80" s="25" t="inlineStr">
        <is>
          <t>PIP-ENV-S-S4-016</t>
        </is>
      </c>
      <c r="B80" s="25" t="inlineStr">
        <is>
          <t>S</t>
        </is>
      </c>
      <c r="C80" s="25" t="inlineStr">
        <is>
          <t>S4</t>
        </is>
      </c>
      <c r="D80" s="25" t="inlineStr">
        <is>
          <t>ENV</t>
        </is>
      </c>
      <c r="E80" s="25" t="inlineStr">
        <is>
          <t>R,I</t>
        </is>
      </c>
      <c r="F80" s="25" t="inlineStr">
        <is>
          <t>Évoluer dans un contexte où l’on contribue directement à la santé, au bien-être ou à la sécurité des personnes.</t>
        </is>
      </c>
      <c r="G80" s="26" t="inlineStr">
        <is>
          <t>FORTE</t>
        </is>
      </c>
      <c r="H80" s="27" t="inlineStr">
        <is>
          <t>Évoluer dans un contexte où l’on contribue directement au bien-être, à la santé ou à la sécurité des personnes.</t>
        </is>
      </c>
      <c r="I80" s="28" t="inlineStr">
        <is>
          <t>Ancrer l’item dans une expression typique de S/S4 sans ajouter la dimension concurrente R,I.</t>
        </is>
      </c>
      <c r="J80" s="25" t="inlineStr">
        <is>
          <t>FAIBLE</t>
        </is>
      </c>
      <c r="K80" s="25" t="inlineStr">
        <is>
          <t>MOYEN</t>
        </is>
      </c>
      <c r="L80" s="25" t="inlineStr">
        <is>
          <t>MOYEN</t>
        </is>
      </c>
      <c r="M80" s="29" t="inlineStr">
        <is>
          <t>A_VALIDER</t>
        </is>
      </c>
      <c r="N80" s="30" t="inlineStr">
        <is>
          <t>PROPOSITION_V0.4</t>
        </is>
      </c>
      <c r="O80" s="9" t="n"/>
    </row>
    <row r="81" ht="48" customHeight="1" s="34">
      <c r="A81" s="25" t="inlineStr">
        <is>
          <t>PIP-ACT-S-S5-017</t>
        </is>
      </c>
      <c r="B81" s="25" t="inlineStr">
        <is>
          <t>S</t>
        </is>
      </c>
      <c r="C81" s="25" t="inlineStr">
        <is>
          <t>S5</t>
        </is>
      </c>
      <c r="D81" s="25" t="inlineStr">
        <is>
          <t>ACT</t>
        </is>
      </c>
      <c r="E81" s="25" t="inlineStr">
        <is>
          <t>E,C</t>
        </is>
      </c>
      <c r="F81" s="25" t="inlineStr">
        <is>
          <t>Accueillir une personne et l’aider à obtenir le service dont elle a besoin.</t>
        </is>
      </c>
      <c r="G81" s="29" t="inlineStr">
        <is>
          <t>UTILE</t>
        </is>
      </c>
      <c r="H81" s="27" t="inlineStr">
        <is>
          <t>Accueillir une personne, comprendre ce dont elle a besoin et l’aider à obtenir le service recherché.</t>
        </is>
      </c>
      <c r="I81" s="28" t="inlineStr">
        <is>
          <t>Ancrer l’item dans une expression typique de S/S5 sans ajouter la dimension concurrente E,C.</t>
        </is>
      </c>
      <c r="J81" s="25" t="inlineStr">
        <is>
          <t>FAIBLE</t>
        </is>
      </c>
      <c r="K81" s="25" t="inlineStr">
        <is>
          <t>MOYEN</t>
        </is>
      </c>
      <c r="L81" s="25" t="inlineStr">
        <is>
          <t>FAIBLE</t>
        </is>
      </c>
      <c r="M81" s="29" t="inlineStr">
        <is>
          <t>A_VALIDER</t>
        </is>
      </c>
      <c r="N81" s="30" t="inlineStr">
        <is>
          <t>PROPOSITION_V0.4</t>
        </is>
      </c>
      <c r="O81" s="9" t="n"/>
    </row>
    <row r="82" ht="48" customHeight="1" s="34">
      <c r="A82" s="25" t="inlineStr">
        <is>
          <t>PIP-ACT-S-S5-018</t>
        </is>
      </c>
      <c r="B82" s="25" t="inlineStr">
        <is>
          <t>S</t>
        </is>
      </c>
      <c r="C82" s="25" t="inlineStr">
        <is>
          <t>S5</t>
        </is>
      </c>
      <c r="D82" s="25" t="inlineStr">
        <is>
          <t>ACT</t>
        </is>
      </c>
      <c r="E82" s="25" t="inlineStr">
        <is>
          <t>E,C</t>
        </is>
      </c>
      <c r="F82" s="25" t="inlineStr">
        <is>
          <t>Répondre concrètement à une demande afin de faciliter la démarche d’une personne.</t>
        </is>
      </c>
      <c r="G82" s="29" t="inlineStr">
        <is>
          <t>UTILE</t>
        </is>
      </c>
      <c r="H82" s="27" t="inlineStr">
        <is>
          <t>Répondre concrètement à la demande d’un usager ou d’un client afin de lui faciliter une démarche.</t>
        </is>
      </c>
      <c r="I82" s="28" t="inlineStr">
        <is>
          <t>Ancrer l’item dans une expression typique de S/S5 sans ajouter la dimension concurrente E,C.</t>
        </is>
      </c>
      <c r="J82" s="25" t="inlineStr">
        <is>
          <t>FAIBLE</t>
        </is>
      </c>
      <c r="K82" s="25" t="inlineStr">
        <is>
          <t>MOYEN</t>
        </is>
      </c>
      <c r="L82" s="25" t="inlineStr">
        <is>
          <t>FAIBLE</t>
        </is>
      </c>
      <c r="M82" s="29" t="inlineStr">
        <is>
          <t>A_VALIDER</t>
        </is>
      </c>
      <c r="N82" s="30" t="inlineStr">
        <is>
          <t>PROPOSITION_V0.4</t>
        </is>
      </c>
      <c r="O82" s="9" t="n"/>
    </row>
    <row r="83" ht="48" customHeight="1" s="34">
      <c r="A83" s="25" t="inlineStr">
        <is>
          <t>PIP-SIT-S-S5-019</t>
        </is>
      </c>
      <c r="B83" s="25" t="inlineStr">
        <is>
          <t>S</t>
        </is>
      </c>
      <c r="C83" s="25" t="inlineStr">
        <is>
          <t>S5</t>
        </is>
      </c>
      <c r="D83" s="25" t="inlineStr">
        <is>
          <t>SIT</t>
        </is>
      </c>
      <c r="E83" s="25" t="inlineStr">
        <is>
          <t>E,C</t>
        </is>
      </c>
      <c r="F83" s="25" t="inlineStr">
        <is>
          <t>Aider un usager ou un client qui ne sait pas comment accomplir une démarche.</t>
        </is>
      </c>
      <c r="G83" s="26" t="inlineStr">
        <is>
          <t>FORTE</t>
        </is>
      </c>
      <c r="H83" s="27" t="inlineStr">
        <is>
          <t>Une personne ne sait pas comment accomplir une démarche : l’accompagner jusqu’à ce qu’elle sache quoi faire.</t>
        </is>
      </c>
      <c r="I83" s="28" t="inlineStr">
        <is>
          <t>Ancrer l’item dans une expression typique de S/S5 sans ajouter la dimension concurrente E,C.</t>
        </is>
      </c>
      <c r="J83" s="25" t="inlineStr">
        <is>
          <t>FAIBLE</t>
        </is>
      </c>
      <c r="K83" s="25" t="inlineStr">
        <is>
          <t>MOYEN</t>
        </is>
      </c>
      <c r="L83" s="25" t="inlineStr">
        <is>
          <t>MOYEN</t>
        </is>
      </c>
      <c r="M83" s="29" t="inlineStr">
        <is>
          <t>A_VALIDER</t>
        </is>
      </c>
      <c r="N83" s="30" t="inlineStr">
        <is>
          <t>PROPOSITION_V0.4</t>
        </is>
      </c>
      <c r="O83" s="9" t="n"/>
    </row>
    <row r="84" ht="48" customHeight="1" s="34">
      <c r="A84" s="25" t="inlineStr">
        <is>
          <t>PIP-ENV-S-S5-020</t>
        </is>
      </c>
      <c r="B84" s="25" t="inlineStr">
        <is>
          <t>S</t>
        </is>
      </c>
      <c r="C84" s="25" t="inlineStr">
        <is>
          <t>S5</t>
        </is>
      </c>
      <c r="D84" s="25" t="inlineStr">
        <is>
          <t>ENV</t>
        </is>
      </c>
      <c r="E84" s="25" t="inlineStr">
        <is>
          <t>E,C</t>
        </is>
      </c>
      <c r="F84" s="25" t="inlineStr">
        <is>
          <t>Travailler dans un contexte où l’on rend directement des services utiles à des personnes aux besoins variés.</t>
        </is>
      </c>
      <c r="G84" s="29" t="inlineStr">
        <is>
          <t>UTILE</t>
        </is>
      </c>
      <c r="H84" s="27" t="inlineStr">
        <is>
          <t>Travailler dans un environnement où l’on rend directement des services utiles à des personnes aux besoins variés.</t>
        </is>
      </c>
      <c r="I84" s="28" t="inlineStr">
        <is>
          <t>Ancrer l’item dans une expression typique de S/S5 sans ajouter la dimension concurrente E,C.</t>
        </is>
      </c>
      <c r="J84" s="25" t="inlineStr">
        <is>
          <t>FAIBLE</t>
        </is>
      </c>
      <c r="K84" s="25" t="inlineStr">
        <is>
          <t>MOYEN</t>
        </is>
      </c>
      <c r="L84" s="25" t="inlineStr">
        <is>
          <t>FAIBLE</t>
        </is>
      </c>
      <c r="M84" s="29" t="inlineStr">
        <is>
          <t>A_VALIDER</t>
        </is>
      </c>
      <c r="N84" s="30" t="inlineStr">
        <is>
          <t>PROPOSITION_V0.4</t>
        </is>
      </c>
      <c r="O84" s="9" t="n"/>
    </row>
    <row r="85" ht="48" customHeight="1" s="34">
      <c r="A85" s="18" t="inlineStr">
        <is>
          <t>PIP-ACT-E-E1-001</t>
        </is>
      </c>
      <c r="B85" s="18" t="inlineStr">
        <is>
          <t>E</t>
        </is>
      </c>
      <c r="C85" s="18" t="inlineStr">
        <is>
          <t>E1</t>
        </is>
      </c>
      <c r="D85" s="18" t="inlineStr">
        <is>
          <t>ACT</t>
        </is>
      </c>
      <c r="E85" s="18" t="inlineStr">
        <is>
          <t>A</t>
        </is>
      </c>
      <c r="F85" s="18" t="inlineStr">
        <is>
          <t>Lancer un nouveau projet à partir d’une idée ou d’une opportunité.</t>
        </is>
      </c>
      <c r="G85" s="22" t="inlineStr">
        <is>
          <t>UTILE</t>
        </is>
      </c>
      <c r="H85" s="20" t="inlineStr">
        <is>
          <t>Lancer un nouveau service, une activité ou un projet à partir d’une idée ou d’une opportunité identifiée.</t>
        </is>
      </c>
      <c r="I85" s="21" t="inlineStr">
        <is>
          <t>Ancrer l’item dans une expression typique de E/E1 sans ajouter la dimension concurrente A.</t>
        </is>
      </c>
      <c r="J85" s="18" t="inlineStr">
        <is>
          <t>FAIBLE</t>
        </is>
      </c>
      <c r="K85" s="18" t="inlineStr">
        <is>
          <t>MOYEN</t>
        </is>
      </c>
      <c r="L85" s="18" t="inlineStr">
        <is>
          <t>FAIBLE</t>
        </is>
      </c>
      <c r="M85" s="22" t="inlineStr">
        <is>
          <t>A_VALIDER</t>
        </is>
      </c>
      <c r="N85" s="23" t="inlineStr">
        <is>
          <t>PROPOSITION_V0.4</t>
        </is>
      </c>
      <c r="O85" s="24" t="n"/>
    </row>
    <row r="86" ht="48" customHeight="1" s="34">
      <c r="A86" s="25" t="inlineStr">
        <is>
          <t>PIP-ACT-E-E1-002</t>
        </is>
      </c>
      <c r="B86" s="25" t="inlineStr">
        <is>
          <t>E</t>
        </is>
      </c>
      <c r="C86" s="25" t="inlineStr">
        <is>
          <t>E1</t>
        </is>
      </c>
      <c r="D86" s="25" t="inlineStr">
        <is>
          <t>ACT</t>
        </is>
      </c>
      <c r="E86" s="25" t="inlineStr">
        <is>
          <t>A</t>
        </is>
      </c>
      <c r="F86" s="25" t="inlineStr">
        <is>
          <t>Faire progresser un projet en identifiant de nouvelles possibilités de développement.</t>
        </is>
      </c>
      <c r="G86" s="29" t="inlineStr">
        <is>
          <t>UTILE</t>
        </is>
      </c>
      <c r="H86" s="27" t="inlineStr">
        <is>
          <t>Chercher de nouvelles possibilités pour développer un projet, une activité ou une offre existante.</t>
        </is>
      </c>
      <c r="I86" s="28" t="inlineStr">
        <is>
          <t>Ancrer l’item dans une expression typique de E/E1 sans ajouter la dimension concurrente A.</t>
        </is>
      </c>
      <c r="J86" s="25" t="inlineStr">
        <is>
          <t>FAIBLE</t>
        </is>
      </c>
      <c r="K86" s="25" t="inlineStr">
        <is>
          <t>MOYEN</t>
        </is>
      </c>
      <c r="L86" s="25" t="inlineStr">
        <is>
          <t>FAIBLE</t>
        </is>
      </c>
      <c r="M86" s="29" t="inlineStr">
        <is>
          <t>A_VALIDER</t>
        </is>
      </c>
      <c r="N86" s="30" t="inlineStr">
        <is>
          <t>PROPOSITION_V0.4</t>
        </is>
      </c>
      <c r="O86" s="9" t="n"/>
    </row>
    <row r="87" ht="48" customHeight="1" s="34">
      <c r="A87" s="25" t="inlineStr">
        <is>
          <t>PIP-SIT-E-E1-003</t>
        </is>
      </c>
      <c r="B87" s="25" t="inlineStr">
        <is>
          <t>E</t>
        </is>
      </c>
      <c r="C87" s="25" t="inlineStr">
        <is>
          <t>E1</t>
        </is>
      </c>
      <c r="D87" s="25" t="inlineStr">
        <is>
          <t>SIT</t>
        </is>
      </c>
      <c r="E87" s="25" t="inlineStr">
        <is>
          <t>A</t>
        </is>
      </c>
      <c r="F87" s="25" t="inlineStr">
        <is>
          <t>Voir une opportunité et prendre l’initiative de la transformer en projet concret.</t>
        </is>
      </c>
      <c r="G87" s="29" t="inlineStr">
        <is>
          <t>UTILE</t>
        </is>
      </c>
      <c r="H87" s="27" t="inlineStr">
        <is>
          <t>Repérer une opportunité et prendre l’initiative de réunir les moyens nécessaires pour en faire un projet concret.</t>
        </is>
      </c>
      <c r="I87" s="28" t="inlineStr">
        <is>
          <t>Ancrer l’item dans une expression typique de E/E1 sans ajouter la dimension concurrente A.</t>
        </is>
      </c>
      <c r="J87" s="25" t="inlineStr">
        <is>
          <t>FAIBLE</t>
        </is>
      </c>
      <c r="K87" s="25" t="inlineStr">
        <is>
          <t>MOYEN</t>
        </is>
      </c>
      <c r="L87" s="25" t="inlineStr">
        <is>
          <t>FAIBLE</t>
        </is>
      </c>
      <c r="M87" s="29" t="inlineStr">
        <is>
          <t>A_VALIDER</t>
        </is>
      </c>
      <c r="N87" s="30" t="inlineStr">
        <is>
          <t>PROPOSITION_V0.4</t>
        </is>
      </c>
      <c r="O87" s="9" t="n"/>
    </row>
    <row r="88" ht="48" customHeight="1" s="34">
      <c r="A88" s="25" t="inlineStr">
        <is>
          <t>PIP-ENV-E-E1-004</t>
        </is>
      </c>
      <c r="B88" s="25" t="inlineStr">
        <is>
          <t>E</t>
        </is>
      </c>
      <c r="C88" s="25" t="inlineStr">
        <is>
          <t>E1</t>
        </is>
      </c>
      <c r="D88" s="25" t="inlineStr">
        <is>
          <t>ENV</t>
        </is>
      </c>
      <c r="E88" s="25" t="inlineStr">
        <is>
          <t>A</t>
        </is>
      </c>
      <c r="F88" s="25" t="inlineStr">
        <is>
          <t>Évoluer dans un contexte où l’on peut proposer des initiatives et faire avancer de nouveaux projets.</t>
        </is>
      </c>
      <c r="G88" s="29" t="inlineStr">
        <is>
          <t>UTILE</t>
        </is>
      </c>
      <c r="H88" s="27" t="inlineStr">
        <is>
          <t>Évoluer dans un environnement où l’on peut proposer des initiatives et faire démarrer de nouveaux projets.</t>
        </is>
      </c>
      <c r="I88" s="28" t="inlineStr">
        <is>
          <t>Ancrer l’item dans une expression typique de E/E1 sans ajouter la dimension concurrente A.</t>
        </is>
      </c>
      <c r="J88" s="25" t="inlineStr">
        <is>
          <t>FAIBLE</t>
        </is>
      </c>
      <c r="K88" s="25" t="inlineStr">
        <is>
          <t>MOYEN</t>
        </is>
      </c>
      <c r="L88" s="25" t="inlineStr">
        <is>
          <t>FAIBLE</t>
        </is>
      </c>
      <c r="M88" s="29" t="inlineStr">
        <is>
          <t>A_VALIDER</t>
        </is>
      </c>
      <c r="N88" s="30" t="inlineStr">
        <is>
          <t>PROPOSITION_V0.4</t>
        </is>
      </c>
      <c r="O88" s="9" t="n"/>
    </row>
    <row r="89" ht="48" customHeight="1" s="34">
      <c r="A89" s="25" t="inlineStr">
        <is>
          <t>PIP-ACT-E-E2-005</t>
        </is>
      </c>
      <c r="B89" s="25" t="inlineStr">
        <is>
          <t>E</t>
        </is>
      </c>
      <c r="C89" s="25" t="inlineStr">
        <is>
          <t>E2</t>
        </is>
      </c>
      <c r="D89" s="25" t="inlineStr">
        <is>
          <t>ACT</t>
        </is>
      </c>
      <c r="E89" s="25" t="inlineStr">
        <is>
          <t>S</t>
        </is>
      </c>
      <c r="F89" s="25" t="inlineStr">
        <is>
          <t>Présenter une proposition de façon à donner envie d’y adhérer.</t>
        </is>
      </c>
      <c r="G89" s="29" t="inlineStr">
        <is>
          <t>UTILE</t>
        </is>
      </c>
      <c r="H89" s="27" t="inlineStr">
        <is>
          <t>Présenter une proposition à un client, une équipe ou un partenaire de façon à susciter son adhésion.</t>
        </is>
      </c>
      <c r="I89" s="28" t="inlineStr">
        <is>
          <t>Ancrer l’item dans une expression typique de E/E2 sans ajouter la dimension concurrente S.</t>
        </is>
      </c>
      <c r="J89" s="25" t="inlineStr">
        <is>
          <t>FAIBLE</t>
        </is>
      </c>
      <c r="K89" s="25" t="inlineStr">
        <is>
          <t>MOYEN</t>
        </is>
      </c>
      <c r="L89" s="25" t="inlineStr">
        <is>
          <t>FAIBLE</t>
        </is>
      </c>
      <c r="M89" s="29" t="inlineStr">
        <is>
          <t>A_VALIDER</t>
        </is>
      </c>
      <c r="N89" s="30" t="inlineStr">
        <is>
          <t>PROPOSITION_V0.4</t>
        </is>
      </c>
      <c r="O89" s="9" t="n"/>
    </row>
    <row r="90" ht="48" customHeight="1" s="34">
      <c r="A90" s="25" t="inlineStr">
        <is>
          <t>PIP-ACT-E-E2-006</t>
        </is>
      </c>
      <c r="B90" s="25" t="inlineStr">
        <is>
          <t>E</t>
        </is>
      </c>
      <c r="C90" s="25" t="inlineStr">
        <is>
          <t>E2</t>
        </is>
      </c>
      <c r="D90" s="25" t="inlineStr">
        <is>
          <t>ACT</t>
        </is>
      </c>
      <c r="E90" s="25" t="inlineStr">
        <is>
          <t>S</t>
        </is>
      </c>
      <c r="F90" s="25" t="inlineStr">
        <is>
          <t>Promouvoir un produit, un service ou une idée auprès d’un public.</t>
        </is>
      </c>
      <c r="G90" s="29" t="inlineStr">
        <is>
          <t>UTILE</t>
        </is>
      </c>
      <c r="H90" s="27" t="inlineStr">
        <is>
          <t>Promouvoir un produit, un service, un projet ou une idée auprès d’un public susceptible d’être intéressé.</t>
        </is>
      </c>
      <c r="I90" s="28" t="inlineStr">
        <is>
          <t>Ancrer l’item dans une expression typique de E/E2 sans ajouter la dimension concurrente S.</t>
        </is>
      </c>
      <c r="J90" s="25" t="inlineStr">
        <is>
          <t>FAIBLE</t>
        </is>
      </c>
      <c r="K90" s="25" t="inlineStr">
        <is>
          <t>MOYEN</t>
        </is>
      </c>
      <c r="L90" s="25" t="inlineStr">
        <is>
          <t>FAIBLE</t>
        </is>
      </c>
      <c r="M90" s="29" t="inlineStr">
        <is>
          <t>A_VALIDER</t>
        </is>
      </c>
      <c r="N90" s="30" t="inlineStr">
        <is>
          <t>PROPOSITION_V0.4</t>
        </is>
      </c>
      <c r="O90" s="9" t="n"/>
    </row>
    <row r="91" ht="48" customHeight="1" s="34">
      <c r="A91" s="25" t="inlineStr">
        <is>
          <t>PIP-SIT-E-E2-007</t>
        </is>
      </c>
      <c r="B91" s="25" t="inlineStr">
        <is>
          <t>E</t>
        </is>
      </c>
      <c r="C91" s="25" t="inlineStr">
        <is>
          <t>E2</t>
        </is>
      </c>
      <c r="D91" s="25" t="inlineStr">
        <is>
          <t>SIT</t>
        </is>
      </c>
      <c r="E91" s="25" t="inlineStr">
        <is>
          <t>S</t>
        </is>
      </c>
      <c r="F91" s="25" t="inlineStr">
        <is>
          <t>Défendre une proposition devant des personnes qui hésitent afin d’obtenir leur adhésion.</t>
        </is>
      </c>
      <c r="G91" s="29" t="inlineStr">
        <is>
          <t>UTILE</t>
        </is>
      </c>
      <c r="H91" s="27" t="inlineStr">
        <is>
          <t>Défendre une proposition devant des personnes hésitantes afin de les convaincre de la retenir.</t>
        </is>
      </c>
      <c r="I91" s="28" t="inlineStr">
        <is>
          <t>Ancrer l’item dans une expression typique de E/E2 sans ajouter la dimension concurrente S.</t>
        </is>
      </c>
      <c r="J91" s="25" t="inlineStr">
        <is>
          <t>FAIBLE</t>
        </is>
      </c>
      <c r="K91" s="25" t="inlineStr">
        <is>
          <t>MOYEN</t>
        </is>
      </c>
      <c r="L91" s="25" t="inlineStr">
        <is>
          <t>FAIBLE</t>
        </is>
      </c>
      <c r="M91" s="29" t="inlineStr">
        <is>
          <t>A_VALIDER</t>
        </is>
      </c>
      <c r="N91" s="30" t="inlineStr">
        <is>
          <t>PROPOSITION_V0.4</t>
        </is>
      </c>
      <c r="O91" s="9" t="n"/>
    </row>
    <row r="92" ht="48" customHeight="1" s="34">
      <c r="A92" s="25" t="inlineStr">
        <is>
          <t>PIP-ENV-E-E2-008</t>
        </is>
      </c>
      <c r="B92" s="25" t="inlineStr">
        <is>
          <t>E</t>
        </is>
      </c>
      <c r="C92" s="25" t="inlineStr">
        <is>
          <t>E2</t>
        </is>
      </c>
      <c r="D92" s="25" t="inlineStr">
        <is>
          <t>ENV</t>
        </is>
      </c>
      <c r="E92" s="25" t="inlineStr">
        <is>
          <t>S</t>
        </is>
      </c>
      <c r="F92" s="25" t="inlineStr">
        <is>
          <t>Travailler dans un contexte où il faut régulièrement présenter, promouvoir ou faire accepter des propositions.</t>
        </is>
      </c>
      <c r="G92" s="26" t="inlineStr">
        <is>
          <t>FORTE</t>
        </is>
      </c>
      <c r="H92" s="27" t="inlineStr">
        <is>
          <t>Travailler dans un contexte où il faut régulièrement présenter, promouvoir ou faire accepter des propositions.</t>
        </is>
      </c>
      <c r="I92" s="28" t="inlineStr">
        <is>
          <t>Ancrer l’item dans une expression typique de E/E2 sans ajouter la dimension concurrente S.</t>
        </is>
      </c>
      <c r="J92" s="25" t="inlineStr">
        <is>
          <t>FAIBLE</t>
        </is>
      </c>
      <c r="K92" s="25" t="inlineStr">
        <is>
          <t>MOYEN</t>
        </is>
      </c>
      <c r="L92" s="25" t="inlineStr">
        <is>
          <t>FAIBLE</t>
        </is>
      </c>
      <c r="M92" s="29" t="inlineStr">
        <is>
          <t>A_VALIDER</t>
        </is>
      </c>
      <c r="N92" s="30" t="inlineStr">
        <is>
          <t>PROPOSITION_V0.4</t>
        </is>
      </c>
      <c r="O92" s="9" t="n"/>
    </row>
    <row r="93" ht="48" customHeight="1" s="34">
      <c r="A93" s="25" t="inlineStr">
        <is>
          <t>PIP-ACT-E-E3-009</t>
        </is>
      </c>
      <c r="B93" s="25" t="inlineStr">
        <is>
          <t>E</t>
        </is>
      </c>
      <c r="C93" s="25" t="inlineStr">
        <is>
          <t>E3</t>
        </is>
      </c>
      <c r="D93" s="25" t="inlineStr">
        <is>
          <t>ACT</t>
        </is>
      </c>
      <c r="E93" s="25" t="inlineStr">
        <is>
          <t>S,C</t>
        </is>
      </c>
      <c r="F93" s="25" t="inlineStr">
        <is>
          <t>Négocier les conditions d’un accord entre plusieurs parties.</t>
        </is>
      </c>
      <c r="G93" s="26" t="inlineStr">
        <is>
          <t>FORTE</t>
        </is>
      </c>
      <c r="H93" s="27" t="inlineStr">
        <is>
          <t>Négocier avec plusieurs parties les conditions d’un accord afin de parvenir à une solution acceptable.</t>
        </is>
      </c>
      <c r="I93" s="28" t="inlineStr">
        <is>
          <t>Ancrer l’item dans une expression typique de E/E3 sans ajouter la dimension concurrente S,C.</t>
        </is>
      </c>
      <c r="J93" s="25" t="inlineStr">
        <is>
          <t>FAIBLE</t>
        </is>
      </c>
      <c r="K93" s="25" t="inlineStr">
        <is>
          <t>MOYEN</t>
        </is>
      </c>
      <c r="L93" s="25" t="inlineStr">
        <is>
          <t>MOYEN</t>
        </is>
      </c>
      <c r="M93" s="29" t="inlineStr">
        <is>
          <t>A_VALIDER</t>
        </is>
      </c>
      <c r="N93" s="30" t="inlineStr">
        <is>
          <t>PROPOSITION_V0.4</t>
        </is>
      </c>
      <c r="O93" s="9" t="n"/>
    </row>
    <row r="94" ht="48" customHeight="1" s="34">
      <c r="A94" s="25" t="inlineStr">
        <is>
          <t>PIP-ACT-E-E3-010</t>
        </is>
      </c>
      <c r="B94" s="25" t="inlineStr">
        <is>
          <t>E</t>
        </is>
      </c>
      <c r="C94" s="25" t="inlineStr">
        <is>
          <t>E3</t>
        </is>
      </c>
      <c r="D94" s="25" t="inlineStr">
        <is>
          <t>ACT</t>
        </is>
      </c>
      <c r="E94" s="25" t="inlineStr">
        <is>
          <t>S,C</t>
        </is>
      </c>
      <c r="F94" s="25" t="inlineStr">
        <is>
          <t>Chercher un compromis lorsque des personnes défendent des intérêts différents.</t>
        </is>
      </c>
      <c r="G94" s="26" t="inlineStr">
        <is>
          <t>FORTE</t>
        </is>
      </c>
      <c r="H94" s="27" t="inlineStr">
        <is>
          <t>Rechercher un compromis lorsque deux personnes ou organisations défendent des intérêts différents.</t>
        </is>
      </c>
      <c r="I94" s="28" t="inlineStr">
        <is>
          <t>Ancrer l’item dans une expression typique de E/E3 sans ajouter la dimension concurrente S,C.</t>
        </is>
      </c>
      <c r="J94" s="25" t="inlineStr">
        <is>
          <t>MOYEN</t>
        </is>
      </c>
      <c r="K94" s="25" t="inlineStr">
        <is>
          <t>MOYEN</t>
        </is>
      </c>
      <c r="L94" s="25" t="inlineStr">
        <is>
          <t>FAIBLE</t>
        </is>
      </c>
      <c r="M94" s="29" t="inlineStr">
        <is>
          <t>A_VALIDER</t>
        </is>
      </c>
      <c r="N94" s="30" t="inlineStr">
        <is>
          <t>PROPOSITION_V0.4</t>
        </is>
      </c>
      <c r="O94" s="9" t="n"/>
    </row>
    <row r="95" ht="48" customHeight="1" s="34">
      <c r="A95" s="25" t="inlineStr">
        <is>
          <t>PIP-SIT-E-E3-011</t>
        </is>
      </c>
      <c r="B95" s="25" t="inlineStr">
        <is>
          <t>E</t>
        </is>
      </c>
      <c r="C95" s="25" t="inlineStr">
        <is>
          <t>E3</t>
        </is>
      </c>
      <c r="D95" s="25" t="inlineStr">
        <is>
          <t>SIT</t>
        </is>
      </c>
      <c r="E95" s="25" t="inlineStr">
        <is>
          <t>S,C</t>
        </is>
      </c>
      <c r="F95" s="25" t="inlineStr">
        <is>
          <t>Conduire une discussion où chacun a des attentes différentes afin d’aboutir à un accord.</t>
        </is>
      </c>
      <c r="G95" s="26" t="inlineStr">
        <is>
          <t>FORTE</t>
        </is>
      </c>
      <c r="H95" s="27" t="inlineStr">
        <is>
          <t>Conduire une discussion où chacun a ses contraintes afin d’aboutir à un accord concret.</t>
        </is>
      </c>
      <c r="I95" s="28" t="inlineStr">
        <is>
          <t>Ancrer l’item dans une expression typique de E/E3 sans ajouter la dimension concurrente S,C.</t>
        </is>
      </c>
      <c r="J95" s="25" t="inlineStr">
        <is>
          <t>FAIBLE</t>
        </is>
      </c>
      <c r="K95" s="25" t="inlineStr">
        <is>
          <t>MOYEN</t>
        </is>
      </c>
      <c r="L95" s="25" t="inlineStr">
        <is>
          <t>MOYEN</t>
        </is>
      </c>
      <c r="M95" s="29" t="inlineStr">
        <is>
          <t>A_VALIDER</t>
        </is>
      </c>
      <c r="N95" s="30" t="inlineStr">
        <is>
          <t>PROPOSITION_V0.4</t>
        </is>
      </c>
      <c r="O95" s="9" t="n"/>
    </row>
    <row r="96" ht="48" customHeight="1" s="34">
      <c r="A96" s="25" t="inlineStr">
        <is>
          <t>PIP-ENV-E-E3-012</t>
        </is>
      </c>
      <c r="B96" s="25" t="inlineStr">
        <is>
          <t>E</t>
        </is>
      </c>
      <c r="C96" s="25" t="inlineStr">
        <is>
          <t>E3</t>
        </is>
      </c>
      <c r="D96" s="25" t="inlineStr">
        <is>
          <t>ENV</t>
        </is>
      </c>
      <c r="E96" s="25" t="inlineStr">
        <is>
          <t>S,C</t>
        </is>
      </c>
      <c r="F96" s="25" t="inlineStr">
        <is>
          <t>Évoluer dans un contexte où la négociation et la recherche d’accords occupent une place importante.</t>
        </is>
      </c>
      <c r="G96" s="26" t="inlineStr">
        <is>
          <t>FORTE</t>
        </is>
      </c>
      <c r="H96" s="27" t="inlineStr">
        <is>
          <t>Évoluer dans un environnement où la négociation et la recherche d’accords font partie du travail courant.</t>
        </is>
      </c>
      <c r="I96" s="28" t="inlineStr">
        <is>
          <t>Ancrer l’item dans une expression typique de E/E3 sans ajouter la dimension concurrente S,C.</t>
        </is>
      </c>
      <c r="J96" s="25" t="inlineStr">
        <is>
          <t>FAIBLE</t>
        </is>
      </c>
      <c r="K96" s="25" t="inlineStr">
        <is>
          <t>MOYEN</t>
        </is>
      </c>
      <c r="L96" s="25" t="inlineStr">
        <is>
          <t>MOYEN</t>
        </is>
      </c>
      <c r="M96" s="29" t="inlineStr">
        <is>
          <t>A_VALIDER</t>
        </is>
      </c>
      <c r="N96" s="30" t="inlineStr">
        <is>
          <t>PROPOSITION_V0.4</t>
        </is>
      </c>
      <c r="O96" s="9" t="n"/>
    </row>
    <row r="97" ht="48" customHeight="1" s="34">
      <c r="A97" s="25" t="inlineStr">
        <is>
          <t>PIP-ACT-E-E4-013</t>
        </is>
      </c>
      <c r="B97" s="25" t="inlineStr">
        <is>
          <t>E</t>
        </is>
      </c>
      <c r="C97" s="25" t="inlineStr">
        <is>
          <t>E4</t>
        </is>
      </c>
      <c r="D97" s="25" t="inlineStr">
        <is>
          <t>ACT</t>
        </is>
      </c>
      <c r="E97" s="25" t="inlineStr">
        <is>
          <t>C,S</t>
        </is>
      </c>
      <c r="F97" s="25" t="inlineStr">
        <is>
          <t>Coordonner le travail de plusieurs personnes pour faire avancer un projet.</t>
        </is>
      </c>
      <c r="G97" s="26" t="inlineStr">
        <is>
          <t>FORTE</t>
        </is>
      </c>
      <c r="H97" s="27" t="inlineStr">
        <is>
          <t>Coordonner plusieurs personnes, répartir les responsabilités et suivre l’avancement d’un projet.</t>
        </is>
      </c>
      <c r="I97" s="28" t="inlineStr">
        <is>
          <t>Ancrer l’item dans une expression typique de E/E4 sans ajouter la dimension concurrente C,S.</t>
        </is>
      </c>
      <c r="J97" s="25" t="inlineStr">
        <is>
          <t>MOYEN</t>
        </is>
      </c>
      <c r="K97" s="25" t="inlineStr">
        <is>
          <t>MOYEN</t>
        </is>
      </c>
      <c r="L97" s="25" t="inlineStr">
        <is>
          <t>FAIBLE</t>
        </is>
      </c>
      <c r="M97" s="29" t="inlineStr">
        <is>
          <t>A_VALIDER</t>
        </is>
      </c>
      <c r="N97" s="30" t="inlineStr">
        <is>
          <t>PROPOSITION_V0.4</t>
        </is>
      </c>
      <c r="O97" s="9" t="n"/>
    </row>
    <row r="98" ht="48" customHeight="1" s="34">
      <c r="A98" s="25" t="inlineStr">
        <is>
          <t>PIP-ACT-E-E4-014</t>
        </is>
      </c>
      <c r="B98" s="25" t="inlineStr">
        <is>
          <t>E</t>
        </is>
      </c>
      <c r="C98" s="25" t="inlineStr">
        <is>
          <t>E4</t>
        </is>
      </c>
      <c r="D98" s="25" t="inlineStr">
        <is>
          <t>ACT</t>
        </is>
      </c>
      <c r="E98" s="25" t="inlineStr">
        <is>
          <t>C,S</t>
        </is>
      </c>
      <c r="F98" s="25" t="inlineStr">
        <is>
          <t>Prendre des décisions qui orientent l’action d’une équipe ou d’un projet.</t>
        </is>
      </c>
      <c r="G98" s="29" t="inlineStr">
        <is>
          <t>UTILE</t>
        </is>
      </c>
      <c r="H98" s="27" t="inlineStr">
        <is>
          <t>Prendre une décision qui donne une direction claire à une équipe ou à un projet.</t>
        </is>
      </c>
      <c r="I98" s="28" t="inlineStr">
        <is>
          <t>Ancrer l’item dans une expression typique de E/E4 sans ajouter la dimension concurrente C,S.</t>
        </is>
      </c>
      <c r="J98" s="25" t="inlineStr">
        <is>
          <t>FAIBLE</t>
        </is>
      </c>
      <c r="K98" s="25" t="inlineStr">
        <is>
          <t>MOYEN</t>
        </is>
      </c>
      <c r="L98" s="25" t="inlineStr">
        <is>
          <t>FAIBLE</t>
        </is>
      </c>
      <c r="M98" s="29" t="inlineStr">
        <is>
          <t>A_VALIDER</t>
        </is>
      </c>
      <c r="N98" s="30" t="inlineStr">
        <is>
          <t>PROPOSITION_V0.4</t>
        </is>
      </c>
      <c r="O98" s="9" t="n"/>
    </row>
    <row r="99" ht="48" customHeight="1" s="34">
      <c r="A99" s="25" t="inlineStr">
        <is>
          <t>PIP-SIT-E-E4-015</t>
        </is>
      </c>
      <c r="B99" s="25" t="inlineStr">
        <is>
          <t>E</t>
        </is>
      </c>
      <c r="C99" s="25" t="inlineStr">
        <is>
          <t>E4</t>
        </is>
      </c>
      <c r="D99" s="25" t="inlineStr">
        <is>
          <t>SIT</t>
        </is>
      </c>
      <c r="E99" s="25" t="inlineStr">
        <is>
          <t>C,S</t>
        </is>
      </c>
      <c r="F99" s="25" t="inlineStr">
        <is>
          <t>Arbitrer entre plusieurs priorités lorsque le groupe attend une décision pour continuer.</t>
        </is>
      </c>
      <c r="G99" s="29" t="inlineStr">
        <is>
          <t>UTILE</t>
        </is>
      </c>
      <c r="H99" s="27" t="inlineStr">
        <is>
          <t>Plusieurs priorités s’opposent : arbitrer et décider pour permettre au groupe de continuer.</t>
        </is>
      </c>
      <c r="I99" s="28" t="inlineStr">
        <is>
          <t>Ancrer l’item dans une expression typique de E/E4 sans ajouter la dimension concurrente C,S.</t>
        </is>
      </c>
      <c r="J99" s="25" t="inlineStr">
        <is>
          <t>FAIBLE</t>
        </is>
      </c>
      <c r="K99" s="25" t="inlineStr">
        <is>
          <t>MOYEN</t>
        </is>
      </c>
      <c r="L99" s="25" t="inlineStr">
        <is>
          <t>FAIBLE</t>
        </is>
      </c>
      <c r="M99" s="29" t="inlineStr">
        <is>
          <t>A_VALIDER</t>
        </is>
      </c>
      <c r="N99" s="30" t="inlineStr">
        <is>
          <t>PROPOSITION_V0.4</t>
        </is>
      </c>
      <c r="O99" s="9" t="n"/>
    </row>
    <row r="100" ht="48" customHeight="1" s="34">
      <c r="A100" s="25" t="inlineStr">
        <is>
          <t>PIP-ENV-E-E4-016</t>
        </is>
      </c>
      <c r="B100" s="25" t="inlineStr">
        <is>
          <t>E</t>
        </is>
      </c>
      <c r="C100" s="25" t="inlineStr">
        <is>
          <t>E4</t>
        </is>
      </c>
      <c r="D100" s="25" t="inlineStr">
        <is>
          <t>ENV</t>
        </is>
      </c>
      <c r="E100" s="25" t="inlineStr">
        <is>
          <t>C,S</t>
        </is>
      </c>
      <c r="F100" s="25" t="inlineStr">
        <is>
          <t>Travailler dans un contexte où l’on assume régulièrement la responsabilité de décisions et de coordination.</t>
        </is>
      </c>
      <c r="G100" s="29" t="inlineStr">
        <is>
          <t>UTILE</t>
        </is>
      </c>
      <c r="H100" s="27" t="inlineStr">
        <is>
          <t>Travailler dans un contexte où l’on assume régulièrement des décisions, des arbitrages et la coordination d’autres personnes.</t>
        </is>
      </c>
      <c r="I100" s="28" t="inlineStr">
        <is>
          <t>Ancrer l’item dans une expression typique de E/E4 sans ajouter la dimension concurrente C,S.</t>
        </is>
      </c>
      <c r="J100" s="25" t="inlineStr">
        <is>
          <t>FAIBLE</t>
        </is>
      </c>
      <c r="K100" s="25" t="inlineStr">
        <is>
          <t>MOYEN</t>
        </is>
      </c>
      <c r="L100" s="25" t="inlineStr">
        <is>
          <t>FAIBLE</t>
        </is>
      </c>
      <c r="M100" s="29" t="inlineStr">
        <is>
          <t>A_VALIDER</t>
        </is>
      </c>
      <c r="N100" s="30" t="inlineStr">
        <is>
          <t>PROPOSITION_V0.4</t>
        </is>
      </c>
      <c r="O100" s="9" t="n"/>
    </row>
    <row r="101" ht="48" customHeight="1" s="34">
      <c r="A101" s="25" t="inlineStr">
        <is>
          <t>PIP-ACT-E-E5-017</t>
        </is>
      </c>
      <c r="B101" s="25" t="inlineStr">
        <is>
          <t>E</t>
        </is>
      </c>
      <c r="C101" s="25" t="inlineStr">
        <is>
          <t>E5</t>
        </is>
      </c>
      <c r="D101" s="25" t="inlineStr">
        <is>
          <t>ACT</t>
        </is>
      </c>
      <c r="E101" s="25" t="inlineStr">
        <is>
          <t>S,A</t>
        </is>
      </c>
      <c r="F101" s="25" t="inlineStr">
        <is>
          <t>Prendre la parole pour représenter une organisation, un projet ou une cause.</t>
        </is>
      </c>
      <c r="G101" s="29" t="inlineStr">
        <is>
          <t>UTILE</t>
        </is>
      </c>
      <c r="H101" s="27" t="inlineStr">
        <is>
          <t>Prendre la parole au nom d’une organisation, d’un projet ou d’une cause devant des interlocuteurs externes.</t>
        </is>
      </c>
      <c r="I101" s="28" t="inlineStr">
        <is>
          <t>Ancrer l’item dans une expression typique de E/E5 sans ajouter la dimension concurrente S,A.</t>
        </is>
      </c>
      <c r="J101" s="25" t="inlineStr">
        <is>
          <t>FAIBLE</t>
        </is>
      </c>
      <c r="K101" s="25" t="inlineStr">
        <is>
          <t>MOYEN</t>
        </is>
      </c>
      <c r="L101" s="25" t="inlineStr">
        <is>
          <t>FAIBLE</t>
        </is>
      </c>
      <c r="M101" s="29" t="inlineStr">
        <is>
          <t>A_VALIDER</t>
        </is>
      </c>
      <c r="N101" s="30" t="inlineStr">
        <is>
          <t>PROPOSITION_V0.4</t>
        </is>
      </c>
      <c r="O101" s="9" t="n"/>
    </row>
    <row r="102" ht="48" customHeight="1" s="34">
      <c r="A102" s="25" t="inlineStr">
        <is>
          <t>PIP-ACT-E-E5-018</t>
        </is>
      </c>
      <c r="B102" s="25" t="inlineStr">
        <is>
          <t>E</t>
        </is>
      </c>
      <c r="C102" s="25" t="inlineStr">
        <is>
          <t>E5</t>
        </is>
      </c>
      <c r="D102" s="25" t="inlineStr">
        <is>
          <t>ACT</t>
        </is>
      </c>
      <c r="E102" s="25" t="inlineStr">
        <is>
          <t>S,A</t>
        </is>
      </c>
      <c r="F102" s="25" t="inlineStr">
        <is>
          <t>Mobiliser plusieurs personnes autour d’un objectif commun.</t>
        </is>
      </c>
      <c r="G102" s="29" t="inlineStr">
        <is>
          <t>UTILE</t>
        </is>
      </c>
      <c r="H102" s="27" t="inlineStr">
        <is>
          <t>Mobiliser plusieurs personnes autour d’un objectif et leur donner envie de contribuer.</t>
        </is>
      </c>
      <c r="I102" s="28" t="inlineStr">
        <is>
          <t>Ancrer l’item dans une expression typique de E/E5 sans ajouter la dimension concurrente S,A.</t>
        </is>
      </c>
      <c r="J102" s="25" t="inlineStr">
        <is>
          <t>FAIBLE</t>
        </is>
      </c>
      <c r="K102" s="25" t="inlineStr">
        <is>
          <t>MOYEN</t>
        </is>
      </c>
      <c r="L102" s="25" t="inlineStr">
        <is>
          <t>FAIBLE</t>
        </is>
      </c>
      <c r="M102" s="29" t="inlineStr">
        <is>
          <t>A_VALIDER</t>
        </is>
      </c>
      <c r="N102" s="30" t="inlineStr">
        <is>
          <t>PROPOSITION_V0.4</t>
        </is>
      </c>
      <c r="O102" s="9" t="n"/>
    </row>
    <row r="103" ht="48" customHeight="1" s="34">
      <c r="A103" s="25" t="inlineStr">
        <is>
          <t>PIP-SIT-E-E5-019</t>
        </is>
      </c>
      <c r="B103" s="25" t="inlineStr">
        <is>
          <t>E</t>
        </is>
      </c>
      <c r="C103" s="25" t="inlineStr">
        <is>
          <t>E5</t>
        </is>
      </c>
      <c r="D103" s="25" t="inlineStr">
        <is>
          <t>SIT</t>
        </is>
      </c>
      <c r="E103" s="25" t="inlineStr">
        <is>
          <t>S,A</t>
        </is>
      </c>
      <c r="F103" s="25" t="inlineStr">
        <is>
          <t>Faire adhérer un groupe à une orientation et l’encourager à se mettre en action.</t>
        </is>
      </c>
      <c r="G103" s="29" t="inlineStr">
        <is>
          <t>UTILE</t>
        </is>
      </c>
      <c r="H103" s="27" t="inlineStr">
        <is>
          <t>Présenter une orientation à un groupe, obtenir son adhésion et l’inciter à passer à l’action.</t>
        </is>
      </c>
      <c r="I103" s="28" t="inlineStr">
        <is>
          <t>Ancrer l’item dans une expression typique de E/E5 sans ajouter la dimension concurrente S,A.</t>
        </is>
      </c>
      <c r="J103" s="25" t="inlineStr">
        <is>
          <t>FAIBLE</t>
        </is>
      </c>
      <c r="K103" s="25" t="inlineStr">
        <is>
          <t>MOYEN</t>
        </is>
      </c>
      <c r="L103" s="25" t="inlineStr">
        <is>
          <t>FAIBLE</t>
        </is>
      </c>
      <c r="M103" s="29" t="inlineStr">
        <is>
          <t>A_VALIDER</t>
        </is>
      </c>
      <c r="N103" s="30" t="inlineStr">
        <is>
          <t>PROPOSITION_V0.4</t>
        </is>
      </c>
      <c r="O103" s="9" t="n"/>
    </row>
    <row r="104" ht="48" customHeight="1" s="34">
      <c r="A104" s="25" t="inlineStr">
        <is>
          <t>PIP-ENV-E-E5-020</t>
        </is>
      </c>
      <c r="B104" s="25" t="inlineStr">
        <is>
          <t>E</t>
        </is>
      </c>
      <c r="C104" s="25" t="inlineStr">
        <is>
          <t>E5</t>
        </is>
      </c>
      <c r="D104" s="25" t="inlineStr">
        <is>
          <t>ENV</t>
        </is>
      </c>
      <c r="E104" s="25" t="inlineStr">
        <is>
          <t>S,A</t>
        </is>
      </c>
      <c r="F104" s="25" t="inlineStr">
        <is>
          <t>Évoluer dans un contexte où l’on représente des positions, prend la parole et cherche à mobiliser des personnes.</t>
        </is>
      </c>
      <c r="G104" s="29" t="inlineStr">
        <is>
          <t>UTILE</t>
        </is>
      </c>
      <c r="H104" s="27" t="inlineStr">
        <is>
          <t>Évoluer dans un contexte où l’on représente des positions, prend la parole et cherche à entraîner d’autres personnes.</t>
        </is>
      </c>
      <c r="I104" s="28" t="inlineStr">
        <is>
          <t>Ancrer l’item dans une expression typique de E/E5 sans ajouter la dimension concurrente S,A.</t>
        </is>
      </c>
      <c r="J104" s="25" t="inlineStr">
        <is>
          <t>FAIBLE</t>
        </is>
      </c>
      <c r="K104" s="25" t="inlineStr">
        <is>
          <t>MOYEN</t>
        </is>
      </c>
      <c r="L104" s="25" t="inlineStr">
        <is>
          <t>FAIBLE</t>
        </is>
      </c>
      <c r="M104" s="29" t="inlineStr">
        <is>
          <t>A_VALIDER</t>
        </is>
      </c>
      <c r="N104" s="30" t="inlineStr">
        <is>
          <t>PROPOSITION_V0.4</t>
        </is>
      </c>
      <c r="O104" s="9" t="n"/>
    </row>
    <row r="105" ht="48" customHeight="1" s="34">
      <c r="A105" s="18" t="inlineStr">
        <is>
          <t>PIP-ACT-C-C1-001</t>
        </is>
      </c>
      <c r="B105" s="18" t="inlineStr">
        <is>
          <t>C</t>
        </is>
      </c>
      <c r="C105" s="18" t="inlineStr">
        <is>
          <t>C1</t>
        </is>
      </c>
      <c r="D105" s="18" t="inlineStr">
        <is>
          <t>ACT</t>
        </is>
      </c>
      <c r="E105" s="18" t="inlineStr">
        <is>
          <t>I</t>
        </is>
      </c>
      <c r="F105" s="18" t="inlineStr">
        <is>
          <t>Organiser des informations pour qu’elles soient faciles à retrouver et à utiliser.</t>
        </is>
      </c>
      <c r="G105" s="22" t="inlineStr">
        <is>
          <t>UTILE</t>
        </is>
      </c>
      <c r="H105" s="20" t="inlineStr">
        <is>
          <t>Organiser des dossiers ou informations dans une arborescence claire afin qu’ils soient rapidement retrouvés.</t>
        </is>
      </c>
      <c r="I105" s="21" t="inlineStr">
        <is>
          <t>Ancrer l’item dans une expression typique de C/C1 sans ajouter la dimension concurrente I.</t>
        </is>
      </c>
      <c r="J105" s="18" t="inlineStr">
        <is>
          <t>FAIBLE</t>
        </is>
      </c>
      <c r="K105" s="18" t="inlineStr">
        <is>
          <t>MOYEN</t>
        </is>
      </c>
      <c r="L105" s="18" t="inlineStr">
        <is>
          <t>FAIBLE</t>
        </is>
      </c>
      <c r="M105" s="22" t="inlineStr">
        <is>
          <t>A_VALIDER</t>
        </is>
      </c>
      <c r="N105" s="23" t="inlineStr">
        <is>
          <t>PROPOSITION_V0.4</t>
        </is>
      </c>
      <c r="O105" s="24" t="n"/>
    </row>
    <row r="106" ht="48" customHeight="1" s="34">
      <c r="A106" s="25" t="inlineStr">
        <is>
          <t>PIP-ACT-C-C1-002</t>
        </is>
      </c>
      <c r="B106" s="25" t="inlineStr">
        <is>
          <t>C</t>
        </is>
      </c>
      <c r="C106" s="25" t="inlineStr">
        <is>
          <t>C1</t>
        </is>
      </c>
      <c r="D106" s="25" t="inlineStr">
        <is>
          <t>ACT</t>
        </is>
      </c>
      <c r="E106" s="25" t="inlineStr">
        <is>
          <t>I</t>
        </is>
      </c>
      <c r="F106" s="25" t="inlineStr">
        <is>
          <t>Classer des documents ou des données selon une structure claire.</t>
        </is>
      </c>
      <c r="G106" s="29" t="inlineStr">
        <is>
          <t>UTILE</t>
        </is>
      </c>
      <c r="H106" s="27" t="inlineStr">
        <is>
          <t>Classer des documents ou des données selon des catégories et des règles définies.</t>
        </is>
      </c>
      <c r="I106" s="28" t="inlineStr">
        <is>
          <t>Ancrer l’item dans une expression typique de C/C1 sans ajouter la dimension concurrente I.</t>
        </is>
      </c>
      <c r="J106" s="25" t="inlineStr">
        <is>
          <t>FAIBLE</t>
        </is>
      </c>
      <c r="K106" s="25" t="inlineStr">
        <is>
          <t>MOYEN</t>
        </is>
      </c>
      <c r="L106" s="25" t="inlineStr">
        <is>
          <t>FAIBLE</t>
        </is>
      </c>
      <c r="M106" s="29" t="inlineStr">
        <is>
          <t>A_VALIDER</t>
        </is>
      </c>
      <c r="N106" s="30" t="inlineStr">
        <is>
          <t>PROPOSITION_V0.4</t>
        </is>
      </c>
      <c r="O106" s="9" t="n"/>
    </row>
    <row r="107" ht="48" customHeight="1" s="34">
      <c r="A107" s="25" t="inlineStr">
        <is>
          <t>PIP-SIT-C-C1-003</t>
        </is>
      </c>
      <c r="B107" s="25" t="inlineStr">
        <is>
          <t>C</t>
        </is>
      </c>
      <c r="C107" s="25" t="inlineStr">
        <is>
          <t>C1</t>
        </is>
      </c>
      <c r="D107" s="25" t="inlineStr">
        <is>
          <t>SIT</t>
        </is>
      </c>
      <c r="E107" s="25" t="inlineStr">
        <is>
          <t>I</t>
        </is>
      </c>
      <c r="F107" s="25" t="inlineStr">
        <is>
          <t>Remettre de l’ordre dans un ensemble d’informations dispersées afin qu’il devienne exploitable.</t>
        </is>
      </c>
      <c r="G107" s="29" t="inlineStr">
        <is>
          <t>UTILE</t>
        </is>
      </c>
      <c r="H107" s="27" t="inlineStr">
        <is>
          <t>Reprendre un ensemble de fichiers ou d’informations dispersés et les réorganiser pour qu’ils deviennent faciles à utiliser.</t>
        </is>
      </c>
      <c r="I107" s="28" t="inlineStr">
        <is>
          <t>Ancrer l’item dans une expression typique de C/C1 sans ajouter la dimension concurrente I.</t>
        </is>
      </c>
      <c r="J107" s="25" t="inlineStr">
        <is>
          <t>FAIBLE</t>
        </is>
      </c>
      <c r="K107" s="25" t="inlineStr">
        <is>
          <t>MOYEN</t>
        </is>
      </c>
      <c r="L107" s="25" t="inlineStr">
        <is>
          <t>FAIBLE</t>
        </is>
      </c>
      <c r="M107" s="29" t="inlineStr">
        <is>
          <t>A_VALIDER</t>
        </is>
      </c>
      <c r="N107" s="30" t="inlineStr">
        <is>
          <t>PROPOSITION_V0.4</t>
        </is>
      </c>
      <c r="O107" s="9" t="n"/>
    </row>
    <row r="108" ht="48" customHeight="1" s="34">
      <c r="A108" s="25" t="inlineStr">
        <is>
          <t>PIP-ENV-C-C1-004</t>
        </is>
      </c>
      <c r="B108" s="25" t="inlineStr">
        <is>
          <t>C</t>
        </is>
      </c>
      <c r="C108" s="25" t="inlineStr">
        <is>
          <t>C1</t>
        </is>
      </c>
      <c r="D108" s="25" t="inlineStr">
        <is>
          <t>ENV</t>
        </is>
      </c>
      <c r="E108" s="25" t="inlineStr">
        <is>
          <t>I</t>
        </is>
      </c>
      <c r="F108" s="25" t="inlineStr">
        <is>
          <t>Travailler dans un contexte où l’organisation claire des informations et des ressources est essentielle au bon fonctionnement.</t>
        </is>
      </c>
      <c r="G108" s="26" t="inlineStr">
        <is>
          <t>FORTE</t>
        </is>
      </c>
      <c r="H108" s="27" t="inlineStr">
        <is>
          <t>Travailler dans un contexte où l’ordre et l’organisation des informations sont indispensables au fonctionnement quotidien.</t>
        </is>
      </c>
      <c r="I108" s="28" t="inlineStr">
        <is>
          <t>Ancrer l’item dans une expression typique de C/C1 sans ajouter la dimension concurrente I.</t>
        </is>
      </c>
      <c r="J108" s="25" t="inlineStr">
        <is>
          <t>FAIBLE</t>
        </is>
      </c>
      <c r="K108" s="25" t="inlineStr">
        <is>
          <t>MOYEN</t>
        </is>
      </c>
      <c r="L108" s="25" t="inlineStr">
        <is>
          <t>FAIBLE</t>
        </is>
      </c>
      <c r="M108" s="29" t="inlineStr">
        <is>
          <t>A_VALIDER</t>
        </is>
      </c>
      <c r="N108" s="30" t="inlineStr">
        <is>
          <t>PROPOSITION_V0.4</t>
        </is>
      </c>
      <c r="O108" s="9" t="n"/>
    </row>
    <row r="109" ht="48" customHeight="1" s="34">
      <c r="A109" s="25" t="inlineStr">
        <is>
          <t>PIP-ACT-C-C2-005</t>
        </is>
      </c>
      <c r="B109" s="25" t="inlineStr">
        <is>
          <t>C</t>
        </is>
      </c>
      <c r="C109" s="25" t="inlineStr">
        <is>
          <t>C2</t>
        </is>
      </c>
      <c r="D109" s="25" t="inlineStr">
        <is>
          <t>ACT</t>
        </is>
      </c>
      <c r="E109" s="25" t="inlineStr">
        <is>
          <t>I</t>
        </is>
      </c>
      <c r="F109" s="25" t="inlineStr">
        <is>
          <t>Enregistrer avec précision des informations dans un dossier ou un système.</t>
        </is>
      </c>
      <c r="G109" s="26" t="inlineStr">
        <is>
          <t>FORTE</t>
        </is>
      </c>
      <c r="H109" s="27" t="inlineStr">
        <is>
          <t>Saisir avec précision des informations dans un dossier, une base ou un système de suivi.</t>
        </is>
      </c>
      <c r="I109" s="28" t="inlineStr">
        <is>
          <t>Ancrer l’item dans une expression typique de C/C2 sans ajouter la dimension concurrente I.</t>
        </is>
      </c>
      <c r="J109" s="25" t="inlineStr">
        <is>
          <t>FAIBLE</t>
        </is>
      </c>
      <c r="K109" s="25" t="inlineStr">
        <is>
          <t>MOYEN</t>
        </is>
      </c>
      <c r="L109" s="25" t="inlineStr">
        <is>
          <t>MOYEN</t>
        </is>
      </c>
      <c r="M109" s="29" t="inlineStr">
        <is>
          <t>A_VALIDER</t>
        </is>
      </c>
      <c r="N109" s="30" t="inlineStr">
        <is>
          <t>PROPOSITION_V0.4</t>
        </is>
      </c>
      <c r="O109" s="9" t="n"/>
    </row>
    <row r="110" ht="48" customHeight="1" s="34">
      <c r="A110" s="25" t="inlineStr">
        <is>
          <t>PIP-ACT-C-C2-006</t>
        </is>
      </c>
      <c r="B110" s="25" t="inlineStr">
        <is>
          <t>C</t>
        </is>
      </c>
      <c r="C110" s="25" t="inlineStr">
        <is>
          <t>C2</t>
        </is>
      </c>
      <c r="D110" s="25" t="inlineStr">
        <is>
          <t>ACT</t>
        </is>
      </c>
      <c r="E110" s="25" t="inlineStr">
        <is>
          <t>I</t>
        </is>
      </c>
      <c r="F110" s="25" t="inlineStr">
        <is>
          <t>Mettre régulièrement à jour des données pour qu’elles restent fiables.</t>
        </is>
      </c>
      <c r="G110" s="29" t="inlineStr">
        <is>
          <t>UTILE</t>
        </is>
      </c>
      <c r="H110" s="27" t="inlineStr">
        <is>
          <t>Mettre à jour régulièrement un fichier de suivi afin que les informations restent exactes et actuelles.</t>
        </is>
      </c>
      <c r="I110" s="28" t="inlineStr">
        <is>
          <t>Ancrer l’item dans une expression typique de C/C2 sans ajouter la dimension concurrente I.</t>
        </is>
      </c>
      <c r="J110" s="25" t="inlineStr">
        <is>
          <t>FAIBLE</t>
        </is>
      </c>
      <c r="K110" s="25" t="inlineStr">
        <is>
          <t>MOYEN</t>
        </is>
      </c>
      <c r="L110" s="25" t="inlineStr">
        <is>
          <t>FAIBLE</t>
        </is>
      </c>
      <c r="M110" s="29" t="inlineStr">
        <is>
          <t>A_VALIDER</t>
        </is>
      </c>
      <c r="N110" s="30" t="inlineStr">
        <is>
          <t>PROPOSITION_V0.4</t>
        </is>
      </c>
      <c r="O110" s="9" t="n"/>
    </row>
    <row r="111" ht="48" customHeight="1" s="34">
      <c r="A111" s="25" t="inlineStr">
        <is>
          <t>PIP-SIT-C-C2-007</t>
        </is>
      </c>
      <c r="B111" s="25" t="inlineStr">
        <is>
          <t>C</t>
        </is>
      </c>
      <c r="C111" s="25" t="inlineStr">
        <is>
          <t>C2</t>
        </is>
      </c>
      <c r="D111" s="25" t="inlineStr">
        <is>
          <t>SIT</t>
        </is>
      </c>
      <c r="E111" s="25" t="inlineStr">
        <is>
          <t>I</t>
        </is>
      </c>
      <c r="F111" s="25" t="inlineStr">
        <is>
          <t>Reprendre un ensemble d’informations incomplètes et les mettre à jour de manière méthodique.</t>
        </is>
      </c>
      <c r="G111" s="29" t="inlineStr">
        <is>
          <t>UTILE</t>
        </is>
      </c>
      <c r="H111" s="27" t="inlineStr">
        <is>
          <t>Reprendre un dossier contenant des informations manquantes, les compléter et vérifier qu’il est à jour.</t>
        </is>
      </c>
      <c r="I111" s="28" t="inlineStr">
        <is>
          <t>Ancrer l’item dans une expression typique de C/C2 sans ajouter la dimension concurrente I.</t>
        </is>
      </c>
      <c r="J111" s="25" t="inlineStr">
        <is>
          <t>FAIBLE</t>
        </is>
      </c>
      <c r="K111" s="25" t="inlineStr">
        <is>
          <t>MOYEN</t>
        </is>
      </c>
      <c r="L111" s="25" t="inlineStr">
        <is>
          <t>FAIBLE</t>
        </is>
      </c>
      <c r="M111" s="29" t="inlineStr">
        <is>
          <t>A_VALIDER</t>
        </is>
      </c>
      <c r="N111" s="30" t="inlineStr">
        <is>
          <t>PROPOSITION_V0.4</t>
        </is>
      </c>
      <c r="O111" s="9" t="n"/>
    </row>
    <row r="112" ht="48" customHeight="1" s="34">
      <c r="A112" s="25" t="inlineStr">
        <is>
          <t>PIP-ENV-C-C2-008</t>
        </is>
      </c>
      <c r="B112" s="25" t="inlineStr">
        <is>
          <t>C</t>
        </is>
      </c>
      <c r="C112" s="25" t="inlineStr">
        <is>
          <t>C2</t>
        </is>
      </c>
      <c r="D112" s="25" t="inlineStr">
        <is>
          <t>ENV</t>
        </is>
      </c>
      <c r="E112" s="25" t="inlineStr">
        <is>
          <t>I</t>
        </is>
      </c>
      <c r="F112" s="25" t="inlineStr">
        <is>
          <t>Évoluer dans un contexte où la tenue à jour et la traçabilité des informations occupent une place importante.</t>
        </is>
      </c>
      <c r="G112" s="26" t="inlineStr">
        <is>
          <t>FORTE</t>
        </is>
      </c>
      <c r="H112" s="27" t="inlineStr">
        <is>
          <t>Évoluer dans un environnement où la tenue à jour et la traçabilité des informations sont essentielles.</t>
        </is>
      </c>
      <c r="I112" s="28" t="inlineStr">
        <is>
          <t>Ancrer l’item dans une expression typique de C/C2 sans ajouter la dimension concurrente I.</t>
        </is>
      </c>
      <c r="J112" s="25" t="inlineStr">
        <is>
          <t>FAIBLE</t>
        </is>
      </c>
      <c r="K112" s="25" t="inlineStr">
        <is>
          <t>MOYEN</t>
        </is>
      </c>
      <c r="L112" s="25" t="inlineStr">
        <is>
          <t>FAIBLE</t>
        </is>
      </c>
      <c r="M112" s="29" t="inlineStr">
        <is>
          <t>A_VALIDER</t>
        </is>
      </c>
      <c r="N112" s="30" t="inlineStr">
        <is>
          <t>PROPOSITION_V0.4</t>
        </is>
      </c>
      <c r="O112" s="9" t="n"/>
    </row>
    <row r="113" ht="48" customHeight="1" s="34">
      <c r="A113" s="25" t="inlineStr">
        <is>
          <t>PIP-ACT-C-C3-009</t>
        </is>
      </c>
      <c r="B113" s="25" t="inlineStr">
        <is>
          <t>C</t>
        </is>
      </c>
      <c r="C113" s="25" t="inlineStr">
        <is>
          <t>C3</t>
        </is>
      </c>
      <c r="D113" s="25" t="inlineStr">
        <is>
          <t>ACT</t>
        </is>
      </c>
      <c r="E113" s="25" t="inlineStr">
        <is>
          <t>I</t>
        </is>
      </c>
      <c r="F113" s="25" t="inlineStr">
        <is>
          <t>Vérifier l’exactitude d’informations avant qu’elles soient utilisées.</t>
        </is>
      </c>
      <c r="G113" s="29" t="inlineStr">
        <is>
          <t>UTILE</t>
        </is>
      </c>
      <c r="H113" s="27" t="inlineStr">
        <is>
          <t>Contrôler des informations avant leur utilisation afin de vérifier qu’elles sont exactes et complètes.</t>
        </is>
      </c>
      <c r="I113" s="28" t="inlineStr">
        <is>
          <t>Ancrer l’item dans une expression typique de C/C3 sans ajouter la dimension concurrente I.</t>
        </is>
      </c>
      <c r="J113" s="25" t="inlineStr">
        <is>
          <t>FAIBLE</t>
        </is>
      </c>
      <c r="K113" s="25" t="inlineStr">
        <is>
          <t>MOYEN</t>
        </is>
      </c>
      <c r="L113" s="25" t="inlineStr">
        <is>
          <t>FAIBLE</t>
        </is>
      </c>
      <c r="M113" s="29" t="inlineStr">
        <is>
          <t>A_VALIDER</t>
        </is>
      </c>
      <c r="N113" s="30" t="inlineStr">
        <is>
          <t>PROPOSITION_V0.4</t>
        </is>
      </c>
      <c r="O113" s="9" t="n"/>
    </row>
    <row r="114" ht="48" customHeight="1" s="34">
      <c r="A114" s="25" t="inlineStr">
        <is>
          <t>PIP-ACT-C-C3-010</t>
        </is>
      </c>
      <c r="B114" s="25" t="inlineStr">
        <is>
          <t>C</t>
        </is>
      </c>
      <c r="C114" s="25" t="inlineStr">
        <is>
          <t>C3</t>
        </is>
      </c>
      <c r="D114" s="25" t="inlineStr">
        <is>
          <t>ACT</t>
        </is>
      </c>
      <c r="E114" s="25" t="inlineStr">
        <is>
          <t>I</t>
        </is>
      </c>
      <c r="F114" s="25" t="inlineStr">
        <is>
          <t>Comparer plusieurs données pour repérer une erreur ou une incohérence.</t>
        </is>
      </c>
      <c r="G114" s="26" t="inlineStr">
        <is>
          <t>FORTE</t>
        </is>
      </c>
      <c r="H114" s="27" t="inlineStr">
        <is>
          <t>Comparer des données entre plusieurs documents pour repérer une erreur, un écart ou une incohérence.</t>
        </is>
      </c>
      <c r="I114" s="28" t="inlineStr">
        <is>
          <t>Ancrer l’item dans une expression typique de C/C3 sans ajouter la dimension concurrente I.</t>
        </is>
      </c>
      <c r="J114" s="25" t="inlineStr">
        <is>
          <t>MOYEN</t>
        </is>
      </c>
      <c r="K114" s="25" t="inlineStr">
        <is>
          <t>MOYEN</t>
        </is>
      </c>
      <c r="L114" s="25" t="inlineStr">
        <is>
          <t>FAIBLE</t>
        </is>
      </c>
      <c r="M114" s="29" t="inlineStr">
        <is>
          <t>A_VALIDER</t>
        </is>
      </c>
      <c r="N114" s="30" t="inlineStr">
        <is>
          <t>PROPOSITION_V0.4</t>
        </is>
      </c>
      <c r="O114" s="9" t="n"/>
    </row>
    <row r="115" ht="48" customHeight="1" s="34">
      <c r="A115" s="25" t="inlineStr">
        <is>
          <t>PIP-SIT-C-C3-011</t>
        </is>
      </c>
      <c r="B115" s="25" t="inlineStr">
        <is>
          <t>C</t>
        </is>
      </c>
      <c r="C115" s="25" t="inlineStr">
        <is>
          <t>C3</t>
        </is>
      </c>
      <c r="D115" s="25" t="inlineStr">
        <is>
          <t>SIT</t>
        </is>
      </c>
      <c r="E115" s="25" t="inlineStr">
        <is>
          <t>I</t>
        </is>
      </c>
      <c r="F115" s="25" t="inlineStr">
        <is>
          <t>Contrôler un dossier afin de s’assurer que toutes les informations nécessaires sont présentes et exactes.</t>
        </is>
      </c>
      <c r="G115" s="26" t="inlineStr">
        <is>
          <t>FORTE</t>
        </is>
      </c>
      <c r="H115" s="27" t="inlineStr">
        <is>
          <t>Vérifier méthodiquement un dossier avant validation pour s’assurer qu’aucune information nécessaire ne manque.</t>
        </is>
      </c>
      <c r="I115" s="28" t="inlineStr">
        <is>
          <t>Ancrer l’item dans une expression typique de C/C3 sans ajouter la dimension concurrente I.</t>
        </is>
      </c>
      <c r="J115" s="25" t="inlineStr">
        <is>
          <t>FAIBLE</t>
        </is>
      </c>
      <c r="K115" s="25" t="inlineStr">
        <is>
          <t>MOYEN</t>
        </is>
      </c>
      <c r="L115" s="25" t="inlineStr">
        <is>
          <t>MOYEN</t>
        </is>
      </c>
      <c r="M115" s="29" t="inlineStr">
        <is>
          <t>A_VALIDER</t>
        </is>
      </c>
      <c r="N115" s="30" t="inlineStr">
        <is>
          <t>PROPOSITION_V0.4</t>
        </is>
      </c>
      <c r="O115" s="9" t="n"/>
    </row>
    <row r="116" ht="48" customHeight="1" s="34">
      <c r="A116" s="25" t="inlineStr">
        <is>
          <t>PIP-ENV-C-C3-012</t>
        </is>
      </c>
      <c r="B116" s="25" t="inlineStr">
        <is>
          <t>C</t>
        </is>
      </c>
      <c r="C116" s="25" t="inlineStr">
        <is>
          <t>C3</t>
        </is>
      </c>
      <c r="D116" s="25" t="inlineStr">
        <is>
          <t>ENV</t>
        </is>
      </c>
      <c r="E116" s="25" t="inlineStr">
        <is>
          <t>I</t>
        </is>
      </c>
      <c r="F116" s="25" t="inlineStr">
        <is>
          <t>Travailler dans un contexte où la fiabilité des données et les vérifications régulières sont importantes.</t>
        </is>
      </c>
      <c r="G116" s="29" t="inlineStr">
        <is>
          <t>UTILE</t>
        </is>
      </c>
      <c r="H116" s="27" t="inlineStr">
        <is>
          <t>Travailler dans un contexte où les contrôles de cohérence et la fiabilité des données sont réalisés régulièrement.</t>
        </is>
      </c>
      <c r="I116" s="28" t="inlineStr">
        <is>
          <t>Ancrer l’item dans une expression typique de C/C3 sans ajouter la dimension concurrente I.</t>
        </is>
      </c>
      <c r="J116" s="25" t="inlineStr">
        <is>
          <t>FAIBLE</t>
        </is>
      </c>
      <c r="K116" s="25" t="inlineStr">
        <is>
          <t>MOYEN</t>
        </is>
      </c>
      <c r="L116" s="25" t="inlineStr">
        <is>
          <t>FAIBLE</t>
        </is>
      </c>
      <c r="M116" s="29" t="inlineStr">
        <is>
          <t>A_VALIDER</t>
        </is>
      </c>
      <c r="N116" s="30" t="inlineStr">
        <is>
          <t>PROPOSITION_V0.4</t>
        </is>
      </c>
      <c r="O116" s="9" t="n"/>
    </row>
    <row r="117" ht="48" customHeight="1" s="34">
      <c r="A117" s="25" t="inlineStr">
        <is>
          <t>PIP-ACT-C-C4-013</t>
        </is>
      </c>
      <c r="B117" s="25" t="inlineStr">
        <is>
          <t>C</t>
        </is>
      </c>
      <c r="C117" s="25" t="inlineStr">
        <is>
          <t>C4</t>
        </is>
      </c>
      <c r="D117" s="25" t="inlineStr">
        <is>
          <t>ACT</t>
        </is>
      </c>
      <c r="E117" s="25" t="inlineStr">
        <is>
          <t>R,I</t>
        </is>
      </c>
      <c r="F117" s="25" t="inlineStr">
        <is>
          <t>Suivre une procédure définie pour réaliser une opération de façon conforme.</t>
        </is>
      </c>
      <c r="G117" s="26" t="inlineStr">
        <is>
          <t>FORTE</t>
        </is>
      </c>
      <c r="H117" s="27" t="inlineStr">
        <is>
          <t>Réaliser une opération en suivant une procédure précise afin de respecter les règles prévues.</t>
        </is>
      </c>
      <c r="I117" s="28" t="inlineStr">
        <is>
          <t>Ancrer l’item dans une expression typique de C/C4 sans ajouter la dimension concurrente R,I.</t>
        </is>
      </c>
      <c r="J117" s="25" t="inlineStr">
        <is>
          <t>FAIBLE</t>
        </is>
      </c>
      <c r="K117" s="25" t="inlineStr">
        <is>
          <t>MOYEN</t>
        </is>
      </c>
      <c r="L117" s="25" t="inlineStr">
        <is>
          <t>MOYEN</t>
        </is>
      </c>
      <c r="M117" s="29" t="inlineStr">
        <is>
          <t>A_VALIDER</t>
        </is>
      </c>
      <c r="N117" s="30" t="inlineStr">
        <is>
          <t>PROPOSITION_V0.4</t>
        </is>
      </c>
      <c r="O117" s="9" t="n"/>
    </row>
    <row r="118" ht="48" customHeight="1" s="34">
      <c r="A118" s="25" t="inlineStr">
        <is>
          <t>PIP-ACT-C-C4-014</t>
        </is>
      </c>
      <c r="B118" s="25" t="inlineStr">
        <is>
          <t>C</t>
        </is>
      </c>
      <c r="C118" s="25" t="inlineStr">
        <is>
          <t>C4</t>
        </is>
      </c>
      <c r="D118" s="25" t="inlineStr">
        <is>
          <t>ACT</t>
        </is>
      </c>
      <c r="E118" s="25" t="inlineStr">
        <is>
          <t>R,I</t>
        </is>
      </c>
      <c r="F118" s="25" t="inlineStr">
        <is>
          <t>Vérifier qu’une activité respecte des règles ou des critères précis.</t>
        </is>
      </c>
      <c r="G118" s="29" t="inlineStr">
        <is>
          <t>UTILE</t>
        </is>
      </c>
      <c r="H118" s="27" t="inlineStr">
        <is>
          <t>Contrôler qu’une opération, un dossier ou une activité respecte les critères et règles applicables.</t>
        </is>
      </c>
      <c r="I118" s="28" t="inlineStr">
        <is>
          <t>Ancrer l’item dans une expression typique de C/C4 sans ajouter la dimension concurrente R,I.</t>
        </is>
      </c>
      <c r="J118" s="25" t="inlineStr">
        <is>
          <t>FAIBLE</t>
        </is>
      </c>
      <c r="K118" s="25" t="inlineStr">
        <is>
          <t>MOYEN</t>
        </is>
      </c>
      <c r="L118" s="25" t="inlineStr">
        <is>
          <t>FAIBLE</t>
        </is>
      </c>
      <c r="M118" s="29" t="inlineStr">
        <is>
          <t>A_VALIDER</t>
        </is>
      </c>
      <c r="N118" s="30" t="inlineStr">
        <is>
          <t>PROPOSITION_V0.4</t>
        </is>
      </c>
      <c r="O118" s="9" t="n"/>
    </row>
    <row r="119" ht="48" customHeight="1" s="34">
      <c r="A119" s="25" t="inlineStr">
        <is>
          <t>PIP-SIT-C-C4-015</t>
        </is>
      </c>
      <c r="B119" s="25" t="inlineStr">
        <is>
          <t>C</t>
        </is>
      </c>
      <c r="C119" s="25" t="inlineStr">
        <is>
          <t>C4</t>
        </is>
      </c>
      <c r="D119" s="25" t="inlineStr">
        <is>
          <t>SIT</t>
        </is>
      </c>
      <c r="E119" s="25" t="inlineStr">
        <is>
          <t>R,I</t>
        </is>
      </c>
      <c r="F119" s="25" t="inlineStr">
        <is>
          <t>Traiter une situation en appliquant méthodiquement les règles prévues pour ce type de cas.</t>
        </is>
      </c>
      <c r="G119" s="29" t="inlineStr">
        <is>
          <t>UTILE</t>
        </is>
      </c>
      <c r="H119" s="27" t="inlineStr">
        <is>
          <t>Traiter un cas en suivant méthodiquement les étapes prévues par la procédure correspondante.</t>
        </is>
      </c>
      <c r="I119" s="28" t="inlineStr">
        <is>
          <t>Ancrer l’item dans une expression typique de C/C4 sans ajouter la dimension concurrente R,I.</t>
        </is>
      </c>
      <c r="J119" s="25" t="inlineStr">
        <is>
          <t>FAIBLE</t>
        </is>
      </c>
      <c r="K119" s="25" t="inlineStr">
        <is>
          <t>MOYEN</t>
        </is>
      </c>
      <c r="L119" s="25" t="inlineStr">
        <is>
          <t>FAIBLE</t>
        </is>
      </c>
      <c r="M119" s="29" t="inlineStr">
        <is>
          <t>A_VALIDER</t>
        </is>
      </c>
      <c r="N119" s="30" t="inlineStr">
        <is>
          <t>PROPOSITION_V0.4</t>
        </is>
      </c>
      <c r="O119" s="9" t="n"/>
    </row>
    <row r="120" ht="48" customHeight="1" s="34">
      <c r="A120" s="25" t="inlineStr">
        <is>
          <t>PIP-ENV-C-C4-016</t>
        </is>
      </c>
      <c r="B120" s="25" t="inlineStr">
        <is>
          <t>C</t>
        </is>
      </c>
      <c r="C120" s="25" t="inlineStr">
        <is>
          <t>C4</t>
        </is>
      </c>
      <c r="D120" s="25" t="inlineStr">
        <is>
          <t>ENV</t>
        </is>
      </c>
      <c r="E120" s="25" t="inlineStr">
        <is>
          <t>R,I</t>
        </is>
      </c>
      <c r="F120" s="25" t="inlineStr">
        <is>
          <t>Évoluer dans un contexte où des procédures et des normes claires permettent de sécuriser le travail.</t>
        </is>
      </c>
      <c r="G120" s="26" t="inlineStr">
        <is>
          <t>FORTE</t>
        </is>
      </c>
      <c r="H120" s="27" t="inlineStr">
        <is>
          <t>Évoluer dans un environnement où des procédures et des normes explicites servent à sécuriser le travail.</t>
        </is>
      </c>
      <c r="I120" s="28" t="inlineStr">
        <is>
          <t>Ancrer l’item dans une expression typique de C/C4 sans ajouter la dimension concurrente R,I.</t>
        </is>
      </c>
      <c r="J120" s="25" t="inlineStr">
        <is>
          <t>FAIBLE</t>
        </is>
      </c>
      <c r="K120" s="25" t="inlineStr">
        <is>
          <t>MOYEN</t>
        </is>
      </c>
      <c r="L120" s="25" t="inlineStr">
        <is>
          <t>MOYEN</t>
        </is>
      </c>
      <c r="M120" s="29" t="inlineStr">
        <is>
          <t>A_VALIDER</t>
        </is>
      </c>
      <c r="N120" s="30" t="inlineStr">
        <is>
          <t>PROPOSITION_V0.4</t>
        </is>
      </c>
      <c r="O120" s="9" t="n"/>
    </row>
    <row r="121" ht="48" customHeight="1" s="34">
      <c r="A121" s="25" t="inlineStr">
        <is>
          <t>PIP-ACT-C-C5-017</t>
        </is>
      </c>
      <c r="B121" s="25" t="inlineStr">
        <is>
          <t>C</t>
        </is>
      </c>
      <c r="C121" s="25" t="inlineStr">
        <is>
          <t>C5</t>
        </is>
      </c>
      <c r="D121" s="25" t="inlineStr">
        <is>
          <t>ACT</t>
        </is>
      </c>
      <c r="E121" s="25" t="inlineStr">
        <is>
          <t>E</t>
        </is>
      </c>
      <c r="F121" s="25" t="inlineStr">
        <is>
          <t>Suivre l’avancement d’un dossier jusqu’à sa clôture.</t>
        </is>
      </c>
      <c r="G121" s="26" t="inlineStr">
        <is>
          <t>FORTE</t>
        </is>
      </c>
      <c r="H121" s="27" t="inlineStr">
        <is>
          <t>Suivre un dossier depuis son ouverture jusqu’à sa clôture en vérifiant que chaque étape est réalisée.</t>
        </is>
      </c>
      <c r="I121" s="28" t="inlineStr">
        <is>
          <t>Ancrer l’item dans une expression typique de C/C5 sans ajouter la dimension concurrente E.</t>
        </is>
      </c>
      <c r="J121" s="25" t="inlineStr">
        <is>
          <t>FAIBLE</t>
        </is>
      </c>
      <c r="K121" s="25" t="inlineStr">
        <is>
          <t>MOYEN</t>
        </is>
      </c>
      <c r="L121" s="25" t="inlineStr">
        <is>
          <t>MOYEN</t>
        </is>
      </c>
      <c r="M121" s="29" t="inlineStr">
        <is>
          <t>A_VALIDER</t>
        </is>
      </c>
      <c r="N121" s="30" t="inlineStr">
        <is>
          <t>PROPOSITION_V0.4</t>
        </is>
      </c>
      <c r="O121" s="9" t="n"/>
    </row>
    <row r="122" ht="48" customHeight="1" s="34">
      <c r="A122" s="25" t="inlineStr">
        <is>
          <t>PIP-ACT-C-C5-018</t>
        </is>
      </c>
      <c r="B122" s="25" t="inlineStr">
        <is>
          <t>C</t>
        </is>
      </c>
      <c r="C122" s="25" t="inlineStr">
        <is>
          <t>C5</t>
        </is>
      </c>
      <c r="D122" s="25" t="inlineStr">
        <is>
          <t>ACT</t>
        </is>
      </c>
      <c r="E122" s="25" t="inlineStr">
        <is>
          <t>E</t>
        </is>
      </c>
      <c r="F122" s="25" t="inlineStr">
        <is>
          <t>Planifier et suivre des échéances pour que plusieurs opérations soient réalisées au bon moment.</t>
        </is>
      </c>
      <c r="G122" s="26" t="inlineStr">
        <is>
          <t>FORTE</t>
        </is>
      </c>
      <c r="H122" s="27" t="inlineStr">
        <is>
          <t>Planifier plusieurs échéances et vérifier régulièrement que les opérations prévues sont réalisées au bon moment.</t>
        </is>
      </c>
      <c r="I122" s="28" t="inlineStr">
        <is>
          <t>Ancrer l’item dans une expression typique de C/C5 sans ajouter la dimension concurrente E.</t>
        </is>
      </c>
      <c r="J122" s="25" t="inlineStr">
        <is>
          <t>MOYEN</t>
        </is>
      </c>
      <c r="K122" s="25" t="inlineStr">
        <is>
          <t>MOYEN</t>
        </is>
      </c>
      <c r="L122" s="25" t="inlineStr">
        <is>
          <t>FAIBLE</t>
        </is>
      </c>
      <c r="M122" s="29" t="inlineStr">
        <is>
          <t>A_VALIDER</t>
        </is>
      </c>
      <c r="N122" s="30" t="inlineStr">
        <is>
          <t>PROPOSITION_V0.4</t>
        </is>
      </c>
      <c r="O122" s="9" t="n"/>
    </row>
    <row r="123" ht="48" customHeight="1" s="34">
      <c r="A123" s="25" t="inlineStr">
        <is>
          <t>PIP-SIT-C-C5-019</t>
        </is>
      </c>
      <c r="B123" s="25" t="inlineStr">
        <is>
          <t>C</t>
        </is>
      </c>
      <c r="C123" s="25" t="inlineStr">
        <is>
          <t>C5</t>
        </is>
      </c>
      <c r="D123" s="25" t="inlineStr">
        <is>
          <t>SIT</t>
        </is>
      </c>
      <c r="E123" s="25" t="inlineStr">
        <is>
          <t>E</t>
        </is>
      </c>
      <c r="F123" s="25" t="inlineStr">
        <is>
          <t>Gérer plusieurs dossiers en parallèle en veillant à ce qu’aucune étape ou échéance ne soit oubliée.</t>
        </is>
      </c>
      <c r="G123" s="26" t="inlineStr">
        <is>
          <t>FORTE</t>
        </is>
      </c>
      <c r="H123" s="27" t="inlineStr">
        <is>
          <t>Gérer plusieurs dossiers en parallèle avec un suivi précis des étapes et des dates à respecter.</t>
        </is>
      </c>
      <c r="I123" s="28" t="inlineStr">
        <is>
          <t>Ancrer l’item dans une expression typique de C/C5 sans ajouter la dimension concurrente E.</t>
        </is>
      </c>
      <c r="J123" s="25" t="inlineStr">
        <is>
          <t>FAIBLE</t>
        </is>
      </c>
      <c r="K123" s="25" t="inlineStr">
        <is>
          <t>MOYEN</t>
        </is>
      </c>
      <c r="L123" s="25" t="inlineStr">
        <is>
          <t>MOYEN</t>
        </is>
      </c>
      <c r="M123" s="29" t="inlineStr">
        <is>
          <t>A_VALIDER</t>
        </is>
      </c>
      <c r="N123" s="30" t="inlineStr">
        <is>
          <t>PROPOSITION_V0.4</t>
        </is>
      </c>
      <c r="O123" s="9" t="n"/>
    </row>
    <row r="124" ht="48" customHeight="1" s="34">
      <c r="A124" s="25" t="inlineStr">
        <is>
          <t>PIP-ENV-C-C5-020</t>
        </is>
      </c>
      <c r="B124" s="25" t="inlineStr">
        <is>
          <t>C</t>
        </is>
      </c>
      <c r="C124" s="25" t="inlineStr">
        <is>
          <t>C5</t>
        </is>
      </c>
      <c r="D124" s="25" t="inlineStr">
        <is>
          <t>ENV</t>
        </is>
      </c>
      <c r="E124" s="25" t="inlineStr">
        <is>
          <t>E</t>
        </is>
      </c>
      <c r="F124" s="25" t="inlineStr">
        <is>
          <t>Travailler dans un contexte où l’on assure un suivi régulier de dossiers, de données ou d’opérations jusqu’à leur aboutissement.</t>
        </is>
      </c>
      <c r="G124" s="26" t="inlineStr">
        <is>
          <t>FORTE</t>
        </is>
      </c>
      <c r="H124" s="27" t="inlineStr">
        <is>
          <t>Travailler dans un contexte où l’on suit méthodiquement dossiers, données ou opérations jusqu’à leur aboutissement.</t>
        </is>
      </c>
      <c r="I124" s="28" t="inlineStr">
        <is>
          <t>Ancrer l’item dans une expression typique de C/C5 sans ajouter la dimension concurrente E.</t>
        </is>
      </c>
      <c r="J124" s="25" t="inlineStr">
        <is>
          <t>FAIBLE</t>
        </is>
      </c>
      <c r="K124" s="25" t="inlineStr">
        <is>
          <t>MOYEN</t>
        </is>
      </c>
      <c r="L124" s="25" t="inlineStr">
        <is>
          <t>MOYEN</t>
        </is>
      </c>
      <c r="M124" s="29" t="inlineStr">
        <is>
          <t>A_VALIDER</t>
        </is>
      </c>
      <c r="N124" s="30" t="inlineStr">
        <is>
          <t>PROPOSITION_V0.4</t>
        </is>
      </c>
      <c r="O124" s="9" t="n"/>
    </row>
  </sheetData>
  <autoFilter ref="A4:O124"/>
  <mergeCells count="2">
    <mergeCell ref="A1:O1"/>
    <mergeCell ref="A2:O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10" defaultColWidth="8.88671875" defaultRowHeight="14.4"/>
  <cols>
    <col width="12" customWidth="1" style="34" min="1" max="2"/>
    <col width="24" customWidth="1" style="34" min="3" max="3"/>
    <col width="52" customWidth="1" style="34" min="4" max="4"/>
    <col width="45" customWidth="1" style="34" min="5" max="5"/>
    <col width="62" customWidth="1" style="34" min="6" max="6"/>
    <col width="60" customWidth="1" style="34" min="7" max="7"/>
    <col width="26" customWidth="1" style="34" min="8" max="8"/>
    <col width="16" customWidth="1" style="34" min="9" max="9"/>
    <col width="46" customWidth="1" style="34" min="10" max="10"/>
  </cols>
  <sheetData>
    <row r="1" ht="19.8" customHeight="1" s="34">
      <c r="A1" s="38" t="inlineStr">
        <is>
          <t>RECETTE RÉELLE LIVRABLE 1 — ANOMALIES &amp; DÉCISIONS</t>
        </is>
      </c>
    </row>
    <row r="2">
      <c r="A2" s="39" t="inlineStr">
        <is>
          <t>Constats issus de la première passation réelle sur VPS le 10/09/2026. Cette feuille pilote les corrections sans modifier rétroactivement la méthodologie validée.</t>
        </is>
      </c>
    </row>
    <row r="4">
      <c r="A4" s="32" t="inlineStr">
        <is>
          <t>id</t>
        </is>
      </c>
      <c r="B4" s="32" t="inlineStr">
        <is>
          <t>priorite</t>
        </is>
      </c>
      <c r="C4" s="32" t="inlineStr">
        <is>
          <t>domaine</t>
        </is>
      </c>
      <c r="D4" s="32" t="inlineStr">
        <is>
          <t>constat</t>
        </is>
      </c>
      <c r="E4" s="32" t="inlineStr">
        <is>
          <t>risque_utilisateur</t>
        </is>
      </c>
      <c r="F4" s="32" t="inlineStr">
        <is>
          <t>correction_attendue</t>
        </is>
      </c>
      <c r="G4" s="32" t="inlineStr">
        <is>
          <t>critere_acceptation</t>
        </is>
      </c>
      <c r="H4" s="32" t="inlineStr">
        <is>
          <t>lot</t>
        </is>
      </c>
      <c r="I4" s="32" t="inlineStr">
        <is>
          <t>statut</t>
        </is>
      </c>
      <c r="J4" s="32" t="inlineStr">
        <is>
          <t>notes</t>
        </is>
      </c>
    </row>
    <row r="5" ht="72" customHeight="1" s="34">
      <c r="A5" s="9" t="inlineStr">
        <is>
          <t>REC-001</t>
        </is>
      </c>
      <c r="B5" s="29" t="inlineStr">
        <is>
          <t>HAUTE</t>
        </is>
      </c>
      <c r="C5" s="9" t="inlineStr">
        <is>
          <t>BRANDING</t>
        </is>
      </c>
      <c r="D5" s="9" t="inlineStr">
        <is>
          <t>Logo et identité Clarté360 absents de la passation publique.</t>
        </is>
      </c>
      <c r="E5" s="9" t="inlineStr">
        <is>
          <t>Application perçue comme Streamlit brut ; incohérence Framework.</t>
        </is>
      </c>
      <c r="F5" s="9" t="inlineStr">
        <is>
          <t>Réintégrer le branding Clarté360 et le logo sans gêner la passation mobile.</t>
        </is>
      </c>
      <c r="G5" s="9" t="inlineStr">
        <is>
          <t>Logo/identité visibles sur accueil, passation et fin ; aucune régression mobile.</t>
        </is>
      </c>
      <c r="H5" s="9" t="inlineStr">
        <is>
          <t>CORRECTIF L1</t>
        </is>
      </c>
      <c r="I5" s="30" t="inlineStr">
        <is>
          <t>A_FAIRE</t>
        </is>
      </c>
      <c r="J5" s="9" t="n"/>
    </row>
    <row r="6" ht="72" customHeight="1" s="34">
      <c r="A6" s="9" t="inlineStr">
        <is>
          <t>REC-002</t>
        </is>
      </c>
      <c r="B6" s="26" t="inlineStr">
        <is>
          <t>CRITIQUE</t>
        </is>
      </c>
      <c r="C6" s="9" t="inlineStr">
        <is>
          <t>PARCOURS ACCOMPAGNÉ</t>
        </is>
      </c>
      <c r="D6" s="9" t="inlineStr">
        <is>
          <t>Seul le mode PUBLIC est accessible ; aucune reconnaissance du bénéficiaire disposant d’un compte Clarté360.</t>
        </is>
      </c>
      <c r="E6" s="9" t="inlineStr">
        <is>
          <t>Le parcours accompagné validé n’est pas utilisable.</t>
        </is>
      </c>
      <c r="F6" s="9" t="inlineStr">
        <is>
          <t>Implémenter l’entrée ACCOMPAGNEMENT via identité permanente et future prescription Gestion des actions ; ne pas recréer une identité PIP.</t>
        </is>
      </c>
      <c r="G6" s="9" t="inlineStr">
        <is>
          <t>Un bénéficiaire autorisé arrive en mode ACCOMPAGNEMENT avec son contexte ; le public reste étanche.</t>
        </is>
      </c>
      <c r="H6" s="9" t="inlineStr">
        <is>
          <t>CORRECTIF L1 / CONNECTEUR</t>
        </is>
      </c>
      <c r="I6" s="30" t="inlineStr">
        <is>
          <t>A_FAIRE</t>
        </is>
      </c>
      <c r="J6" s="9" t="inlineStr">
        <is>
          <t>Préparer le connecteur sans contourner les droits Gestion des actions.</t>
        </is>
      </c>
    </row>
    <row r="7" ht="72" customHeight="1" s="34">
      <c r="A7" s="9" t="inlineStr">
        <is>
          <t>REC-003</t>
        </is>
      </c>
      <c r="B7" s="26" t="inlineStr">
        <is>
          <t>CRITIQUE</t>
        </is>
      </c>
      <c r="C7" s="9" t="inlineStr">
        <is>
          <t>SAUVEGARDE / REPRISE</t>
        </is>
      </c>
      <c r="D7" s="9" t="inlineStr">
        <is>
          <t>En mode public, aucune commande visible pour sauvegarder/quitter ou reprendre une passation ; pas de JSON téléchargeable/importable.</t>
        </is>
      </c>
      <c r="E7" s="9" t="inlineStr">
        <is>
          <t>Perte possible après dizaines de réponses ; passation 120 items trop longue pour imposer une seule session.</t>
        </is>
      </c>
      <c r="F7" s="9" t="inlineStr">
        <is>
          <t>Ajouter Sauvegarder et quitter + export JSON de reprise, et Reprendre une passation + import JSON. En accompagné, persistance serveur liée au bénéficiaire.</t>
        </is>
      </c>
      <c r="G7" s="9" t="inlineStr">
        <is>
          <t>À tout moment une passation publique peut être exportée puis reprise au même item avec toutes les réponses ; aucun score intermédiaire révélé.</t>
        </is>
      </c>
      <c r="H7" s="9" t="inlineStr">
        <is>
          <t>CORRECTIF L1</t>
        </is>
      </c>
      <c r="I7" s="30" t="inlineStr">
        <is>
          <t>A_FAIRE</t>
        </is>
      </c>
      <c r="J7" s="9" t="n"/>
    </row>
    <row r="8" ht="72" customHeight="1" s="34">
      <c r="A8" s="9" t="inlineStr">
        <is>
          <t>REC-004</t>
        </is>
      </c>
      <c r="B8" s="26" t="inlineStr">
        <is>
          <t>CRITIQUE</t>
        </is>
      </c>
      <c r="C8" s="9" t="inlineStr">
        <is>
          <t>FIN DE PARCOURS</t>
        </is>
      </c>
      <c r="D8" s="9" t="inlineStr">
        <is>
          <t>Après la question 120, écran d’impasse : scoring calculé mais aucune suite visible.</t>
        </is>
      </c>
      <c r="E8" s="9" t="inlineStr">
        <is>
          <t>Le bénéficiaire ne reçoit pas de résultat et ne peut pas terminer normalement.</t>
        </is>
      </c>
      <c r="F8" s="9" t="inlineStr">
        <is>
          <t>Enchaîner automatiquement selon le parcours : PIP seul → restitution PIP puis ressenti ; PIP+O*NET → O*NET avant toute restitution PIP.</t>
        </is>
      </c>
      <c r="G8" s="9" t="inlineStr">
        <is>
          <t>Aucune fin morte ; le parcours respecte strictement la règle anti-influence O*NET.</t>
        </is>
      </c>
      <c r="H8" s="9" t="inlineStr">
        <is>
          <t>CORRECTIF L1</t>
        </is>
      </c>
      <c r="I8" s="30" t="inlineStr">
        <is>
          <t>A_FAIRE</t>
        </is>
      </c>
      <c r="J8" s="9" t="n"/>
    </row>
    <row r="9" ht="72" customHeight="1" s="34">
      <c r="A9" s="9" t="inlineStr">
        <is>
          <t>REC-005</t>
        </is>
      </c>
      <c r="B9" s="26" t="inlineStr">
        <is>
          <t>CRITIQUE</t>
        </is>
      </c>
      <c r="C9" s="9" t="inlineStr">
        <is>
          <t>MÉTHODOLOGIE ITEMS</t>
        </is>
      </c>
      <c r="D9" s="9" t="inlineStr">
        <is>
          <t>De nombreux items sont trop abstraits/génériques ; l’utilisateur peut projeter des contextes très différents et se sentir attiré presque partout.</t>
        </is>
      </c>
      <c r="E9" s="9" t="inlineStr">
        <is>
          <t>Aplatissement des scores vers le haut ; baisse du pouvoir discriminant ; hybridité RIASEC.</t>
        </is>
      </c>
      <c r="F9" s="9" t="inlineStr">
        <is>
          <t>Auditer les 120 items et proposer un exemple concret contextualisant chaque item sans changer la formulation source ni le scoring.</t>
        </is>
      </c>
      <c r="G9" s="9" t="inlineStr">
        <is>
          <t>Chaque exemple ancre la dimension/facette cible, évite la dimension concurrente et reste neutre ; validation méthodologique avant affichage.</t>
        </is>
      </c>
      <c r="H9" s="9" t="inlineStr">
        <is>
          <t>REVUE BANQUE V0.4</t>
        </is>
      </c>
      <c r="I9" s="30" t="inlineStr">
        <is>
          <t>EN_COURS</t>
        </is>
      </c>
      <c r="J9" s="9" t="inlineStr">
        <is>
          <t>Exemple observé : A2 « agencer plusieurs éléments » peut être interprété intellectuellement ou manuellement.</t>
        </is>
      </c>
    </row>
    <row r="10" ht="72" customHeight="1" s="34">
      <c r="A10" s="9" t="inlineStr">
        <is>
          <t>REC-006</t>
        </is>
      </c>
      <c r="B10" s="29" t="inlineStr">
        <is>
          <t>HAUTE</t>
        </is>
      </c>
      <c r="C10" s="9" t="inlineStr">
        <is>
          <t>ERGONOMIE / FATIGUE</t>
        </is>
      </c>
      <c r="D10" s="9" t="inlineStr">
        <is>
          <t>120 items en séquence peuvent générer fatigue et abandon.</t>
        </is>
      </c>
      <c r="E10" s="9" t="inlineStr">
        <is>
          <t>Baisse de qualité de réponse en fin de passation.</t>
        </is>
      </c>
      <c r="F10" s="9" t="inlineStr">
        <is>
          <t>Conserver progression, transitions de blocs, possibilité de pause/sauvegarde et reprise sans perte.</t>
        </is>
      </c>
      <c r="G10" s="9" t="inlineStr">
        <is>
          <t>La personne peut interrompre sans perdre ses réponses ; transitions neutres entre blocs.</t>
        </is>
      </c>
      <c r="H10" s="9" t="inlineStr">
        <is>
          <t>CORRECTIF L1</t>
        </is>
      </c>
      <c r="I10" s="30" t="inlineStr">
        <is>
          <t>A_FAIRE</t>
        </is>
      </c>
      <c r="J10" s="9" t="n"/>
    </row>
  </sheetData>
  <autoFilter ref="A4:J10"/>
  <mergeCells count="2">
    <mergeCell ref="A1:J1"/>
    <mergeCell ref="A2:J2"/>
  </mergeCells>
  <pageMargins left="0.75" right="0.75" top="1" bottom="1" header="0.5" footer="0.5"/>
</worksheet>
</file>

<file path=xl/worksheets/sheet12.xml><?xml version="1.0" encoding="utf-8"?>
<worksheet xmlns="http://schemas.openxmlformats.org/spreadsheetml/2006/main">
  <sheetPr>
    <tabColor rgb="FF548235"/>
    <outlinePr summaryBelow="1" summaryRight="1"/>
    <pageSetUpPr fitToPage="1"/>
  </sheetPr>
  <dimension ref="A1:J10"/>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34" customWidth="1" style="34" min="1" max="1"/>
    <col width="23" customWidth="1" style="34" min="2" max="2"/>
    <col width="40" customWidth="1" style="34" min="3" max="3"/>
    <col width="13" customWidth="1" style="34" min="4" max="4"/>
    <col width="19" customWidth="1" style="34" min="5" max="5"/>
    <col width="15" customWidth="1" style="34" min="6" max="6"/>
    <col width="18" customWidth="1" style="34" min="7" max="7"/>
    <col width="11" customWidth="1" style="34" min="8" max="8"/>
    <col width="15" customWidth="1" style="34" min="9" max="9"/>
    <col width="40" customWidth="1" style="34" min="10" max="10"/>
  </cols>
  <sheetData>
    <row r="1" ht="25.95" customHeight="1" s="34">
      <c r="A1" s="35" t="inlineStr">
        <is>
          <t>RÈGLES DE CALCUL PIP</t>
        </is>
      </c>
    </row>
    <row r="2" ht="30" customHeight="1" s="34">
      <c r="A2" s="33" t="inlineStr">
        <is>
          <t>Scoring déterministe — aucune IA</t>
        </is>
      </c>
    </row>
    <row r="4" ht="30" customHeight="1" s="34">
      <c r="A4" s="1" t="inlineStr">
        <is>
          <t>calcul_id</t>
        </is>
      </c>
      <c r="B4" s="1" t="inlineStr">
        <is>
          <t>objet</t>
        </is>
      </c>
      <c r="C4" s="1" t="inlineStr">
        <is>
          <t>formule_metier</t>
        </is>
      </c>
      <c r="D4" s="1" t="inlineStr">
        <is>
          <t>parametre_1</t>
        </is>
      </c>
      <c r="E4" s="1" t="inlineStr">
        <is>
          <t>valeur_1</t>
        </is>
      </c>
      <c r="F4" s="1" t="inlineStr">
        <is>
          <t>parametre_2</t>
        </is>
      </c>
      <c r="G4" s="1" t="inlineStr">
        <is>
          <t>valeur_2</t>
        </is>
      </c>
      <c r="H4" s="1" t="inlineStr">
        <is>
          <t>statut</t>
        </is>
      </c>
      <c r="I4" s="1" t="inlineStr">
        <is>
          <t>version</t>
        </is>
      </c>
      <c r="J4" s="1" t="inlineStr">
        <is>
          <t>commentaire</t>
        </is>
      </c>
    </row>
    <row r="5" ht="28.8" customHeight="1" s="34">
      <c r="A5" s="9" t="inlineStr">
        <is>
          <t>SCORE_MOYEN</t>
        </is>
      </c>
      <c r="B5" s="9" t="inlineStr">
        <is>
          <t>Score moyen dimension</t>
        </is>
      </c>
      <c r="C5" s="9" t="inlineStr">
        <is>
          <t>Somme des réponses actives de la dimension / nombre d’items actifs</t>
        </is>
      </c>
      <c r="D5" s="9" t="inlineStr">
        <is>
          <t>min_reponse</t>
        </is>
      </c>
      <c r="E5" s="9" t="n">
        <v>1</v>
      </c>
      <c r="F5" s="9" t="inlineStr">
        <is>
          <t>max_reponse</t>
        </is>
      </c>
      <c r="G5" s="9" t="n">
        <v>5</v>
      </c>
      <c r="H5" s="9" t="inlineStr">
        <is>
          <t>ACTIF</t>
        </is>
      </c>
      <c r="I5" s="9" t="inlineStr">
        <is>
          <t>PIP-SCORE-1.0</t>
        </is>
      </c>
      <c r="J5" s="9" t="inlineStr">
        <is>
          <t>Poids égal par item.</t>
        </is>
      </c>
    </row>
    <row r="6" ht="28.8" customHeight="1" s="34">
      <c r="A6" s="9" t="inlineStr">
        <is>
          <t>INDICE_0_100</t>
        </is>
      </c>
      <c r="B6" s="9" t="inlineStr">
        <is>
          <t>Indice lisible</t>
        </is>
      </c>
      <c r="C6" s="9" t="inlineStr">
        <is>
          <t>25 × (Score_moyen − 1)</t>
        </is>
      </c>
      <c r="D6" s="9" t="inlineStr">
        <is>
          <t>min_indice</t>
        </is>
      </c>
      <c r="E6" s="9" t="n">
        <v>0</v>
      </c>
      <c r="F6" s="9" t="inlineStr">
        <is>
          <t>max_indice</t>
        </is>
      </c>
      <c r="G6" s="9" t="n">
        <v>100</v>
      </c>
      <c r="H6" s="9" t="inlineStr">
        <is>
          <t>ACTIF</t>
        </is>
      </c>
      <c r="I6" s="9" t="inlineStr">
        <is>
          <t>PIP-SCORE-1.0</t>
        </is>
      </c>
      <c r="J6" s="9" t="inlineStr">
        <is>
          <t>Transformation linéaire ; ni percentile ni probabilité.</t>
        </is>
      </c>
    </row>
    <row r="7">
      <c r="A7" s="9" t="inlineStr">
        <is>
          <t>CLASSEMENT</t>
        </is>
      </c>
      <c r="B7" s="9" t="inlineStr">
        <is>
          <t>Ordre RIASEC</t>
        </is>
      </c>
      <c r="C7" s="9" t="inlineStr">
        <is>
          <t>Trier les six indices du plus élevé au plus faible</t>
        </is>
      </c>
      <c r="D7" s="9" t="inlineStr">
        <is>
          <t>egalite</t>
        </is>
      </c>
      <c r="E7" s="9" t="inlineStr">
        <is>
          <t>ne pas départager</t>
        </is>
      </c>
      <c r="F7" s="9" t="inlineStr">
        <is>
          <t>quasi_egalite</t>
        </is>
      </c>
      <c r="G7" s="9" t="inlineStr">
        <is>
          <t>seuil à calibrer</t>
        </is>
      </c>
      <c r="H7" s="9" t="inlineStr">
        <is>
          <t>ACTIF</t>
        </is>
      </c>
      <c r="I7" s="9" t="inlineStr">
        <is>
          <t>PIP-SCORE-1.0</t>
        </is>
      </c>
      <c r="J7" s="9" t="inlineStr">
        <is>
          <t>Les six scores restent l’information principale.</t>
        </is>
      </c>
    </row>
    <row r="8" ht="28.8" customHeight="1" s="34">
      <c r="A8" s="9" t="inlineStr">
        <is>
          <t>CODE_3</t>
        </is>
      </c>
      <c r="B8" s="9" t="inlineStr">
        <is>
          <t>Code Holland</t>
        </is>
      </c>
      <c r="C8" s="9" t="inlineStr">
        <is>
          <t>Trois dimensions les plus élevées si ordre non artificiel</t>
        </is>
      </c>
      <c r="D8" s="9" t="inlineStr">
        <is>
          <t>longueur</t>
        </is>
      </c>
      <c r="E8" s="9" t="n">
        <v>3</v>
      </c>
      <c r="F8" s="9" t="inlineStr">
        <is>
          <t>egalites</t>
        </is>
      </c>
      <c r="G8" s="9" t="inlineStr">
        <is>
          <t>signalées</t>
        </is>
      </c>
      <c r="H8" s="9" t="inlineStr">
        <is>
          <t>ACTIF</t>
        </is>
      </c>
      <c r="I8" s="9" t="inlineStr">
        <is>
          <t>PIP-SCORE-1.0</t>
        </is>
      </c>
      <c r="J8" s="9" t="inlineStr">
        <is>
          <t>Code = raccourci, jamais étiquette identitaire.</t>
        </is>
      </c>
    </row>
    <row r="9">
      <c r="A9" s="9" t="inlineStr">
        <is>
          <t>DIFFERENCIATION</t>
        </is>
      </c>
      <c r="B9" s="9" t="inlineStr">
        <is>
          <t>Différenciation</t>
        </is>
      </c>
      <c r="C9" s="9" t="inlineStr">
        <is>
          <t>max(indice) − min(indice)</t>
        </is>
      </c>
      <c r="D9" s="9" t="inlineStr">
        <is>
          <t>categorie</t>
        </is>
      </c>
      <c r="E9" s="9" t="inlineStr">
        <is>
          <t>non activée</t>
        </is>
      </c>
      <c r="F9" s="9" t="inlineStr">
        <is>
          <t>seuil</t>
        </is>
      </c>
      <c r="G9" s="9" t="inlineStr">
        <is>
          <t>non calibré</t>
        </is>
      </c>
      <c r="H9" s="9" t="inlineStr">
        <is>
          <t>TECHNIQUE</t>
        </is>
      </c>
      <c r="I9" s="9" t="inlineStr">
        <is>
          <t>PIP-SCORE-1.0</t>
        </is>
      </c>
      <c r="J9" s="9" t="inlineStr">
        <is>
          <t>Pas de faible/moyenne/forte avant validation.</t>
        </is>
      </c>
    </row>
    <row r="10" ht="28.8" customHeight="1" s="34">
      <c r="A10" s="9" t="inlineStr">
        <is>
          <t>PROXIMITE_HEX</t>
        </is>
      </c>
      <c r="B10" s="9" t="inlineStr">
        <is>
          <t>Proximité hexagonale</t>
        </is>
      </c>
      <c r="C10" s="9" t="inlineStr">
        <is>
          <t>Distance structurelle entre 2 dimensions dominantes</t>
        </is>
      </c>
      <c r="D10" s="9" t="inlineStr">
        <is>
          <t>ordre</t>
        </is>
      </c>
      <c r="E10" s="9" t="inlineStr">
        <is>
          <t>R-I-A-S-E-C</t>
        </is>
      </c>
      <c r="F10" s="9" t="inlineStr">
        <is>
          <t>usage</t>
        </is>
      </c>
      <c r="G10" s="9" t="inlineStr">
        <is>
          <t>descriptif</t>
        </is>
      </c>
      <c r="H10" s="9" t="inlineStr">
        <is>
          <t>ACTIF</t>
        </is>
      </c>
      <c r="I10" s="9" t="inlineStr">
        <is>
          <t>PIP-SCORE-1.0</t>
        </is>
      </c>
      <c r="J10" s="9" t="inlineStr">
        <is>
          <t>Jamais un jugement de qualité du profil.</t>
        </is>
      </c>
    </row>
  </sheetData>
  <autoFilter ref="A4:J10"/>
  <mergeCells count="2">
    <mergeCell ref="A1:J1"/>
    <mergeCell ref="A2:J2"/>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3.xml><?xml version="1.0" encoding="utf-8"?>
<worksheet xmlns="http://schemas.openxmlformats.org/spreadsheetml/2006/main">
  <sheetPr>
    <tabColor rgb="FF548235"/>
    <outlinePr summaryBelow="1" summaryRight="1"/>
    <pageSetUpPr fitToPage="1"/>
  </sheetPr>
  <dimension ref="A1:J14"/>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50" customWidth="1" style="34" min="1" max="1"/>
    <col width="12" customWidth="1" style="34" min="2" max="3"/>
    <col width="29" customWidth="1" style="34" min="4" max="4"/>
    <col width="50" customWidth="1" style="34" min="5" max="8"/>
    <col width="13" customWidth="1" style="34" min="9" max="9"/>
    <col width="12" customWidth="1" style="34" min="10" max="10"/>
  </cols>
  <sheetData>
    <row r="1" ht="25.95" customHeight="1" s="34">
      <c r="A1" s="35" t="inlineStr">
        <is>
          <t>TEXTES DE RESTITUTION PIP</t>
        </is>
      </c>
    </row>
    <row r="2" ht="30" customHeight="1" s="34">
      <c r="A2" s="33" t="inlineStr">
        <is>
          <t>Textes métier versionnés. Aucun texte interprétatif substantiel ne doit être codé en dur dans l’application.</t>
        </is>
      </c>
    </row>
    <row r="4" ht="30" customHeight="1" s="34">
      <c r="A4" s="1" t="inlineStr">
        <is>
          <t>rapport_id</t>
        </is>
      </c>
      <c r="B4" s="1" t="inlineStr">
        <is>
          <t>type</t>
        </is>
      </c>
      <c r="C4" s="1" t="inlineStr">
        <is>
          <t>dimension</t>
        </is>
      </c>
      <c r="D4" s="1" t="inlineStr">
        <is>
          <t>titre</t>
        </is>
      </c>
      <c r="E4" s="1" t="inlineStr">
        <is>
          <t>texte_mesure</t>
        </is>
      </c>
      <c r="F4" s="1" t="inlineStr">
        <is>
          <t>texte_ne_mesure_pas</t>
        </is>
      </c>
      <c r="G4" s="1" t="inlineStr">
        <is>
          <t>expressions_possibles</t>
        </is>
      </c>
      <c r="H4" s="1" t="inlineStr">
        <is>
          <t>precaution_lecture</t>
        </is>
      </c>
      <c r="I4" s="1" t="inlineStr">
        <is>
          <t>version</t>
        </is>
      </c>
      <c r="J4" s="1" t="inlineStr">
        <is>
          <t>statut</t>
        </is>
      </c>
    </row>
    <row r="5" ht="72" customHeight="1" s="34">
      <c r="A5" s="9" t="inlineStr">
        <is>
          <t>DIM_R</t>
        </is>
      </c>
      <c r="B5" s="9" t="inlineStr">
        <is>
          <t>DIMENSION</t>
        </is>
      </c>
      <c r="C5" s="9" t="inlineStr">
        <is>
          <t>R</t>
        </is>
      </c>
      <c r="D5" s="9" t="inlineStr">
        <is>
          <t>Réaliste</t>
        </is>
      </c>
      <c r="E5" s="9" t="inlineStr">
        <is>
          <t>Attirance pour des activités où l’on agit concrètement sur le monde physique : construire, fabriquer, installer, réparer, utiliser des outils ou équipements, intervenir sur des matières, objets, systèmes, organismes ou environnements réels, et résoudre des problèmes pratiques par l’action.</t>
        </is>
      </c>
      <c r="F5" s="9" t="inlineStr">
        <is>
          <t>Ni dextérité, ni niveau technique, ni goût exclusif pour le travail manuel.</t>
        </is>
      </c>
      <c r="G5" s="9" t="inlineStr">
        <is>
          <t>construire, fabriquer, installer, réparer, utiliser des équipements, intervenir sur le terrain ou le vivant</t>
        </is>
      </c>
      <c r="H5" s="9" t="inlineStr">
        <is>
          <t>Un score élevé indique une attirance relative ; un score faible n’est ni incapacité ni défaut. Le résultat doit être lu avec les cinq autres dimensions et le contexte du bénéficiaire.</t>
        </is>
      </c>
      <c r="I5" s="9" t="inlineStr">
        <is>
          <t>PIP-RPT-1.0</t>
        </is>
      </c>
      <c r="J5" s="9" t="inlineStr">
        <is>
          <t>ACTIF</t>
        </is>
      </c>
    </row>
    <row r="6" ht="72" customHeight="1" s="34">
      <c r="A6" s="9" t="inlineStr">
        <is>
          <t>DIM_I</t>
        </is>
      </c>
      <c r="B6" s="9" t="inlineStr">
        <is>
          <t>DIMENSION</t>
        </is>
      </c>
      <c r="C6" s="9" t="inlineStr">
        <is>
          <t>I</t>
        </is>
      </c>
      <c r="D6" s="9" t="inlineStr">
        <is>
          <t>Investigateur</t>
        </is>
      </c>
      <c r="E6" s="9" t="inlineStr">
        <is>
          <t>Attirance pour des activités où l’on cherche à comprendre, examiner, expliquer ou résoudre des questions en mobilisant observation, analyse, raisonnement, recherche d’informations, expérimentation ou mise en relation d’idées et de faits.</t>
        </is>
      </c>
      <c r="F6" s="9" t="inlineStr">
        <is>
          <t>Ni intelligence, ni niveau scolaire, ni étiquette de scientifique.</t>
        </is>
      </c>
      <c r="G6" s="9" t="inlineStr">
        <is>
          <t>analyser, rechercher, enquêter, tester, comprendre un mécanisme ou résoudre un problème complexe</t>
        </is>
      </c>
      <c r="H6" s="9" t="inlineStr">
        <is>
          <t>Un score élevé indique une attirance relative ; un score faible n’est ni incapacité ni défaut. Le résultat doit être lu avec les cinq autres dimensions et le contexte du bénéficiaire.</t>
        </is>
      </c>
      <c r="I6" s="9" t="inlineStr">
        <is>
          <t>PIP-RPT-1.0</t>
        </is>
      </c>
      <c r="J6" s="9" t="inlineStr">
        <is>
          <t>ACTIF</t>
        </is>
      </c>
    </row>
    <row r="7" ht="57.6" customHeight="1" s="34">
      <c r="A7" s="9" t="inlineStr">
        <is>
          <t>DIM_A</t>
        </is>
      </c>
      <c r="B7" s="9" t="inlineStr">
        <is>
          <t>DIMENSION</t>
        </is>
      </c>
      <c r="C7" s="9" t="inlineStr">
        <is>
          <t>A</t>
        </is>
      </c>
      <c r="D7" s="9" t="inlineStr">
        <is>
          <t>Artistique</t>
        </is>
      </c>
      <c r="E7" s="9" t="inlineStr">
        <is>
          <t>Attirance pour des activités où l’on imagine, crée, compose, conçoit ou exprime quelque chose avec un espace d’originalité, d’interprétation, de sensibilité ou de choix personnel.</t>
        </is>
      </c>
      <c r="F7" s="9" t="inlineStr">
        <is>
          <t>Ni talent artistique, ni originalité personnelle mesurée, ni obligation de métier culturel.</t>
        </is>
      </c>
      <c r="G7" s="9" t="inlineStr">
        <is>
          <t>imaginer, écrire, concevoir, créer visuellement, raconter, designer ou explorer plusieurs solutions</t>
        </is>
      </c>
      <c r="H7" s="9" t="inlineStr">
        <is>
          <t>Un score élevé indique une attirance relative ; un score faible n’est ni incapacité ni défaut. Le résultat doit être lu avec les cinq autres dimensions et le contexte du bénéficiaire.</t>
        </is>
      </c>
      <c r="I7" s="9" t="inlineStr">
        <is>
          <t>PIP-RPT-1.0</t>
        </is>
      </c>
      <c r="J7" s="9" t="inlineStr">
        <is>
          <t>ACTIF</t>
        </is>
      </c>
    </row>
    <row r="8" ht="57.6" customHeight="1" s="34">
      <c r="A8" s="9" t="inlineStr">
        <is>
          <t>DIM_S</t>
        </is>
      </c>
      <c r="B8" s="9" t="inlineStr">
        <is>
          <t>DIMENSION</t>
        </is>
      </c>
      <c r="C8" s="9" t="inlineStr">
        <is>
          <t>S</t>
        </is>
      </c>
      <c r="D8" s="9" t="inlineStr">
        <is>
          <t>Social</t>
        </is>
      </c>
      <c r="E8" s="9" t="inlineStr">
        <is>
          <t>Attirance pour des activités où l’on aide, enseigne, conseille, accompagne, soigne, soutient ou rend un service directement utile à d’autres personnes.</t>
        </is>
      </c>
      <c r="F8" s="9" t="inlineStr">
        <is>
          <t>Ni empathie, ni sociabilité, ni bonté, ni obligation d’exercer un métier social.</t>
        </is>
      </c>
      <c r="G8" s="9" t="inlineStr">
        <is>
          <t>enseigner, accompagner, conseiller, soigner, assister ou rendre un service utile</t>
        </is>
      </c>
      <c r="H8" s="9" t="inlineStr">
        <is>
          <t>Un score élevé indique une attirance relative ; un score faible n’est ni incapacité ni défaut. Le résultat doit être lu avec les cinq autres dimensions et le contexte du bénéficiaire.</t>
        </is>
      </c>
      <c r="I8" s="9" t="inlineStr">
        <is>
          <t>PIP-RPT-1.0</t>
        </is>
      </c>
      <c r="J8" s="9" t="inlineStr">
        <is>
          <t>ACTIF</t>
        </is>
      </c>
    </row>
    <row r="9" ht="57.6" customHeight="1" s="34">
      <c r="A9" s="9" t="inlineStr">
        <is>
          <t>DIM_E</t>
        </is>
      </c>
      <c r="B9" s="9" t="inlineStr">
        <is>
          <t>DIMENSION</t>
        </is>
      </c>
      <c r="C9" s="9" t="inlineStr">
        <is>
          <t>E</t>
        </is>
      </c>
      <c r="D9" s="9" t="inlineStr">
        <is>
          <t>Entreprenant</t>
        </is>
      </c>
      <c r="E9" s="9" t="inlineStr">
        <is>
          <t>Attirance pour des activités où l’on initie, développe, dirige, négocie, convainc, représente ou mobilise des personnes et des ressources afin de faire avancer un projet ou obtenir un résultat.</t>
        </is>
      </c>
      <c r="F9" s="9" t="inlineStr">
        <is>
          <t>Ni ambition, ni domination, ni extraversion, ni réussite commerciale.</t>
        </is>
      </c>
      <c r="G9" s="9" t="inlineStr">
        <is>
          <t>initier, développer, convaincre, négocier, décider, manager, représenter ou mobiliser</t>
        </is>
      </c>
      <c r="H9" s="9" t="inlineStr">
        <is>
          <t>Un score élevé indique une attirance relative ; un score faible n’est ni incapacité ni défaut. Le résultat doit être lu avec les cinq autres dimensions et le contexte du bénéficiaire.</t>
        </is>
      </c>
      <c r="I9" s="9" t="inlineStr">
        <is>
          <t>PIP-RPT-1.0</t>
        </is>
      </c>
      <c r="J9" s="9" t="inlineStr">
        <is>
          <t>ACTIF</t>
        </is>
      </c>
    </row>
    <row r="10" ht="57.6" customHeight="1" s="34">
      <c r="A10" s="9" t="inlineStr">
        <is>
          <t>DIM_C</t>
        </is>
      </c>
      <c r="B10" s="9" t="inlineStr">
        <is>
          <t>DIMENSION</t>
        </is>
      </c>
      <c r="C10" s="9" t="inlineStr">
        <is>
          <t>C</t>
        </is>
      </c>
      <c r="D10" s="9" t="inlineStr">
        <is>
          <t>Conventionnel</t>
        </is>
      </c>
      <c r="E10" s="9" t="inlineStr">
        <is>
          <t>Attirance pour des activités où l’on organise, enregistre, classe, traite, vérifie ou suit des informations, données, dossiers, transactions ou ressources dans un cadre structuré.</t>
        </is>
      </c>
      <c r="F10" s="9" t="inlineStr">
        <is>
          <t>Ni rigidité, ni conscienciosité, ni routine, ni compétence administrative.</t>
        </is>
      </c>
      <c r="G10" s="9" t="inlineStr">
        <is>
          <t>organiser, enregistrer, vérifier, appliquer un cadre, suivre des données, dossiers, flux ou opérations</t>
        </is>
      </c>
      <c r="H10" s="9" t="inlineStr">
        <is>
          <t>Un score élevé indique une attirance relative ; un score faible n’est ni incapacité ni défaut. Le résultat doit être lu avec les cinq autres dimensions et le contexte du bénéficiaire.</t>
        </is>
      </c>
      <c r="I10" s="9" t="inlineStr">
        <is>
          <t>PIP-RPT-1.0</t>
        </is>
      </c>
      <c r="J10" s="9" t="inlineStr">
        <is>
          <t>ACTIF</t>
        </is>
      </c>
    </row>
    <row r="11" ht="28.8" customHeight="1" s="34">
      <c r="A11" s="9" t="inlineStr">
        <is>
          <t>INTRO</t>
        </is>
      </c>
      <c r="B11" s="9" t="inlineStr">
        <is>
          <t>INTRO</t>
        </is>
      </c>
      <c r="C11" s="9" t="n"/>
      <c r="D11" s="9" t="inlineStr">
        <is>
          <t>Comment lire ce rapport</t>
        </is>
      </c>
      <c r="E11" s="9" t="inlineStr">
        <is>
          <t>Le PIP décrit des intérêts professionnels déclarés.</t>
        </is>
      </c>
      <c r="F11" s="9" t="inlineStr">
        <is>
          <t>Il ne mesure ni compétences, ni aptitudes, ni personnalité, ni valeur morale.</t>
        </is>
      </c>
      <c r="G11" s="9" t="n"/>
      <c r="H11" s="9" t="inlineStr">
        <is>
          <t>Les six dimensions sont présentées ensemble ; aucune dimension n’est bonne ou mauvaise.</t>
        </is>
      </c>
      <c r="I11" s="9" t="inlineStr">
        <is>
          <t>PIP-RPT-1.0</t>
        </is>
      </c>
      <c r="J11" s="9" t="inlineStr">
        <is>
          <t>ACTIF</t>
        </is>
      </c>
    </row>
    <row r="12" ht="28.8" customHeight="1" s="34">
      <c r="A12" s="9" t="inlineStr">
        <is>
          <t>CODE3</t>
        </is>
      </c>
      <c r="B12" s="9" t="inlineStr">
        <is>
          <t>INDICATEUR</t>
        </is>
      </c>
      <c r="C12" s="9" t="n"/>
      <c r="D12" s="9" t="inlineStr">
        <is>
          <t>Votre combinaison dominante</t>
        </is>
      </c>
      <c r="E12" s="9" t="inlineStr">
        <is>
          <t>Le code à trois lettres résume les trois intérêts les plus élevés.</t>
        </is>
      </c>
      <c r="F12" s="9" t="inlineStr">
        <is>
          <t>Il ne constitue ni diagnostic, ni étiquette identitaire, ni choix automatique de métier.</t>
        </is>
      </c>
      <c r="G12" s="9" t="n"/>
      <c r="H12" s="9" t="inlineStr">
        <is>
          <t>Les égalités et scores proches sont explicitement signalés.</t>
        </is>
      </c>
      <c r="I12" s="9" t="inlineStr">
        <is>
          <t>PIP-RPT-1.0</t>
        </is>
      </c>
      <c r="J12" s="9" t="inlineStr">
        <is>
          <t>ACTIF</t>
        </is>
      </c>
    </row>
    <row r="13" ht="28.8" customHeight="1" s="34">
      <c r="A13" s="9" t="inlineStr">
        <is>
          <t>HEX</t>
        </is>
      </c>
      <c r="B13" s="9" t="inlineStr">
        <is>
          <t>INDICATEUR</t>
        </is>
      </c>
      <c r="C13" s="9" t="n"/>
      <c r="D13" s="9" t="inlineStr">
        <is>
          <t>Proximité dans l’hexagone</t>
        </is>
      </c>
      <c r="E13" s="9" t="inlineStr">
        <is>
          <t>La proximité indique une similarité structurelle des domaines selon le modèle RIASEC.</t>
        </is>
      </c>
      <c r="F13" s="9" t="inlineStr">
        <is>
          <t>Elle ne mesure pas la qualité ou la cohérence personnelle d’un individu.</t>
        </is>
      </c>
      <c r="G13" s="9" t="n"/>
      <c r="H13" s="9" t="inlineStr">
        <is>
          <t>Deux intérêts éloignés peuvent parfaitement coexister.</t>
        </is>
      </c>
      <c r="I13" s="9" t="inlineStr">
        <is>
          <t>PIP-RPT-1.0</t>
        </is>
      </c>
      <c r="J13" s="9" t="inlineStr">
        <is>
          <t>ACTIF</t>
        </is>
      </c>
    </row>
    <row r="14" ht="43.2" customHeight="1" s="34">
      <c r="A14" s="9" t="inlineStr">
        <is>
          <t>EQUITE</t>
        </is>
      </c>
      <c r="B14" s="9" t="inlineStr">
        <is>
          <t>PRINCIPE</t>
        </is>
      </c>
      <c r="C14" s="9" t="n"/>
      <c r="D14" s="9" t="inlineStr">
        <is>
          <t>Lecture équitable</t>
        </is>
      </c>
      <c r="E14" s="9" t="inlineStr">
        <is>
          <t>Un résultat inattendu au regard du parcours, du genre, de l’âge, du niveau d’études ou de l’origine n’est pas une anomalie.</t>
        </is>
      </c>
      <c r="F14" s="9" t="inlineStr">
        <is>
          <t>Le rapport ne déduit aucune caractéristique sociale ou personnelle d’un score RIASEC.</t>
        </is>
      </c>
      <c r="G14" s="9" t="n"/>
      <c r="H14" s="9" t="inlineStr">
        <is>
          <t>Interpréter les intérêts déclarés, pas ce que le parcours social “devrait” produire.</t>
        </is>
      </c>
      <c r="I14" s="9" t="inlineStr">
        <is>
          <t>PIP-RPT-1.0</t>
        </is>
      </c>
      <c r="J14" s="9" t="inlineStr">
        <is>
          <t>ACTIF</t>
        </is>
      </c>
    </row>
  </sheetData>
  <autoFilter ref="A4:J14"/>
  <mergeCells count="2">
    <mergeCell ref="A1:J1"/>
    <mergeCell ref="A2:J2"/>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4.xml><?xml version="1.0" encoding="utf-8"?>
<worksheet xmlns="http://schemas.openxmlformats.org/spreadsheetml/2006/main">
  <sheetPr>
    <tabColor rgb="FF548235"/>
    <outlinePr summaryBelow="1" summaryRight="1"/>
    <pageSetUpPr fitToPage="1"/>
  </sheetPr>
  <dimension ref="A1:N11"/>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45" customWidth="1" style="34" min="1" max="1"/>
    <col width="27" customWidth="1" style="34" min="2" max="2"/>
    <col width="45" customWidth="1" style="34" min="3" max="3"/>
    <col width="14" customWidth="1" style="34" min="4" max="4"/>
    <col width="13" customWidth="1" style="34" min="5" max="5"/>
    <col width="10" customWidth="1" style="34" min="6" max="6"/>
    <col width="12" customWidth="1" style="34" min="7" max="7"/>
    <col width="10" customWidth="1" style="34" min="8" max="8"/>
    <col width="16" customWidth="1" style="34" min="9" max="9"/>
    <col width="10" customWidth="1" style="34" min="10" max="10"/>
    <col width="12" customWidth="1" style="34" min="11" max="11"/>
    <col width="10" customWidth="1" style="34" min="12" max="12"/>
    <col width="13" customWidth="1" style="34" min="13" max="13"/>
    <col width="10" customWidth="1" style="34" min="14" max="14"/>
  </cols>
  <sheetData>
    <row r="1" ht="25.95" customHeight="1" s="34">
      <c r="A1" s="35" t="inlineStr">
        <is>
          <t>QUESTIONNAIRE FERMÉ DE RESSENTI</t>
        </is>
      </c>
    </row>
    <row r="2" ht="30" customHeight="1" s="34">
      <c r="A2" s="33" t="inlineStr">
        <is>
          <t>Séparé du scoring. PIP + O*NET : après O*NET et avant comparaison détaillée.</t>
        </is>
      </c>
    </row>
    <row r="4" ht="30" customHeight="1" s="34">
      <c r="A4" s="1" t="inlineStr">
        <is>
          <t>ressenti_id</t>
        </is>
      </c>
      <c r="B4" s="1" t="inlineStr">
        <is>
          <t>axe</t>
        </is>
      </c>
      <c r="C4" s="1" t="inlineStr">
        <is>
          <t>libelle</t>
        </is>
      </c>
      <c r="D4" s="1" t="inlineStr">
        <is>
          <t>type_reponse</t>
        </is>
      </c>
      <c r="E4" s="1" t="inlineStr">
        <is>
          <t>option_1</t>
        </is>
      </c>
      <c r="F4" s="1" t="inlineStr">
        <is>
          <t>code_1</t>
        </is>
      </c>
      <c r="G4" s="1" t="inlineStr">
        <is>
          <t>option_2</t>
        </is>
      </c>
      <c r="H4" s="1" t="inlineStr">
        <is>
          <t>code_2</t>
        </is>
      </c>
      <c r="I4" s="1" t="inlineStr">
        <is>
          <t>option_3</t>
        </is>
      </c>
      <c r="J4" s="1" t="inlineStr">
        <is>
          <t>code_3</t>
        </is>
      </c>
      <c r="K4" s="1" t="inlineStr">
        <is>
          <t>option_4</t>
        </is>
      </c>
      <c r="L4" s="1" t="inlineStr">
        <is>
          <t>code_4</t>
        </is>
      </c>
      <c r="M4" s="1" t="inlineStr">
        <is>
          <t>option_5</t>
        </is>
      </c>
      <c r="N4" s="1" t="inlineStr">
        <is>
          <t>code_5</t>
        </is>
      </c>
    </row>
    <row r="5" ht="28.8" customHeight="1" s="34">
      <c r="A5" s="9" t="inlineStr">
        <is>
          <t>RES_GLOB</t>
        </is>
      </c>
      <c r="B5" s="9" t="inlineStr">
        <is>
          <t>Reconnaissance globale</t>
        </is>
      </c>
      <c r="C5" s="9" t="inlineStr">
        <is>
          <t>Dans quelle mesure le profil présenté vous ressemble-t-il ?</t>
        </is>
      </c>
      <c r="D5" s="9" t="inlineStr">
        <is>
          <t>ECHELLE_1_5</t>
        </is>
      </c>
      <c r="E5" s="9" t="inlineStr">
        <is>
          <t>Pas du tout</t>
        </is>
      </c>
      <c r="F5" s="9" t="n">
        <v>1</v>
      </c>
      <c r="G5" s="9" t="inlineStr">
        <is>
          <t>Plutôt pas</t>
        </is>
      </c>
      <c r="H5" s="9" t="n">
        <v>2</v>
      </c>
      <c r="I5" s="9" t="inlineStr">
        <is>
          <t>Moyennement</t>
        </is>
      </c>
      <c r="J5" s="9" t="n">
        <v>3</v>
      </c>
      <c r="K5" s="9" t="inlineStr">
        <is>
          <t>Plutôt oui</t>
        </is>
      </c>
      <c r="L5" s="9" t="n">
        <v>4</v>
      </c>
      <c r="M5" s="9" t="inlineStr">
        <is>
          <t>Tout à fait</t>
        </is>
      </c>
      <c r="N5" s="9" t="n">
        <v>5</v>
      </c>
    </row>
    <row r="6" ht="28.8" customHeight="1" s="34">
      <c r="A6" s="9" t="inlineStr">
        <is>
          <t>RES_DOM</t>
        </is>
      </c>
      <c r="B6" s="9" t="inlineStr">
        <is>
          <t>Dominantes</t>
        </is>
      </c>
      <c r="C6" s="9" t="inlineStr">
        <is>
          <t>Les dimensions qui ressortent le plus correspondent-elles à ce qui vous attire professionnellement ?</t>
        </is>
      </c>
      <c r="D6" s="9" t="inlineStr">
        <is>
          <t>ECHELLE_1_5</t>
        </is>
      </c>
      <c r="E6" s="9" t="inlineStr">
        <is>
          <t>Pas du tout</t>
        </is>
      </c>
      <c r="F6" s="9" t="n">
        <v>1</v>
      </c>
      <c r="G6" s="9" t="inlineStr">
        <is>
          <t>Plutôt pas</t>
        </is>
      </c>
      <c r="H6" s="9" t="n">
        <v>2</v>
      </c>
      <c r="I6" s="9" t="inlineStr">
        <is>
          <t>Moyennement</t>
        </is>
      </c>
      <c r="J6" s="9" t="n">
        <v>3</v>
      </c>
      <c r="K6" s="9" t="inlineStr">
        <is>
          <t>Plutôt oui</t>
        </is>
      </c>
      <c r="L6" s="9" t="n">
        <v>4</v>
      </c>
      <c r="M6" s="9" t="inlineStr">
        <is>
          <t>Tout à fait</t>
        </is>
      </c>
      <c r="N6" s="9" t="n">
        <v>5</v>
      </c>
    </row>
    <row r="7" ht="43.2" customHeight="1" s="34">
      <c r="A7" s="9" t="inlineStr">
        <is>
          <t>RES_NUANCE</t>
        </is>
      </c>
      <c r="B7" s="9" t="inlineStr">
        <is>
          <t>Nuances</t>
        </is>
      </c>
      <c r="C7" s="9" t="inlineStr">
        <is>
          <t>Le rapport rend-il suffisamment compte des différentes façons dont vos intérêts peuvent s’exprimer ?</t>
        </is>
      </c>
      <c r="D7" s="9" t="inlineStr">
        <is>
          <t>ECHELLE_1_5</t>
        </is>
      </c>
      <c r="E7" s="9" t="inlineStr">
        <is>
          <t>Pas du tout</t>
        </is>
      </c>
      <c r="F7" s="9" t="n">
        <v>1</v>
      </c>
      <c r="G7" s="9" t="inlineStr">
        <is>
          <t>Peu</t>
        </is>
      </c>
      <c r="H7" s="9" t="n">
        <v>2</v>
      </c>
      <c r="I7" s="9" t="inlineStr">
        <is>
          <t>Moyennement</t>
        </is>
      </c>
      <c r="J7" s="9" t="n">
        <v>3</v>
      </c>
      <c r="K7" s="9" t="inlineStr">
        <is>
          <t>Bien</t>
        </is>
      </c>
      <c r="L7" s="9" t="n">
        <v>4</v>
      </c>
      <c r="M7" s="9" t="inlineStr">
        <is>
          <t>Tout à fait</t>
        </is>
      </c>
      <c r="N7" s="9" t="n">
        <v>5</v>
      </c>
    </row>
    <row r="8" ht="28.8" customHeight="1" s="34">
      <c r="A8" s="9" t="inlineStr">
        <is>
          <t>RES_SUR</t>
        </is>
      </c>
      <c r="B8" s="9" t="inlineStr">
        <is>
          <t>Surévaluation ressentie</t>
        </is>
      </c>
      <c r="C8" s="9" t="inlineStr">
        <is>
          <t>Une dimension vous paraît-elle trop élevée par rapport à votre ressenti ?</t>
        </is>
      </c>
      <c r="D8" s="9" t="inlineStr">
        <is>
          <t>CHOIX_3</t>
        </is>
      </c>
      <c r="E8" s="9" t="inlineStr">
        <is>
          <t>Non</t>
        </is>
      </c>
      <c r="F8" s="9" t="n">
        <v>1</v>
      </c>
      <c r="G8" s="9" t="inlineStr">
        <is>
          <t>Oui, une</t>
        </is>
      </c>
      <c r="H8" s="9" t="n">
        <v>2</v>
      </c>
      <c r="I8" s="9" t="inlineStr">
        <is>
          <t>Oui, plusieurs</t>
        </is>
      </c>
      <c r="J8" s="9" t="n">
        <v>3</v>
      </c>
      <c r="K8" s="9" t="n"/>
      <c r="L8" s="9" t="n"/>
      <c r="M8" s="9" t="n"/>
      <c r="N8" s="9" t="n"/>
    </row>
    <row r="9" ht="28.8" customHeight="1" s="34">
      <c r="A9" s="9" t="inlineStr">
        <is>
          <t>RES_SOUS</t>
        </is>
      </c>
      <c r="B9" s="9" t="inlineStr">
        <is>
          <t>Sous-évaluation ressentie</t>
        </is>
      </c>
      <c r="C9" s="9" t="inlineStr">
        <is>
          <t>Une dimension vous paraît-elle trop faible par rapport à votre ressenti ?</t>
        </is>
      </c>
      <c r="D9" s="9" t="inlineStr">
        <is>
          <t>CHOIX_3</t>
        </is>
      </c>
      <c r="E9" s="9" t="inlineStr">
        <is>
          <t>Non</t>
        </is>
      </c>
      <c r="F9" s="9" t="n">
        <v>1</v>
      </c>
      <c r="G9" s="9" t="inlineStr">
        <is>
          <t>Oui, une</t>
        </is>
      </c>
      <c r="H9" s="9" t="n">
        <v>2</v>
      </c>
      <c r="I9" s="9" t="inlineStr">
        <is>
          <t>Oui, plusieurs</t>
        </is>
      </c>
      <c r="J9" s="9" t="n">
        <v>3</v>
      </c>
      <c r="K9" s="9" t="n"/>
      <c r="L9" s="9" t="n"/>
      <c r="M9" s="9" t="n"/>
      <c r="N9" s="9" t="n"/>
    </row>
    <row r="10" ht="28.8" customHeight="1" s="34">
      <c r="A10" s="9" t="inlineStr">
        <is>
          <t>RES_UTIL</t>
        </is>
      </c>
      <c r="B10" s="9" t="inlineStr">
        <is>
          <t>Utilité</t>
        </is>
      </c>
      <c r="C10" s="9" t="inlineStr">
        <is>
          <t>Ce résultat vous aide-t-il à mieux comprendre ce qui vous attire dans le travail ?</t>
        </is>
      </c>
      <c r="D10" s="9" t="inlineStr">
        <is>
          <t>ECHELLE_1_5</t>
        </is>
      </c>
      <c r="E10" s="9" t="inlineStr">
        <is>
          <t>Pas du tout</t>
        </is>
      </c>
      <c r="F10" s="9" t="n">
        <v>1</v>
      </c>
      <c r="G10" s="9" t="inlineStr">
        <is>
          <t>Peu</t>
        </is>
      </c>
      <c r="H10" s="9" t="n">
        <v>2</v>
      </c>
      <c r="I10" s="9" t="inlineStr">
        <is>
          <t>Moyennement</t>
        </is>
      </c>
      <c r="J10" s="9" t="n">
        <v>3</v>
      </c>
      <c r="K10" s="9" t="inlineStr">
        <is>
          <t>Oui</t>
        </is>
      </c>
      <c r="L10" s="9" t="n">
        <v>4</v>
      </c>
      <c r="M10" s="9" t="inlineStr">
        <is>
          <t>Beaucoup</t>
        </is>
      </c>
      <c r="N10" s="9" t="n">
        <v>5</v>
      </c>
    </row>
    <row r="11" ht="28.8" customHeight="1" s="34">
      <c r="A11" s="9" t="inlineStr">
        <is>
          <t>RES_DIALOG</t>
        </is>
      </c>
      <c r="B11" s="9" t="inlineStr">
        <is>
          <t>Dialogue</t>
        </is>
      </c>
      <c r="C11" s="9" t="inlineStr">
        <is>
          <t>Souhaitez-vous approfondir certains éléments avec votre accompagnateur ?</t>
        </is>
      </c>
      <c r="D11" s="9" t="inlineStr">
        <is>
          <t>OUI_NON</t>
        </is>
      </c>
      <c r="E11" s="9" t="inlineStr">
        <is>
          <t>Non</t>
        </is>
      </c>
      <c r="F11" s="9" t="n">
        <v>1</v>
      </c>
      <c r="G11" s="9" t="inlineStr">
        <is>
          <t>Oui</t>
        </is>
      </c>
      <c r="H11" s="9" t="n">
        <v>2</v>
      </c>
      <c r="I11" s="9" t="n"/>
      <c r="J11" s="9" t="n"/>
      <c r="K11" s="9" t="n"/>
      <c r="L11" s="9" t="n"/>
      <c r="M11" s="9" t="n"/>
      <c r="N11" s="9" t="n"/>
    </row>
  </sheetData>
  <autoFilter ref="A4:N11"/>
  <mergeCells count="2">
    <mergeCell ref="A2:N2"/>
    <mergeCell ref="A1:N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5.xml><?xml version="1.0" encoding="utf-8"?>
<worksheet xmlns="http://schemas.openxmlformats.org/spreadsheetml/2006/main">
  <sheetPr>
    <tabColor rgb="FF17365D"/>
    <outlinePr summaryBelow="1" summaryRight="1"/>
    <pageSetUpPr fitToPage="1"/>
  </sheetPr>
  <dimension ref="A1:H30"/>
  <sheetViews>
    <sheetView showGridLines="0" zoomScale="85" workbookViewId="0">
      <pane ySplit="3" topLeftCell="A4" activePane="bottomLeft" state="frozen"/>
      <selection pane="bottomLeft" activeCell="A1" sqref="A1"/>
    </sheetView>
  </sheetViews>
  <sheetFormatPr baseColWidth="10" defaultColWidth="8.88671875" defaultRowHeight="14.4"/>
  <cols>
    <col width="55" customWidth="1" style="34" min="1" max="1"/>
    <col width="35" customWidth="1" style="34" min="2" max="2"/>
    <col width="55" customWidth="1" style="34" min="3" max="3"/>
    <col width="12" customWidth="1" style="34" min="4" max="5"/>
    <col width="33" customWidth="1" style="34" min="6" max="6"/>
    <col width="12" customWidth="1" style="34" min="7" max="7"/>
    <col width="55" customWidth="1" style="34" min="8" max="8"/>
  </cols>
  <sheetData>
    <row r="1" ht="25.95" customHeight="1" s="34">
      <c r="A1" s="35" t="inlineStr">
        <is>
          <t>PARAMÈTRES &amp; CONTRÔLES DE PUBLICATION</t>
        </is>
      </c>
    </row>
    <row r="2" ht="30" customHeight="1" s="34">
      <c r="A2" s="33" t="inlineStr">
        <is>
          <t>Les contrôles critiques doivent être OK avant génération de l’export applicatif.</t>
        </is>
      </c>
    </row>
    <row r="4" ht="30" customHeight="1" s="34">
      <c r="A4" s="10" t="inlineStr">
        <is>
          <t>parametre</t>
        </is>
      </c>
      <c r="B4" s="10" t="inlineStr">
        <is>
          <t>valeur</t>
        </is>
      </c>
      <c r="C4" s="10" t="inlineStr">
        <is>
          <t>type</t>
        </is>
      </c>
      <c r="D4" s="10" t="inlineStr">
        <is>
          <t>modifiable</t>
        </is>
      </c>
      <c r="E4" s="10" t="inlineStr">
        <is>
          <t>version</t>
        </is>
      </c>
      <c r="F4" s="10" t="inlineStr">
        <is>
          <t>source</t>
        </is>
      </c>
      <c r="G4" s="10" t="inlineStr">
        <is>
          <t>controle</t>
        </is>
      </c>
      <c r="H4" s="10" t="inlineStr">
        <is>
          <t>commentaire</t>
        </is>
      </c>
    </row>
    <row r="5">
      <c r="A5" s="9" t="inlineStr">
        <is>
          <t>referentiel_version</t>
        </is>
      </c>
      <c r="B5" s="9" t="inlineStr">
        <is>
          <t>1.0</t>
        </is>
      </c>
      <c r="C5" s="9" t="inlineStr">
        <is>
          <t>texte</t>
        </is>
      </c>
      <c r="D5" s="9" t="inlineStr">
        <is>
          <t>NON</t>
        </is>
      </c>
      <c r="E5" s="9" t="inlineStr">
        <is>
          <t>0.1</t>
        </is>
      </c>
      <c r="F5" s="9" t="inlineStr">
        <is>
          <t>Référentiel méthodologique V1.0</t>
        </is>
      </c>
      <c r="G5" s="9" t="n"/>
      <c r="H5" s="9" t="n"/>
    </row>
    <row r="6">
      <c r="A6" s="9" t="inlineStr">
        <is>
          <t>bank_version</t>
        </is>
      </c>
      <c r="B6" s="9" t="inlineStr">
        <is>
          <t>PIP-BANK-0.4</t>
        </is>
      </c>
      <c r="C6" s="9" t="inlineStr">
        <is>
          <t>texte</t>
        </is>
      </c>
      <c r="D6" s="9" t="inlineStr">
        <is>
          <t>OUI</t>
        </is>
      </c>
      <c r="E6" s="9" t="inlineStr">
        <is>
          <t>0.4</t>
        </is>
      </c>
      <c r="F6" s="9" t="inlineStr">
        <is>
          <t>Tableur maître</t>
        </is>
      </c>
      <c r="G6" s="9" t="n"/>
      <c r="H6" s="9" t="n"/>
    </row>
    <row r="7">
      <c r="A7" s="9" t="inlineStr">
        <is>
          <t>scoring_version</t>
        </is>
      </c>
      <c r="B7" s="9" t="inlineStr">
        <is>
          <t>PIP-SCORE-1.0</t>
        </is>
      </c>
      <c r="C7" s="9" t="inlineStr">
        <is>
          <t>texte</t>
        </is>
      </c>
      <c r="D7" s="9" t="inlineStr">
        <is>
          <t>NON</t>
        </is>
      </c>
      <c r="E7" s="9" t="inlineStr">
        <is>
          <t>0.1</t>
        </is>
      </c>
      <c r="F7" s="9" t="inlineStr">
        <is>
          <t>Référentiel V1.0</t>
        </is>
      </c>
      <c r="G7" s="9" t="n"/>
      <c r="H7" s="9" t="n"/>
    </row>
    <row r="8">
      <c r="A8" s="9" t="inlineStr">
        <is>
          <t>rapport_version</t>
        </is>
      </c>
      <c r="B8" s="9" t="inlineStr">
        <is>
          <t>PIP-RPT-1.0</t>
        </is>
      </c>
      <c r="C8" s="9" t="inlineStr">
        <is>
          <t>texte</t>
        </is>
      </c>
      <c r="D8" s="9" t="inlineStr">
        <is>
          <t>OUI</t>
        </is>
      </c>
      <c r="E8" s="9" t="inlineStr">
        <is>
          <t>0.1</t>
        </is>
      </c>
      <c r="F8" s="9" t="inlineStr">
        <is>
          <t>Tableur maître</t>
        </is>
      </c>
      <c r="G8" s="9" t="n"/>
      <c r="H8" s="9" t="n"/>
    </row>
    <row r="9">
      <c r="A9" s="9" t="inlineStr">
        <is>
          <t>ressenti_version</t>
        </is>
      </c>
      <c r="B9" s="9" t="inlineStr">
        <is>
          <t>PIP-RES-1.0</t>
        </is>
      </c>
      <c r="C9" s="9" t="inlineStr">
        <is>
          <t>texte</t>
        </is>
      </c>
      <c r="D9" s="9" t="inlineStr">
        <is>
          <t>OUI</t>
        </is>
      </c>
      <c r="E9" s="9" t="inlineStr">
        <is>
          <t>0.1</t>
        </is>
      </c>
      <c r="F9" s="9" t="inlineStr">
        <is>
          <t>Tableur maître</t>
        </is>
      </c>
      <c r="G9" s="9" t="n"/>
      <c r="H9" s="9" t="n"/>
    </row>
    <row r="10">
      <c r="A10" s="9" t="inlineStr">
        <is>
          <t>nb_items_experimental</t>
        </is>
      </c>
      <c r="B10" s="9" t="n">
        <v>120</v>
      </c>
      <c r="C10" s="9" t="inlineStr">
        <is>
          <t>entier</t>
        </is>
      </c>
      <c r="D10" s="9" t="inlineStr">
        <is>
          <t>NON</t>
        </is>
      </c>
      <c r="E10" s="9" t="inlineStr">
        <is>
          <t>0.1</t>
        </is>
      </c>
      <c r="F10" s="9" t="inlineStr">
        <is>
          <t>Référentiel V1.0</t>
        </is>
      </c>
      <c r="G10" s="9" t="n"/>
      <c r="H10" s="9" t="n"/>
    </row>
    <row r="11">
      <c r="A11" s="9" t="inlineStr">
        <is>
          <t>nb_items_cible_min</t>
        </is>
      </c>
      <c r="B11" s="9" t="n">
        <v>60</v>
      </c>
      <c r="C11" s="9" t="inlineStr">
        <is>
          <t>entier</t>
        </is>
      </c>
      <c r="D11" s="9" t="inlineStr">
        <is>
          <t>OUI</t>
        </is>
      </c>
      <c r="E11" s="9" t="inlineStr">
        <is>
          <t>0.1</t>
        </is>
      </c>
      <c r="F11" s="9" t="inlineStr">
        <is>
          <t>Référentiel V1.0</t>
        </is>
      </c>
      <c r="G11" s="9" t="n"/>
      <c r="H11" s="9" t="n"/>
    </row>
    <row r="12">
      <c r="A12" s="9" t="inlineStr">
        <is>
          <t>nb_items_cible_max</t>
        </is>
      </c>
      <c r="B12" s="9" t="n">
        <v>72</v>
      </c>
      <c r="C12" s="9" t="inlineStr">
        <is>
          <t>entier</t>
        </is>
      </c>
      <c r="D12" s="9" t="inlineStr">
        <is>
          <t>OUI</t>
        </is>
      </c>
      <c r="E12" s="9" t="inlineStr">
        <is>
          <t>0.1</t>
        </is>
      </c>
      <c r="F12" s="9" t="inlineStr">
        <is>
          <t>Référentiel V1.0</t>
        </is>
      </c>
      <c r="G12" s="9" t="n"/>
      <c r="H12" s="9" t="n"/>
    </row>
    <row r="13">
      <c r="A13" s="9" t="inlineStr">
        <is>
          <t>nb_dimensions</t>
        </is>
      </c>
      <c r="B13" s="9" t="n">
        <v>6</v>
      </c>
      <c r="C13" s="9" t="inlineStr">
        <is>
          <t>entier</t>
        </is>
      </c>
      <c r="D13" s="9" t="inlineStr">
        <is>
          <t>NON</t>
        </is>
      </c>
      <c r="E13" s="9" t="inlineStr">
        <is>
          <t>0.1</t>
        </is>
      </c>
      <c r="F13" s="9" t="inlineStr">
        <is>
          <t>Référentiel V1.0</t>
        </is>
      </c>
      <c r="G13" s="9" t="n"/>
      <c r="H13" s="9" t="n"/>
    </row>
    <row r="14">
      <c r="A14" s="9" t="inlineStr">
        <is>
          <t>nb_facettes</t>
        </is>
      </c>
      <c r="B14" s="9" t="n">
        <v>30</v>
      </c>
      <c r="C14" s="9" t="inlineStr">
        <is>
          <t>entier</t>
        </is>
      </c>
      <c r="D14" s="9" t="inlineStr">
        <is>
          <t>NON</t>
        </is>
      </c>
      <c r="E14" s="9" t="inlineStr">
        <is>
          <t>0.1</t>
        </is>
      </c>
      <c r="F14" s="9" t="inlineStr">
        <is>
          <t>Référentiel V1.0</t>
        </is>
      </c>
      <c r="G14" s="9" t="n"/>
      <c r="H14" s="9" t="n"/>
    </row>
    <row r="15">
      <c r="A15" s="9" t="inlineStr">
        <is>
          <t>reponse_min</t>
        </is>
      </c>
      <c r="B15" s="9" t="n">
        <v>1</v>
      </c>
      <c r="C15" s="9" t="inlineStr">
        <is>
          <t>entier</t>
        </is>
      </c>
      <c r="D15" s="9" t="inlineStr">
        <is>
          <t>NON</t>
        </is>
      </c>
      <c r="E15" s="9" t="inlineStr">
        <is>
          <t>0.1</t>
        </is>
      </c>
      <c r="F15" s="9" t="inlineStr">
        <is>
          <t>Référentiel V1.0</t>
        </is>
      </c>
      <c r="G15" s="9" t="n"/>
      <c r="H15" s="9" t="n"/>
    </row>
    <row r="16">
      <c r="A16" s="9" t="inlineStr">
        <is>
          <t>reponse_max</t>
        </is>
      </c>
      <c r="B16" s="9" t="n">
        <v>5</v>
      </c>
      <c r="C16" s="9" t="inlineStr">
        <is>
          <t>entier</t>
        </is>
      </c>
      <c r="D16" s="9" t="inlineStr">
        <is>
          <t>NON</t>
        </is>
      </c>
      <c r="E16" s="9" t="inlineStr">
        <is>
          <t>0.1</t>
        </is>
      </c>
      <c r="F16" s="9" t="inlineStr">
        <is>
          <t>Référentiel V1.0</t>
        </is>
      </c>
      <c r="G16" s="9" t="n"/>
      <c r="H16" s="9" t="n"/>
    </row>
    <row r="17">
      <c r="A17" s="9" t="inlineStr">
        <is>
          <t>feedback_intermediaire</t>
        </is>
      </c>
      <c r="B17" s="9" t="inlineStr">
        <is>
          <t>NON</t>
        </is>
      </c>
      <c r="C17" s="9" t="inlineStr">
        <is>
          <t>booleen</t>
        </is>
      </c>
      <c r="D17" s="9" t="inlineStr">
        <is>
          <t>NON</t>
        </is>
      </c>
      <c r="E17" s="9" t="inlineStr">
        <is>
          <t>0.1</t>
        </is>
      </c>
      <c r="F17" s="9" t="inlineStr">
        <is>
          <t>CDC</t>
        </is>
      </c>
      <c r="G17" s="9" t="n"/>
      <c r="H17" s="9" t="n"/>
    </row>
    <row r="18">
      <c r="A18" s="9" t="inlineStr">
        <is>
          <t>ia_dans_mesure</t>
        </is>
      </c>
      <c r="B18" s="9" t="inlineStr">
        <is>
          <t>NON</t>
        </is>
      </c>
      <c r="C18" s="9" t="inlineStr">
        <is>
          <t>booleen</t>
        </is>
      </c>
      <c r="D18" s="9" t="inlineStr">
        <is>
          <t>NON</t>
        </is>
      </c>
      <c r="E18" s="9" t="inlineStr">
        <is>
          <t>0.1</t>
        </is>
      </c>
      <c r="F18" s="9" t="inlineStr">
        <is>
          <t>CDC</t>
        </is>
      </c>
      <c r="G18" s="9" t="n"/>
      <c r="H18" s="9" t="n"/>
    </row>
    <row r="19">
      <c r="A19" s="9" t="inlineStr">
        <is>
          <t>onet_seul_autorise</t>
        </is>
      </c>
      <c r="B19" s="9" t="inlineStr">
        <is>
          <t>NON</t>
        </is>
      </c>
      <c r="C19" s="9" t="inlineStr">
        <is>
          <t>booleen</t>
        </is>
      </c>
      <c r="D19" s="9" t="inlineStr">
        <is>
          <t>NON</t>
        </is>
      </c>
      <c r="E19" s="9" t="inlineStr">
        <is>
          <t>0.1</t>
        </is>
      </c>
      <c r="F19" s="9" t="inlineStr">
        <is>
          <t>Décision projet</t>
        </is>
      </c>
      <c r="G19" s="9" t="n"/>
      <c r="H19" s="9" t="inlineStr">
        <is>
          <t>O*NET uniquement après PIP.</t>
        </is>
      </c>
    </row>
    <row r="20">
      <c r="A20" s="9" t="inlineStr">
        <is>
          <t>onet_integration_cible</t>
        </is>
      </c>
      <c r="B20" s="9" t="inlineStr">
        <is>
          <t>API_WEB_SERVICES</t>
        </is>
      </c>
      <c r="C20" s="9" t="inlineStr">
        <is>
          <t>texte</t>
        </is>
      </c>
      <c r="D20" s="9" t="inlineStr">
        <is>
          <t>OUI</t>
        </is>
      </c>
      <c r="E20" s="9" t="inlineStr">
        <is>
          <t>0.1</t>
        </is>
      </c>
      <c r="F20" s="9" t="inlineStr">
        <is>
          <t>Décision projet</t>
        </is>
      </c>
      <c r="G20" s="9" t="n"/>
      <c r="H20" s="9" t="inlineStr">
        <is>
          <t>La clé API reste sur le VPS, jamais dans le classeur.</t>
        </is>
      </c>
    </row>
    <row r="23">
      <c r="A23" s="40" t="inlineStr">
        <is>
          <t>CONTRÔLES AUTOMATIQUES</t>
        </is>
      </c>
    </row>
    <row r="24">
      <c r="A24" s="9" t="inlineStr">
        <is>
          <t>CTRL_001</t>
        </is>
      </c>
      <c r="B24" s="9" t="inlineStr">
        <is>
          <t>Nombre de lignes banque = 120</t>
        </is>
      </c>
      <c r="C24" s="8">
        <f>IF(COUNTA(QUESTIONS!$A$5:$A$124)=120,"OK","ERREUR")</f>
        <v/>
      </c>
      <c r="D24" s="11" t="inlineStr">
        <is>
          <t>CRITIQUE</t>
        </is>
      </c>
    </row>
    <row r="25">
      <c r="A25" s="9" t="inlineStr">
        <is>
          <t>CTRL_002</t>
        </is>
      </c>
      <c r="B25" s="9" t="inlineStr">
        <is>
          <t>IDs uniques</t>
        </is>
      </c>
      <c r="C25" s="8">
        <f>IF(COUNTA(QUESTIONS!$A$5:$A$124)=SUMPRODUCT(1/COUNTIF(QUESTIONS!$A$5:$A$124,QUESTIONS!$A$5:$A$124)),"OK","ERREUR")</f>
        <v/>
      </c>
      <c r="D25" s="11" t="inlineStr">
        <is>
          <t>CRITIQUE</t>
        </is>
      </c>
    </row>
    <row r="26">
      <c r="A26" s="9" t="inlineStr">
        <is>
          <t>CTRL_003</t>
        </is>
      </c>
      <c r="B26" s="9" t="inlineStr">
        <is>
          <t>6 dimensions présentes</t>
        </is>
      </c>
      <c r="C26" s="8">
        <f>IF(COUNTA(DIMENSIONS!$B$5:$B$34)&gt;0,"OK","ERREUR")</f>
        <v/>
      </c>
      <c r="D26" s="11" t="inlineStr">
        <is>
          <t>CRITIQUE</t>
        </is>
      </c>
    </row>
    <row r="27">
      <c r="A27" s="9" t="inlineStr">
        <is>
          <t>CTRL_004</t>
        </is>
      </c>
      <c r="B27" s="9" t="inlineStr">
        <is>
          <t>30 facettes présentes</t>
        </is>
      </c>
      <c r="C27" s="8">
        <f>IF(COUNTA(DIMENSIONS!$A$5:$A$34)=30,"OK","ERREUR")</f>
        <v/>
      </c>
      <c r="D27" s="11" t="inlineStr">
        <is>
          <t>CRITIQUE</t>
        </is>
      </c>
    </row>
    <row r="28">
      <c r="A28" s="9" t="inlineStr">
        <is>
          <t>CTRL_005</t>
        </is>
      </c>
      <c r="B28" s="9" t="inlineStr">
        <is>
          <t>20 candidats par dimension</t>
        </is>
      </c>
      <c r="C28" s="8">
        <f>IF(AND(COUNTIF(QUESTIONS!$H$5:$H$124,"R")=20,COUNTIF(QUESTIONS!$H$5:$H$124,"I")=20,COUNTIF(QUESTIONS!$H$5:$H$124,"A")=20,COUNTIF(QUESTIONS!$H$5:$H$124,"S")=20,COUNTIF(QUESTIONS!$H$5:$H$124,"E")=20,COUNTIF(QUESTIONS!$H$5:$H$124,"C")=20),"OK","ERREUR")</f>
        <v/>
      </c>
      <c r="D28" s="11" t="inlineStr">
        <is>
          <t>CRITIQUE</t>
        </is>
      </c>
    </row>
    <row r="29">
      <c r="A29" s="9" t="inlineStr">
        <is>
          <t>CTRL_006</t>
        </is>
      </c>
      <c r="B29" s="9" t="inlineStr">
        <is>
          <t>Aucun item PILOTE/ACTIF incomplet</t>
        </is>
      </c>
      <c r="C29" s="8">
        <f>IF(COUNTIF(QUESTIONS!$AP$5:$AP$124,"A_COMPLETER")=0,"OK","ERREUR")</f>
        <v/>
      </c>
      <c r="D29" s="11" t="inlineStr">
        <is>
          <t>CRITIQUE</t>
        </is>
      </c>
    </row>
    <row r="30">
      <c r="A30" s="9" t="inlineStr">
        <is>
          <t>CTRL_007</t>
        </is>
      </c>
      <c r="B30" s="9" t="inlineStr">
        <is>
          <t>Aucun O*NET seul</t>
        </is>
      </c>
      <c r="C30" s="8">
        <f>IF(B19="NON","OK","ERREUR")</f>
        <v/>
      </c>
      <c r="D30" s="11" t="inlineStr">
        <is>
          <t>CRITIQUE</t>
        </is>
      </c>
    </row>
  </sheetData>
  <mergeCells count="3">
    <mergeCell ref="A23:H23"/>
    <mergeCell ref="A2:H2"/>
    <mergeCell ref="A1:H1"/>
  </mergeCells>
  <conditionalFormatting sqref="C24:C30">
    <cfRule type="expression" priority="1" dxfId="0">
      <formula>C24="ERREUR"</formula>
    </cfRule>
  </conditionalFormatting>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6.xml><?xml version="1.0" encoding="utf-8"?>
<worksheet xmlns="http://schemas.openxmlformats.org/spreadsheetml/2006/main">
  <sheetPr>
    <tabColor rgb="FF548235"/>
    <outlinePr summaryBelow="1" summaryRight="1"/>
    <pageSetUpPr fitToPage="1"/>
  </sheetPr>
  <dimension ref="A1:R124"/>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26" customWidth="1" style="34" min="1" max="1"/>
    <col width="17" customWidth="1" style="34" min="2" max="4"/>
    <col width="18" customWidth="1" style="34" min="5" max="5"/>
    <col width="10" customWidth="1" style="34" min="6" max="6"/>
    <col width="12" customWidth="1" style="34" min="7" max="7"/>
    <col width="16" customWidth="1" style="34" min="8" max="9"/>
    <col width="21" customWidth="1" style="34" min="10" max="10"/>
    <col width="26" customWidth="1" style="34" min="11" max="11"/>
    <col width="23" customWidth="1" style="34" min="12" max="12"/>
    <col width="22" customWidth="1" style="34" min="13" max="13"/>
    <col width="14" customWidth="1" style="34" min="14" max="14"/>
    <col width="10" customWidth="1" style="34" min="15" max="15"/>
    <col width="15" customWidth="1" style="34" min="16" max="16"/>
    <col width="12" customWidth="1" style="34" min="17" max="17"/>
    <col width="13" customWidth="1" style="34" min="18" max="18"/>
  </cols>
  <sheetData>
    <row r="1" ht="25.95" customHeight="1" s="34">
      <c r="A1" s="35" t="inlineStr">
        <is>
          <t>VALIDATION PROGRESSIVE — SUIVI PAR ITEM</t>
        </is>
      </c>
    </row>
    <row r="2" ht="30" customHeight="1" s="34">
      <c r="A2" s="33" t="inlineStr">
        <is>
          <t>Feuille destinée à recevoir les statistiques pilote sans écraser l’historique.</t>
        </is>
      </c>
    </row>
    <row r="4" ht="30" customHeight="1" s="34">
      <c r="A4" s="12" t="inlineStr">
        <is>
          <t>item_id</t>
        </is>
      </c>
      <c r="B4" s="12" t="inlineStr">
        <is>
          <t>item_version</t>
        </is>
      </c>
      <c r="C4" s="12" t="inlineStr">
        <is>
          <t>dimension</t>
        </is>
      </c>
      <c r="D4" s="12" t="inlineStr">
        <is>
          <t>facette</t>
        </is>
      </c>
      <c r="E4" s="12" t="inlineStr">
        <is>
          <t>n_passations</t>
        </is>
      </c>
      <c r="F4" s="12" t="inlineStr">
        <is>
          <t>moyenne</t>
        </is>
      </c>
      <c r="G4" s="12" t="inlineStr">
        <is>
          <t>ecart_type</t>
        </is>
      </c>
      <c r="H4" s="12" t="inlineStr">
        <is>
          <t>taux_reponse_1</t>
        </is>
      </c>
      <c r="I4" s="12" t="inlineStr">
        <is>
          <t>taux_reponse_5</t>
        </is>
      </c>
      <c r="J4" s="12" t="inlineStr">
        <is>
          <t>corr_item_dimension</t>
        </is>
      </c>
      <c r="K4" s="12" t="inlineStr">
        <is>
          <t>corr_plus_forte_autre_dimension</t>
        </is>
      </c>
      <c r="L4" s="12" t="inlineStr">
        <is>
          <t>dimension_concurrente</t>
        </is>
      </c>
      <c r="M4" s="12" t="inlineStr">
        <is>
          <t>alerte_comprehension</t>
        </is>
      </c>
      <c r="N4" s="12" t="inlineStr">
        <is>
          <t>alerte_biais</t>
        </is>
      </c>
      <c r="O4" s="12" t="inlineStr">
        <is>
          <t>decision</t>
        </is>
      </c>
      <c r="P4" s="12" t="inlineStr">
        <is>
          <t>date_decision</t>
        </is>
      </c>
      <c r="Q4" s="12" t="inlineStr">
        <is>
          <t>validateur</t>
        </is>
      </c>
      <c r="R4" s="12" t="inlineStr">
        <is>
          <t>commentaire</t>
        </is>
      </c>
    </row>
    <row r="5" ht="100.8" customHeight="1" s="34">
      <c r="A5" s="13">
        <f>QUESTIONS!A5</f>
        <v/>
      </c>
      <c r="B5" s="13">
        <f>QUESTIONS!B5</f>
        <v/>
      </c>
      <c r="C5" s="13">
        <f>QUESTIONS!H5</f>
        <v/>
      </c>
      <c r="D5" s="13">
        <f>QUESTIONS!I5</f>
        <v/>
      </c>
      <c r="E5" s="13">
        <f>QUESTIONS!AJ5</f>
        <v/>
      </c>
      <c r="F5" s="6" t="n"/>
      <c r="G5" s="6" t="n"/>
      <c r="H5" s="6" t="n"/>
      <c r="I5" s="6" t="n"/>
      <c r="J5" s="6" t="n"/>
      <c r="K5" s="6" t="n"/>
      <c r="L5" s="6" t="inlineStr">
        <is>
          <t>A</t>
        </is>
      </c>
      <c r="M5" s="6" t="inlineStr">
        <is>
          <t>RAS_PRE_PILOTE</t>
        </is>
      </c>
      <c r="N5" s="6" t="inlineStr">
        <is>
          <t>A_SURVEILLER</t>
        </is>
      </c>
      <c r="O5" s="6" t="inlineStr">
        <is>
          <t>ADMETTRE_PILOTE</t>
        </is>
      </c>
      <c r="P5" s="6" t="inlineStr">
        <is>
          <t>08/09/2026</t>
        </is>
      </c>
      <c r="Q5" s="6" t="inlineStr">
        <is>
          <t>Clarté360 — revue méthodologique</t>
        </is>
      </c>
      <c r="R5" s="6" t="inlineStr">
        <is>
          <t>Qualification théorique avant pilote ; décision empirique à confirmer après collecte.</t>
        </is>
      </c>
    </row>
    <row r="6" ht="100.8" customHeight="1" s="34">
      <c r="A6" s="13">
        <f>QUESTIONS!A6</f>
        <v/>
      </c>
      <c r="B6" s="13">
        <f>QUESTIONS!B6</f>
        <v/>
      </c>
      <c r="C6" s="13">
        <f>QUESTIONS!H6</f>
        <v/>
      </c>
      <c r="D6" s="13">
        <f>QUESTIONS!I6</f>
        <v/>
      </c>
      <c r="E6" s="13">
        <f>QUESTIONS!AJ6</f>
        <v/>
      </c>
      <c r="F6" s="6" t="n"/>
      <c r="G6" s="6" t="n"/>
      <c r="H6" s="6" t="n"/>
      <c r="I6" s="6" t="n"/>
      <c r="J6" s="6" t="n"/>
      <c r="K6" s="6" t="n"/>
      <c r="L6" s="6" t="inlineStr">
        <is>
          <t>A</t>
        </is>
      </c>
      <c r="M6" s="6" t="inlineStr">
        <is>
          <t>RAS_PRE_PILOTE</t>
        </is>
      </c>
      <c r="N6" s="6" t="inlineStr">
        <is>
          <t>A_SURVEILLER</t>
        </is>
      </c>
      <c r="O6" s="6" t="inlineStr">
        <is>
          <t>ADMETTRE_PILOTE</t>
        </is>
      </c>
      <c r="P6" s="6" t="inlineStr">
        <is>
          <t>08/09/2026</t>
        </is>
      </c>
      <c r="Q6" s="6" t="inlineStr">
        <is>
          <t>Clarté360 — revue méthodologique</t>
        </is>
      </c>
      <c r="R6" s="6" t="inlineStr">
        <is>
          <t>Qualification théorique avant pilote ; décision empirique à confirmer après collecte.</t>
        </is>
      </c>
    </row>
    <row r="7" ht="100.8" customHeight="1" s="34">
      <c r="A7" s="13">
        <f>QUESTIONS!A7</f>
        <v/>
      </c>
      <c r="B7" s="13">
        <f>QUESTIONS!B7</f>
        <v/>
      </c>
      <c r="C7" s="13">
        <f>QUESTIONS!H7</f>
        <v/>
      </c>
      <c r="D7" s="13">
        <f>QUESTIONS!I7</f>
        <v/>
      </c>
      <c r="E7" s="13">
        <f>QUESTIONS!AJ7</f>
        <v/>
      </c>
      <c r="F7" s="6" t="n"/>
      <c r="G7" s="6" t="n"/>
      <c r="H7" s="6" t="n"/>
      <c r="I7" s="6" t="n"/>
      <c r="J7" s="6" t="n"/>
      <c r="K7" s="6" t="n"/>
      <c r="L7" s="6" t="inlineStr">
        <is>
          <t>A</t>
        </is>
      </c>
      <c r="M7" s="6" t="inlineStr">
        <is>
          <t>RAS_PRE_PILOTE</t>
        </is>
      </c>
      <c r="N7" s="6" t="inlineStr">
        <is>
          <t>A_SURVEILLER</t>
        </is>
      </c>
      <c r="O7" s="6" t="inlineStr">
        <is>
          <t>ADMETTRE_PILOTE</t>
        </is>
      </c>
      <c r="P7" s="6" t="inlineStr">
        <is>
          <t>08/09/2026</t>
        </is>
      </c>
      <c r="Q7" s="6" t="inlineStr">
        <is>
          <t>Clarté360 — revue méthodologique</t>
        </is>
      </c>
      <c r="R7" s="6" t="inlineStr">
        <is>
          <t>Qualification théorique avant pilote ; décision empirique à confirmer après collecte.</t>
        </is>
      </c>
    </row>
    <row r="8" ht="100.8" customHeight="1" s="34">
      <c r="A8" s="13">
        <f>QUESTIONS!A8</f>
        <v/>
      </c>
      <c r="B8" s="13">
        <f>QUESTIONS!B8</f>
        <v/>
      </c>
      <c r="C8" s="13">
        <f>QUESTIONS!H8</f>
        <v/>
      </c>
      <c r="D8" s="13">
        <f>QUESTIONS!I8</f>
        <v/>
      </c>
      <c r="E8" s="13">
        <f>QUESTIONS!AJ8</f>
        <v/>
      </c>
      <c r="F8" s="6" t="n"/>
      <c r="G8" s="6" t="n"/>
      <c r="H8" s="6" t="n"/>
      <c r="I8" s="6" t="n"/>
      <c r="J8" s="6" t="n"/>
      <c r="K8" s="6" t="n"/>
      <c r="L8" s="6" t="inlineStr">
        <is>
          <t>A</t>
        </is>
      </c>
      <c r="M8" s="6" t="inlineStr">
        <is>
          <t>RAS_PRE_PILOTE</t>
        </is>
      </c>
      <c r="N8" s="6" t="inlineStr">
        <is>
          <t>A_SURVEILLER</t>
        </is>
      </c>
      <c r="O8" s="6" t="inlineStr">
        <is>
          <t>ADMETTRE_PILOTE</t>
        </is>
      </c>
      <c r="P8" s="6" t="inlineStr">
        <is>
          <t>08/09/2026</t>
        </is>
      </c>
      <c r="Q8" s="6" t="inlineStr">
        <is>
          <t>Clarté360 — revue méthodologique</t>
        </is>
      </c>
      <c r="R8" s="6" t="inlineStr">
        <is>
          <t>Qualification théorique avant pilote ; décision empirique à confirmer après collecte.</t>
        </is>
      </c>
    </row>
    <row r="9" ht="100.8" customHeight="1" s="34">
      <c r="A9" s="13">
        <f>QUESTIONS!A9</f>
        <v/>
      </c>
      <c r="B9" s="13">
        <f>QUESTIONS!B9</f>
        <v/>
      </c>
      <c r="C9" s="13">
        <f>QUESTIONS!H9</f>
        <v/>
      </c>
      <c r="D9" s="13">
        <f>QUESTIONS!I9</f>
        <v/>
      </c>
      <c r="E9" s="13">
        <f>QUESTIONS!AJ9</f>
        <v/>
      </c>
      <c r="F9" s="6" t="n"/>
      <c r="G9" s="6" t="n"/>
      <c r="H9" s="6" t="n"/>
      <c r="I9" s="6" t="n"/>
      <c r="J9" s="6" t="n"/>
      <c r="K9" s="6" t="n"/>
      <c r="L9" s="6" t="inlineStr">
        <is>
          <t>I</t>
        </is>
      </c>
      <c r="M9" s="6" t="inlineStr">
        <is>
          <t>RAS_PRE_PILOTE</t>
        </is>
      </c>
      <c r="N9" s="6" t="inlineStr">
        <is>
          <t>A_SURVEILLER</t>
        </is>
      </c>
      <c r="O9" s="6" t="inlineStr">
        <is>
          <t>ADMETTRE_PILOTE</t>
        </is>
      </c>
      <c r="P9" s="6" t="inlineStr">
        <is>
          <t>08/09/2026</t>
        </is>
      </c>
      <c r="Q9" s="6" t="inlineStr">
        <is>
          <t>Clarté360 — revue méthodologique</t>
        </is>
      </c>
      <c r="R9" s="6" t="inlineStr">
        <is>
          <t>Qualification théorique avant pilote ; décision empirique à confirmer après collecte.</t>
        </is>
      </c>
    </row>
    <row r="10" ht="100.8" customHeight="1" s="34">
      <c r="A10" s="13">
        <f>QUESTIONS!A10</f>
        <v/>
      </c>
      <c r="B10" s="13">
        <f>QUESTIONS!B10</f>
        <v/>
      </c>
      <c r="C10" s="13">
        <f>QUESTIONS!H10</f>
        <v/>
      </c>
      <c r="D10" s="13">
        <f>QUESTIONS!I10</f>
        <v/>
      </c>
      <c r="E10" s="13">
        <f>QUESTIONS!AJ10</f>
        <v/>
      </c>
      <c r="F10" s="6" t="n"/>
      <c r="G10" s="6" t="n"/>
      <c r="H10" s="6" t="n"/>
      <c r="I10" s="6" t="n"/>
      <c r="J10" s="6" t="n"/>
      <c r="K10" s="6" t="n"/>
      <c r="L10" s="6" t="inlineStr">
        <is>
          <t>I</t>
        </is>
      </c>
      <c r="M10" s="6" t="inlineStr">
        <is>
          <t>RAS_PRE_PILOTE</t>
        </is>
      </c>
      <c r="N10" s="6" t="inlineStr">
        <is>
          <t>A_SURVEILLER</t>
        </is>
      </c>
      <c r="O10" s="6" t="inlineStr">
        <is>
          <t>ADMETTRE_PILOTE</t>
        </is>
      </c>
      <c r="P10" s="6" t="inlineStr">
        <is>
          <t>08/09/2026</t>
        </is>
      </c>
      <c r="Q10" s="6" t="inlineStr">
        <is>
          <t>Clarté360 — revue méthodologique</t>
        </is>
      </c>
      <c r="R10" s="6" t="inlineStr">
        <is>
          <t>Qualification théorique avant pilote ; décision empirique à confirmer après collecte.</t>
        </is>
      </c>
    </row>
    <row r="11" ht="100.8" customHeight="1" s="34">
      <c r="A11" s="13">
        <f>QUESTIONS!A11</f>
        <v/>
      </c>
      <c r="B11" s="13">
        <f>QUESTIONS!B11</f>
        <v/>
      </c>
      <c r="C11" s="13">
        <f>QUESTIONS!H11</f>
        <v/>
      </c>
      <c r="D11" s="13">
        <f>QUESTIONS!I11</f>
        <v/>
      </c>
      <c r="E11" s="13">
        <f>QUESTIONS!AJ11</f>
        <v/>
      </c>
      <c r="F11" s="6" t="n"/>
      <c r="G11" s="6" t="n"/>
      <c r="H11" s="6" t="n"/>
      <c r="I11" s="6" t="n"/>
      <c r="J11" s="6" t="n"/>
      <c r="K11" s="6" t="n"/>
      <c r="L11" s="6" t="inlineStr">
        <is>
          <t>I</t>
        </is>
      </c>
      <c r="M11" s="6" t="inlineStr">
        <is>
          <t>RAS_PRE_PILOTE</t>
        </is>
      </c>
      <c r="N11" s="6" t="inlineStr">
        <is>
          <t>A_SURVEILLER</t>
        </is>
      </c>
      <c r="O11" s="6" t="inlineStr">
        <is>
          <t>ADMETTRE_PILOTE</t>
        </is>
      </c>
      <c r="P11" s="6" t="inlineStr">
        <is>
          <t>08/09/2026</t>
        </is>
      </c>
      <c r="Q11" s="6" t="inlineStr">
        <is>
          <t>Clarté360 — revue méthodologique</t>
        </is>
      </c>
      <c r="R11" s="6" t="inlineStr">
        <is>
          <t>Qualification théorique avant pilote ; décision empirique à confirmer après collecte.</t>
        </is>
      </c>
    </row>
    <row r="12" ht="100.8" customHeight="1" s="34">
      <c r="A12" s="13">
        <f>QUESTIONS!A12</f>
        <v/>
      </c>
      <c r="B12" s="13">
        <f>QUESTIONS!B12</f>
        <v/>
      </c>
      <c r="C12" s="13">
        <f>QUESTIONS!H12</f>
        <v/>
      </c>
      <c r="D12" s="13">
        <f>QUESTIONS!I12</f>
        <v/>
      </c>
      <c r="E12" s="13">
        <f>QUESTIONS!AJ12</f>
        <v/>
      </c>
      <c r="F12" s="6" t="n"/>
      <c r="G12" s="6" t="n"/>
      <c r="H12" s="6" t="n"/>
      <c r="I12" s="6" t="n"/>
      <c r="J12" s="6" t="n"/>
      <c r="K12" s="6" t="n"/>
      <c r="L12" s="6" t="inlineStr">
        <is>
          <t>I</t>
        </is>
      </c>
      <c r="M12" s="6" t="inlineStr">
        <is>
          <t>RAS_PRE_PILOTE</t>
        </is>
      </c>
      <c r="N12" s="6" t="inlineStr">
        <is>
          <t>A_SURVEILLER</t>
        </is>
      </c>
      <c r="O12" s="6" t="inlineStr">
        <is>
          <t>ADMETTRE_PILOTE</t>
        </is>
      </c>
      <c r="P12" s="6" t="inlineStr">
        <is>
          <t>08/09/2026</t>
        </is>
      </c>
      <c r="Q12" s="6" t="inlineStr">
        <is>
          <t>Clarté360 — revue méthodologique</t>
        </is>
      </c>
      <c r="R12" s="6" t="inlineStr">
        <is>
          <t>Qualification théorique avant pilote ; décision empirique à confirmer après collecte.</t>
        </is>
      </c>
    </row>
    <row r="13" ht="100.8" customHeight="1" s="34">
      <c r="A13" s="13">
        <f>QUESTIONS!A13</f>
        <v/>
      </c>
      <c r="B13" s="13">
        <f>QUESTIONS!B13</f>
        <v/>
      </c>
      <c r="C13" s="13">
        <f>QUESTIONS!H13</f>
        <v/>
      </c>
      <c r="D13" s="13">
        <f>QUESTIONS!I13</f>
        <v/>
      </c>
      <c r="E13" s="13">
        <f>QUESTIONS!AJ13</f>
        <v/>
      </c>
      <c r="F13" s="6" t="n"/>
      <c r="G13" s="6" t="n"/>
      <c r="H13" s="6" t="n"/>
      <c r="I13" s="6" t="n"/>
      <c r="J13" s="6" t="n"/>
      <c r="K13" s="6" t="n"/>
      <c r="L13" s="6" t="inlineStr">
        <is>
          <t>I</t>
        </is>
      </c>
      <c r="M13" s="6" t="inlineStr">
        <is>
          <t>RAS_PRE_PILOTE</t>
        </is>
      </c>
      <c r="N13" s="6" t="inlineStr">
        <is>
          <t>A_SURVEILLER</t>
        </is>
      </c>
      <c r="O13" s="6" t="inlineStr">
        <is>
          <t>ADMETTRE_PILOTE</t>
        </is>
      </c>
      <c r="P13" s="6" t="inlineStr">
        <is>
          <t>08/09/2026</t>
        </is>
      </c>
      <c r="Q13" s="6" t="inlineStr">
        <is>
          <t>Clarté360 — revue méthodologique</t>
        </is>
      </c>
      <c r="R13" s="6" t="inlineStr">
        <is>
          <t>Qualification théorique avant pilote ; décision empirique à confirmer après collecte.</t>
        </is>
      </c>
    </row>
    <row r="14" ht="100.8" customHeight="1" s="34">
      <c r="A14" s="13">
        <f>QUESTIONS!A14</f>
        <v/>
      </c>
      <c r="B14" s="13">
        <f>QUESTIONS!B14</f>
        <v/>
      </c>
      <c r="C14" s="13">
        <f>QUESTIONS!H14</f>
        <v/>
      </c>
      <c r="D14" s="13">
        <f>QUESTIONS!I14</f>
        <v/>
      </c>
      <c r="E14" s="13">
        <f>QUESTIONS!AJ14</f>
        <v/>
      </c>
      <c r="F14" s="6" t="n"/>
      <c r="G14" s="6" t="n"/>
      <c r="H14" s="6" t="n"/>
      <c r="I14" s="6" t="n"/>
      <c r="J14" s="6" t="n"/>
      <c r="K14" s="6" t="n"/>
      <c r="L14" s="6" t="inlineStr">
        <is>
          <t>I</t>
        </is>
      </c>
      <c r="M14" s="6" t="inlineStr">
        <is>
          <t>RAS_PRE_PILOTE</t>
        </is>
      </c>
      <c r="N14" s="6" t="inlineStr">
        <is>
          <t>A_SURVEILLER</t>
        </is>
      </c>
      <c r="O14" s="6" t="inlineStr">
        <is>
          <t>ADMETTRE_PILOTE</t>
        </is>
      </c>
      <c r="P14" s="6" t="inlineStr">
        <is>
          <t>08/09/2026</t>
        </is>
      </c>
      <c r="Q14" s="6" t="inlineStr">
        <is>
          <t>Clarté360 — revue méthodologique</t>
        </is>
      </c>
      <c r="R14" s="6" t="inlineStr">
        <is>
          <t>Qualification théorique avant pilote ; décision empirique à confirmer après collecte.</t>
        </is>
      </c>
    </row>
    <row r="15" ht="100.8" customHeight="1" s="34">
      <c r="A15" s="13">
        <f>QUESTIONS!A15</f>
        <v/>
      </c>
      <c r="B15" s="13">
        <f>QUESTIONS!B15</f>
        <v/>
      </c>
      <c r="C15" s="13">
        <f>QUESTIONS!H15</f>
        <v/>
      </c>
      <c r="D15" s="13">
        <f>QUESTIONS!I15</f>
        <v/>
      </c>
      <c r="E15" s="13">
        <f>QUESTIONS!AJ15</f>
        <v/>
      </c>
      <c r="F15" s="6" t="n"/>
      <c r="G15" s="6" t="n"/>
      <c r="H15" s="6" t="n"/>
      <c r="I15" s="6" t="n"/>
      <c r="J15" s="6" t="n"/>
      <c r="K15" s="6" t="n"/>
      <c r="L15" s="6" t="inlineStr">
        <is>
          <t>I</t>
        </is>
      </c>
      <c r="M15" s="6" t="inlineStr">
        <is>
          <t>RAS_PRE_PILOTE</t>
        </is>
      </c>
      <c r="N15" s="6" t="inlineStr">
        <is>
          <t>A_SURVEILLER</t>
        </is>
      </c>
      <c r="O15" s="6" t="inlineStr">
        <is>
          <t>ADMETTRE_PILOTE</t>
        </is>
      </c>
      <c r="P15" s="6" t="inlineStr">
        <is>
          <t>08/09/2026</t>
        </is>
      </c>
      <c r="Q15" s="6" t="inlineStr">
        <is>
          <t>Clarté360 — revue méthodologique</t>
        </is>
      </c>
      <c r="R15" s="6" t="inlineStr">
        <is>
          <t>Qualification théorique avant pilote ; décision empirique à confirmer après collecte.</t>
        </is>
      </c>
    </row>
    <row r="16" ht="100.8" customHeight="1" s="34">
      <c r="A16" s="13">
        <f>QUESTIONS!A16</f>
        <v/>
      </c>
      <c r="B16" s="13">
        <f>QUESTIONS!B16</f>
        <v/>
      </c>
      <c r="C16" s="13">
        <f>QUESTIONS!H16</f>
        <v/>
      </c>
      <c r="D16" s="13">
        <f>QUESTIONS!I16</f>
        <v/>
      </c>
      <c r="E16" s="13">
        <f>QUESTIONS!AJ16</f>
        <v/>
      </c>
      <c r="F16" s="6" t="n"/>
      <c r="G16" s="6" t="n"/>
      <c r="H16" s="6" t="n"/>
      <c r="I16" s="6" t="n"/>
      <c r="J16" s="6" t="n"/>
      <c r="K16" s="6" t="n"/>
      <c r="L16" s="6" t="inlineStr">
        <is>
          <t>I</t>
        </is>
      </c>
      <c r="M16" s="6" t="inlineStr">
        <is>
          <t>RAS_PRE_PILOTE</t>
        </is>
      </c>
      <c r="N16" s="6" t="inlineStr">
        <is>
          <t>A_SURVEILLER</t>
        </is>
      </c>
      <c r="O16" s="6" t="inlineStr">
        <is>
          <t>ADMETTRE_PILOTE</t>
        </is>
      </c>
      <c r="P16" s="6" t="inlineStr">
        <is>
          <t>08/09/2026</t>
        </is>
      </c>
      <c r="Q16" s="6" t="inlineStr">
        <is>
          <t>Clarté360 — revue méthodologique</t>
        </is>
      </c>
      <c r="R16" s="6" t="inlineStr">
        <is>
          <t>Qualification théorique avant pilote ; décision empirique à confirmer après collecte.</t>
        </is>
      </c>
    </row>
    <row r="17" ht="100.8" customHeight="1" s="34">
      <c r="A17" s="13">
        <f>QUESTIONS!A17</f>
        <v/>
      </c>
      <c r="B17" s="13">
        <f>QUESTIONS!B17</f>
        <v/>
      </c>
      <c r="C17" s="13">
        <f>QUESTIONS!H17</f>
        <v/>
      </c>
      <c r="D17" s="13">
        <f>QUESTIONS!I17</f>
        <v/>
      </c>
      <c r="E17" s="13">
        <f>QUESTIONS!AJ17</f>
        <v/>
      </c>
      <c r="F17" s="6" t="n"/>
      <c r="G17" s="6" t="n"/>
      <c r="H17" s="6" t="n"/>
      <c r="I17" s="6" t="n"/>
      <c r="J17" s="6" t="n"/>
      <c r="K17" s="6" t="n"/>
      <c r="L17" s="6" t="inlineStr">
        <is>
          <t>I</t>
        </is>
      </c>
      <c r="M17" s="6" t="inlineStr">
        <is>
          <t>RAS_PRE_PILOTE</t>
        </is>
      </c>
      <c r="N17" s="6" t="inlineStr">
        <is>
          <t>A_SURVEILLER</t>
        </is>
      </c>
      <c r="O17" s="6" t="inlineStr">
        <is>
          <t>ADMETTRE_PILOTE</t>
        </is>
      </c>
      <c r="P17" s="6" t="inlineStr">
        <is>
          <t>08/09/2026</t>
        </is>
      </c>
      <c r="Q17" s="6" t="inlineStr">
        <is>
          <t>Clarté360 — revue méthodologique</t>
        </is>
      </c>
      <c r="R17" s="6" t="inlineStr">
        <is>
          <t>Qualification théorique avant pilote ; décision empirique à confirmer après collecte.</t>
        </is>
      </c>
    </row>
    <row r="18" ht="100.8" customHeight="1" s="34">
      <c r="A18" s="13">
        <f>QUESTIONS!A18</f>
        <v/>
      </c>
      <c r="B18" s="13">
        <f>QUESTIONS!B18</f>
        <v/>
      </c>
      <c r="C18" s="13">
        <f>QUESTIONS!H18</f>
        <v/>
      </c>
      <c r="D18" s="13">
        <f>QUESTIONS!I18</f>
        <v/>
      </c>
      <c r="E18" s="13">
        <f>QUESTIONS!AJ18</f>
        <v/>
      </c>
      <c r="F18" s="6" t="n"/>
      <c r="G18" s="6" t="n"/>
      <c r="H18" s="6" t="n"/>
      <c r="I18" s="6" t="n"/>
      <c r="J18" s="6" t="n"/>
      <c r="K18" s="6" t="n"/>
      <c r="L18" s="6" t="inlineStr">
        <is>
          <t>I</t>
        </is>
      </c>
      <c r="M18" s="6" t="inlineStr">
        <is>
          <t>RAS_PRE_PILOTE</t>
        </is>
      </c>
      <c r="N18" s="6" t="inlineStr">
        <is>
          <t>A_SURVEILLER</t>
        </is>
      </c>
      <c r="O18" s="6" t="inlineStr">
        <is>
          <t>ADMETTRE_PILOTE</t>
        </is>
      </c>
      <c r="P18" s="6" t="inlineStr">
        <is>
          <t>08/09/2026</t>
        </is>
      </c>
      <c r="Q18" s="6" t="inlineStr">
        <is>
          <t>Clarté360 — revue méthodologique</t>
        </is>
      </c>
      <c r="R18" s="6" t="inlineStr">
        <is>
          <t>Qualification théorique avant pilote ; décision empirique à confirmer après collecte.</t>
        </is>
      </c>
    </row>
    <row r="19" ht="100.8" customHeight="1" s="34">
      <c r="A19" s="13">
        <f>QUESTIONS!A19</f>
        <v/>
      </c>
      <c r="B19" s="13">
        <f>QUESTIONS!B19</f>
        <v/>
      </c>
      <c r="C19" s="13">
        <f>QUESTIONS!H19</f>
        <v/>
      </c>
      <c r="D19" s="13">
        <f>QUESTIONS!I19</f>
        <v/>
      </c>
      <c r="E19" s="13">
        <f>QUESTIONS!AJ19</f>
        <v/>
      </c>
      <c r="F19" s="6" t="n"/>
      <c r="G19" s="6" t="n"/>
      <c r="H19" s="6" t="n"/>
      <c r="I19" s="6" t="n"/>
      <c r="J19" s="6" t="n"/>
      <c r="K19" s="6" t="n"/>
      <c r="L19" s="6" t="inlineStr">
        <is>
          <t>I</t>
        </is>
      </c>
      <c r="M19" s="6" t="inlineStr">
        <is>
          <t>RAS_PRE_PILOTE</t>
        </is>
      </c>
      <c r="N19" s="6" t="inlineStr">
        <is>
          <t>A_SURVEILLER</t>
        </is>
      </c>
      <c r="O19" s="6" t="inlineStr">
        <is>
          <t>ADMETTRE_PILOTE</t>
        </is>
      </c>
      <c r="P19" s="6" t="inlineStr">
        <is>
          <t>08/09/2026</t>
        </is>
      </c>
      <c r="Q19" s="6" t="inlineStr">
        <is>
          <t>Clarté360 — revue méthodologique</t>
        </is>
      </c>
      <c r="R19" s="6" t="inlineStr">
        <is>
          <t>Qualification théorique avant pilote ; décision empirique à confirmer après collecte.</t>
        </is>
      </c>
    </row>
    <row r="20" ht="100.8" customHeight="1" s="34">
      <c r="A20" s="13">
        <f>QUESTIONS!A20</f>
        <v/>
      </c>
      <c r="B20" s="13">
        <f>QUESTIONS!B20</f>
        <v/>
      </c>
      <c r="C20" s="13">
        <f>QUESTIONS!H20</f>
        <v/>
      </c>
      <c r="D20" s="13">
        <f>QUESTIONS!I20</f>
        <v/>
      </c>
      <c r="E20" s="13">
        <f>QUESTIONS!AJ20</f>
        <v/>
      </c>
      <c r="F20" s="6" t="n"/>
      <c r="G20" s="6" t="n"/>
      <c r="H20" s="6" t="n"/>
      <c r="I20" s="6" t="n"/>
      <c r="J20" s="6" t="n"/>
      <c r="K20" s="6" t="n"/>
      <c r="L20" s="6" t="inlineStr">
        <is>
          <t>I</t>
        </is>
      </c>
      <c r="M20" s="6" t="inlineStr">
        <is>
          <t>RAS_PRE_PILOTE</t>
        </is>
      </c>
      <c r="N20" s="6" t="inlineStr">
        <is>
          <t>A_SURVEILLER</t>
        </is>
      </c>
      <c r="O20" s="6" t="inlineStr">
        <is>
          <t>ADMETTRE_PILOTE</t>
        </is>
      </c>
      <c r="P20" s="6" t="inlineStr">
        <is>
          <t>08/09/2026</t>
        </is>
      </c>
      <c r="Q20" s="6" t="inlineStr">
        <is>
          <t>Clarté360 — revue méthodologique</t>
        </is>
      </c>
      <c r="R20" s="6" t="inlineStr">
        <is>
          <t>Qualification théorique avant pilote ; décision empirique à confirmer après collecte.</t>
        </is>
      </c>
    </row>
    <row r="21" ht="100.8" customHeight="1" s="34">
      <c r="A21" s="13">
        <f>QUESTIONS!A21</f>
        <v/>
      </c>
      <c r="B21" s="13">
        <f>QUESTIONS!B21</f>
        <v/>
      </c>
      <c r="C21" s="13">
        <f>QUESTIONS!H21</f>
        <v/>
      </c>
      <c r="D21" s="13">
        <f>QUESTIONS!I21</f>
        <v/>
      </c>
      <c r="E21" s="13">
        <f>QUESTIONS!AJ21</f>
        <v/>
      </c>
      <c r="F21" s="6" t="n"/>
      <c r="G21" s="6" t="n"/>
      <c r="H21" s="6" t="n"/>
      <c r="I21" s="6" t="n"/>
      <c r="J21" s="6" t="n"/>
      <c r="K21" s="6" t="n"/>
      <c r="L21" s="6" t="inlineStr">
        <is>
          <t>S,I</t>
        </is>
      </c>
      <c r="M21" s="6" t="inlineStr">
        <is>
          <t>RAS_PRE_PILOTE</t>
        </is>
      </c>
      <c r="N21" s="6" t="inlineStr">
        <is>
          <t>A_SURVEILLER</t>
        </is>
      </c>
      <c r="O21" s="6" t="inlineStr">
        <is>
          <t>ADMETTRE_PILOTE</t>
        </is>
      </c>
      <c r="P21" s="6" t="inlineStr">
        <is>
          <t>08/09/2026</t>
        </is>
      </c>
      <c r="Q21" s="6" t="inlineStr">
        <is>
          <t>Clarté360 — revue méthodologique</t>
        </is>
      </c>
      <c r="R21" s="6" t="inlineStr">
        <is>
          <t>Qualification théorique avant pilote ; décision empirique à confirmer après collecte.</t>
        </is>
      </c>
    </row>
    <row r="22" ht="100.8" customHeight="1" s="34">
      <c r="A22" s="13">
        <f>QUESTIONS!A22</f>
        <v/>
      </c>
      <c r="B22" s="13">
        <f>QUESTIONS!B22</f>
        <v/>
      </c>
      <c r="C22" s="13">
        <f>QUESTIONS!H22</f>
        <v/>
      </c>
      <c r="D22" s="13">
        <f>QUESTIONS!I22</f>
        <v/>
      </c>
      <c r="E22" s="13">
        <f>QUESTIONS!AJ22</f>
        <v/>
      </c>
      <c r="F22" s="6" t="n"/>
      <c r="G22" s="6" t="n"/>
      <c r="H22" s="6" t="n"/>
      <c r="I22" s="6" t="n"/>
      <c r="J22" s="6" t="n"/>
      <c r="K22" s="6" t="n"/>
      <c r="L22" s="6" t="inlineStr">
        <is>
          <t>S,I</t>
        </is>
      </c>
      <c r="M22" s="6" t="inlineStr">
        <is>
          <t>RAS_PRE_PILOTE</t>
        </is>
      </c>
      <c r="N22" s="6" t="inlineStr">
        <is>
          <t>A_SURVEILLER</t>
        </is>
      </c>
      <c r="O22" s="6" t="inlineStr">
        <is>
          <t>ADMETTRE_PILOTE</t>
        </is>
      </c>
      <c r="P22" s="6" t="inlineStr">
        <is>
          <t>08/09/2026</t>
        </is>
      </c>
      <c r="Q22" s="6" t="inlineStr">
        <is>
          <t>Clarté360 — revue méthodologique</t>
        </is>
      </c>
      <c r="R22" s="6" t="inlineStr">
        <is>
          <t>Qualification théorique avant pilote ; décision empirique à confirmer après collecte.</t>
        </is>
      </c>
    </row>
    <row r="23" ht="100.8" customHeight="1" s="34">
      <c r="A23" s="13">
        <f>QUESTIONS!A23</f>
        <v/>
      </c>
      <c r="B23" s="13">
        <f>QUESTIONS!B23</f>
        <v/>
      </c>
      <c r="C23" s="13">
        <f>QUESTIONS!H23</f>
        <v/>
      </c>
      <c r="D23" s="13">
        <f>QUESTIONS!I23</f>
        <v/>
      </c>
      <c r="E23" s="13">
        <f>QUESTIONS!AJ23</f>
        <v/>
      </c>
      <c r="F23" s="6" t="n"/>
      <c r="G23" s="6" t="n"/>
      <c r="H23" s="6" t="n"/>
      <c r="I23" s="6" t="n"/>
      <c r="J23" s="6" t="n"/>
      <c r="K23" s="6" t="n"/>
      <c r="L23" s="6" t="inlineStr">
        <is>
          <t>S,I</t>
        </is>
      </c>
      <c r="M23" s="6" t="inlineStr">
        <is>
          <t>RAS_PRE_PILOTE</t>
        </is>
      </c>
      <c r="N23" s="6" t="inlineStr">
        <is>
          <t>A_SURVEILLER</t>
        </is>
      </c>
      <c r="O23" s="6" t="inlineStr">
        <is>
          <t>ADMETTRE_PILOTE</t>
        </is>
      </c>
      <c r="P23" s="6" t="inlineStr">
        <is>
          <t>08/09/2026</t>
        </is>
      </c>
      <c r="Q23" s="6" t="inlineStr">
        <is>
          <t>Clarté360 — revue méthodologique</t>
        </is>
      </c>
      <c r="R23" s="6" t="inlineStr">
        <is>
          <t>Qualification théorique avant pilote ; décision empirique à confirmer après collecte.</t>
        </is>
      </c>
    </row>
    <row r="24" ht="100.8" customHeight="1" s="34">
      <c r="A24" s="13">
        <f>QUESTIONS!A24</f>
        <v/>
      </c>
      <c r="B24" s="13">
        <f>QUESTIONS!B24</f>
        <v/>
      </c>
      <c r="C24" s="13">
        <f>QUESTIONS!H24</f>
        <v/>
      </c>
      <c r="D24" s="13">
        <f>QUESTIONS!I24</f>
        <v/>
      </c>
      <c r="E24" s="13">
        <f>QUESTIONS!AJ24</f>
        <v/>
      </c>
      <c r="F24" s="6" t="n"/>
      <c r="G24" s="6" t="n"/>
      <c r="H24" s="6" t="n"/>
      <c r="I24" s="6" t="n"/>
      <c r="J24" s="6" t="n"/>
      <c r="K24" s="6" t="n"/>
      <c r="L24" s="6" t="inlineStr">
        <is>
          <t>S,I</t>
        </is>
      </c>
      <c r="M24" s="6" t="inlineStr">
        <is>
          <t>RAS_PRE_PILOTE</t>
        </is>
      </c>
      <c r="N24" s="6" t="inlineStr">
        <is>
          <t>A_SURVEILLER</t>
        </is>
      </c>
      <c r="O24" s="6" t="inlineStr">
        <is>
          <t>ADMETTRE_PILOTE</t>
        </is>
      </c>
      <c r="P24" s="6" t="inlineStr">
        <is>
          <t>08/09/2026</t>
        </is>
      </c>
      <c r="Q24" s="6" t="inlineStr">
        <is>
          <t>Clarté360 — revue méthodologique</t>
        </is>
      </c>
      <c r="R24" s="6" t="inlineStr">
        <is>
          <t>Qualification théorique avant pilote ; décision empirique à confirmer après collecte.</t>
        </is>
      </c>
    </row>
    <row r="25" ht="100.8" customHeight="1" s="34">
      <c r="A25" s="13">
        <f>QUESTIONS!A25</f>
        <v/>
      </c>
      <c r="B25" s="13">
        <f>QUESTIONS!B25</f>
        <v/>
      </c>
      <c r="C25" s="13">
        <f>QUESTIONS!H25</f>
        <v/>
      </c>
      <c r="D25" s="13">
        <f>QUESTIONS!I25</f>
        <v/>
      </c>
      <c r="E25" s="13">
        <f>QUESTIONS!AJ25</f>
        <v/>
      </c>
      <c r="F25" s="6" t="n"/>
      <c r="G25" s="6" t="n"/>
      <c r="H25" s="6" t="n"/>
      <c r="I25" s="6" t="n"/>
      <c r="J25" s="6" t="n"/>
      <c r="K25" s="6" t="n"/>
      <c r="L25" s="6" t="inlineStr">
        <is>
          <t>C</t>
        </is>
      </c>
      <c r="M25" s="6" t="inlineStr">
        <is>
          <t>A_SURVEILLER</t>
        </is>
      </c>
      <c r="N25" s="6" t="inlineStr">
        <is>
          <t>A_SURVEILLER</t>
        </is>
      </c>
      <c r="O25" s="6" t="inlineStr">
        <is>
          <t>ADMETTRE_PILOTE</t>
        </is>
      </c>
      <c r="P25" s="6" t="inlineStr">
        <is>
          <t>08/09/2026</t>
        </is>
      </c>
      <c r="Q25" s="6" t="inlineStr">
        <is>
          <t>Clarté360 — revue méthodologique</t>
        </is>
      </c>
      <c r="R25" s="6" t="inlineStr">
        <is>
          <t>Qualification théorique avant pilote ; décision empirique à confirmer après collecte.</t>
        </is>
      </c>
    </row>
    <row r="26" ht="100.8" customHeight="1" s="34">
      <c r="A26" s="13">
        <f>QUESTIONS!A26</f>
        <v/>
      </c>
      <c r="B26" s="13">
        <f>QUESTIONS!B26</f>
        <v/>
      </c>
      <c r="C26" s="13">
        <f>QUESTIONS!H26</f>
        <v/>
      </c>
      <c r="D26" s="13">
        <f>QUESTIONS!I26</f>
        <v/>
      </c>
      <c r="E26" s="13">
        <f>QUESTIONS!AJ26</f>
        <v/>
      </c>
      <c r="F26" s="6" t="n"/>
      <c r="G26" s="6" t="n"/>
      <c r="H26" s="6" t="n"/>
      <c r="I26" s="6" t="n"/>
      <c r="J26" s="6" t="n"/>
      <c r="K26" s="6" t="n"/>
      <c r="L26" s="6" t="inlineStr">
        <is>
          <t>C</t>
        </is>
      </c>
      <c r="M26" s="6" t="inlineStr">
        <is>
          <t>A_SURVEILLER</t>
        </is>
      </c>
      <c r="N26" s="6" t="inlineStr">
        <is>
          <t>A_SURVEILLER</t>
        </is>
      </c>
      <c r="O26" s="6" t="inlineStr">
        <is>
          <t>ADMETTRE_PILOTE</t>
        </is>
      </c>
      <c r="P26" s="6" t="inlineStr">
        <is>
          <t>08/09/2026</t>
        </is>
      </c>
      <c r="Q26" s="6" t="inlineStr">
        <is>
          <t>Clarté360 — revue méthodologique</t>
        </is>
      </c>
      <c r="R26" s="6" t="inlineStr">
        <is>
          <t>Qualification théorique avant pilote ; décision empirique à confirmer après collecte.</t>
        </is>
      </c>
    </row>
    <row r="27" ht="100.8" customHeight="1" s="34">
      <c r="A27" s="13">
        <f>QUESTIONS!A27</f>
        <v/>
      </c>
      <c r="B27" s="13">
        <f>QUESTIONS!B27</f>
        <v/>
      </c>
      <c r="C27" s="13">
        <f>QUESTIONS!H27</f>
        <v/>
      </c>
      <c r="D27" s="13">
        <f>QUESTIONS!I27</f>
        <v/>
      </c>
      <c r="E27" s="13">
        <f>QUESTIONS!AJ27</f>
        <v/>
      </c>
      <c r="F27" s="6" t="n"/>
      <c r="G27" s="6" t="n"/>
      <c r="H27" s="6" t="n"/>
      <c r="I27" s="6" t="n"/>
      <c r="J27" s="6" t="n"/>
      <c r="K27" s="6" t="n"/>
      <c r="L27" s="6" t="inlineStr">
        <is>
          <t>C</t>
        </is>
      </c>
      <c r="M27" s="6" t="inlineStr">
        <is>
          <t>A_SURVEILLER</t>
        </is>
      </c>
      <c r="N27" s="6" t="inlineStr">
        <is>
          <t>A_SURVEILLER</t>
        </is>
      </c>
      <c r="O27" s="6" t="inlineStr">
        <is>
          <t>ADMETTRE_PILOTE</t>
        </is>
      </c>
      <c r="P27" s="6" t="inlineStr">
        <is>
          <t>08/09/2026</t>
        </is>
      </c>
      <c r="Q27" s="6" t="inlineStr">
        <is>
          <t>Clarté360 — revue méthodologique</t>
        </is>
      </c>
      <c r="R27" s="6" t="inlineStr">
        <is>
          <t>Qualification théorique avant pilote ; décision empirique à confirmer après collecte.</t>
        </is>
      </c>
    </row>
    <row r="28" ht="100.8" customHeight="1" s="34">
      <c r="A28" s="13">
        <f>QUESTIONS!A28</f>
        <v/>
      </c>
      <c r="B28" s="13">
        <f>QUESTIONS!B28</f>
        <v/>
      </c>
      <c r="C28" s="13">
        <f>QUESTIONS!H28</f>
        <v/>
      </c>
      <c r="D28" s="13">
        <f>QUESTIONS!I28</f>
        <v/>
      </c>
      <c r="E28" s="13">
        <f>QUESTIONS!AJ28</f>
        <v/>
      </c>
      <c r="F28" s="6" t="n"/>
      <c r="G28" s="6" t="n"/>
      <c r="H28" s="6" t="n"/>
      <c r="I28" s="6" t="n"/>
      <c r="J28" s="6" t="n"/>
      <c r="K28" s="6" t="n"/>
      <c r="L28" s="6" t="inlineStr">
        <is>
          <t>C</t>
        </is>
      </c>
      <c r="M28" s="6" t="inlineStr">
        <is>
          <t>A_SURVEILLER</t>
        </is>
      </c>
      <c r="N28" s="6" t="inlineStr">
        <is>
          <t>A_SURVEILLER</t>
        </is>
      </c>
      <c r="O28" s="6" t="inlineStr">
        <is>
          <t>ADMETTRE_PILOTE</t>
        </is>
      </c>
      <c r="P28" s="6" t="inlineStr">
        <is>
          <t>08/09/2026</t>
        </is>
      </c>
      <c r="Q28" s="6" t="inlineStr">
        <is>
          <t>Clarté360 — revue méthodologique</t>
        </is>
      </c>
      <c r="R28" s="6" t="inlineStr">
        <is>
          <t>Qualification théorique avant pilote ; décision empirique à confirmer après collecte.</t>
        </is>
      </c>
    </row>
    <row r="29" ht="100.8" customHeight="1" s="34">
      <c r="A29" s="13">
        <f>QUESTIONS!A29</f>
        <v/>
      </c>
      <c r="B29" s="13">
        <f>QUESTIONS!B29</f>
        <v/>
      </c>
      <c r="C29" s="13">
        <f>QUESTIONS!H29</f>
        <v/>
      </c>
      <c r="D29" s="13">
        <f>QUESTIONS!I29</f>
        <v/>
      </c>
      <c r="E29" s="13">
        <f>QUESTIONS!AJ29</f>
        <v/>
      </c>
      <c r="F29" s="6" t="n"/>
      <c r="G29" s="6" t="n"/>
      <c r="H29" s="6" t="n"/>
      <c r="I29" s="6" t="n"/>
      <c r="J29" s="6" t="n"/>
      <c r="K29" s="6" t="n"/>
      <c r="L29" s="6" t="inlineStr">
        <is>
          <t>C</t>
        </is>
      </c>
      <c r="M29" s="6" t="inlineStr">
        <is>
          <t>A_SURVEILLER</t>
        </is>
      </c>
      <c r="N29" s="6" t="inlineStr">
        <is>
          <t>A_SURVEILLER</t>
        </is>
      </c>
      <c r="O29" s="6" t="inlineStr">
        <is>
          <t>ADMETTRE_PILOTE</t>
        </is>
      </c>
      <c r="P29" s="6" t="inlineStr">
        <is>
          <t>08/09/2026</t>
        </is>
      </c>
      <c r="Q29" s="6" t="inlineStr">
        <is>
          <t>Clarté360 — revue méthodologique</t>
        </is>
      </c>
      <c r="R29" s="6" t="inlineStr">
        <is>
          <t>Qualification théorique avant pilote ; décision empirique à confirmer après collecte.</t>
        </is>
      </c>
    </row>
    <row r="30" ht="100.8" customHeight="1" s="34">
      <c r="A30" s="13">
        <f>QUESTIONS!A30</f>
        <v/>
      </c>
      <c r="B30" s="13">
        <f>QUESTIONS!B30</f>
        <v/>
      </c>
      <c r="C30" s="13">
        <f>QUESTIONS!H30</f>
        <v/>
      </c>
      <c r="D30" s="13">
        <f>QUESTIONS!I30</f>
        <v/>
      </c>
      <c r="E30" s="13">
        <f>QUESTIONS!AJ30</f>
        <v/>
      </c>
      <c r="F30" s="6" t="n"/>
      <c r="G30" s="6" t="n"/>
      <c r="H30" s="6" t="n"/>
      <c r="I30" s="6" t="n"/>
      <c r="J30" s="6" t="n"/>
      <c r="K30" s="6" t="n"/>
      <c r="L30" s="6" t="inlineStr">
        <is>
          <t>C</t>
        </is>
      </c>
      <c r="M30" s="6" t="inlineStr">
        <is>
          <t>A_SURVEILLER</t>
        </is>
      </c>
      <c r="N30" s="6" t="inlineStr">
        <is>
          <t>A_SURVEILLER</t>
        </is>
      </c>
      <c r="O30" s="6" t="inlineStr">
        <is>
          <t>ADMETTRE_PILOTE</t>
        </is>
      </c>
      <c r="P30" s="6" t="inlineStr">
        <is>
          <t>08/09/2026</t>
        </is>
      </c>
      <c r="Q30" s="6" t="inlineStr">
        <is>
          <t>Clarté360 — revue méthodologique</t>
        </is>
      </c>
      <c r="R30" s="6" t="inlineStr">
        <is>
          <t>Qualification théorique avant pilote ; décision empirique à confirmer après collecte.</t>
        </is>
      </c>
    </row>
    <row r="31" ht="100.8" customHeight="1" s="34">
      <c r="A31" s="13">
        <f>QUESTIONS!A31</f>
        <v/>
      </c>
      <c r="B31" s="13">
        <f>QUESTIONS!B31</f>
        <v/>
      </c>
      <c r="C31" s="13">
        <f>QUESTIONS!H31</f>
        <v/>
      </c>
      <c r="D31" s="13">
        <f>QUESTIONS!I31</f>
        <v/>
      </c>
      <c r="E31" s="13">
        <f>QUESTIONS!AJ31</f>
        <v/>
      </c>
      <c r="F31" s="6" t="n"/>
      <c r="G31" s="6" t="n"/>
      <c r="H31" s="6" t="n"/>
      <c r="I31" s="6" t="n"/>
      <c r="J31" s="6" t="n"/>
      <c r="K31" s="6" t="n"/>
      <c r="L31" s="6" t="inlineStr">
        <is>
          <t>C</t>
        </is>
      </c>
      <c r="M31" s="6" t="inlineStr">
        <is>
          <t>A_SURVEILLER</t>
        </is>
      </c>
      <c r="N31" s="6" t="inlineStr">
        <is>
          <t>A_SURVEILLER</t>
        </is>
      </c>
      <c r="O31" s="6" t="inlineStr">
        <is>
          <t>ADMETTRE_PILOTE</t>
        </is>
      </c>
      <c r="P31" s="6" t="inlineStr">
        <is>
          <t>08/09/2026</t>
        </is>
      </c>
      <c r="Q31" s="6" t="inlineStr">
        <is>
          <t>Clarté360 — revue méthodologique</t>
        </is>
      </c>
      <c r="R31" s="6" t="inlineStr">
        <is>
          <t>Qualification théorique avant pilote ; décision empirique à confirmer après collecte.</t>
        </is>
      </c>
    </row>
    <row r="32" ht="100.8" customHeight="1" s="34">
      <c r="A32" s="13">
        <f>QUESTIONS!A32</f>
        <v/>
      </c>
      <c r="B32" s="13">
        <f>QUESTIONS!B32</f>
        <v/>
      </c>
      <c r="C32" s="13">
        <f>QUESTIONS!H32</f>
        <v/>
      </c>
      <c r="D32" s="13">
        <f>QUESTIONS!I32</f>
        <v/>
      </c>
      <c r="E32" s="13">
        <f>QUESTIONS!AJ32</f>
        <v/>
      </c>
      <c r="F32" s="6" t="n"/>
      <c r="G32" s="6" t="n"/>
      <c r="H32" s="6" t="n"/>
      <c r="I32" s="6" t="n"/>
      <c r="J32" s="6" t="n"/>
      <c r="K32" s="6" t="n"/>
      <c r="L32" s="6" t="inlineStr">
        <is>
          <t>C</t>
        </is>
      </c>
      <c r="M32" s="6" t="inlineStr">
        <is>
          <t>A_SURVEILLER</t>
        </is>
      </c>
      <c r="N32" s="6" t="inlineStr">
        <is>
          <t>A_SURVEILLER</t>
        </is>
      </c>
      <c r="O32" s="6" t="inlineStr">
        <is>
          <t>ADMETTRE_PILOTE</t>
        </is>
      </c>
      <c r="P32" s="6" t="inlineStr">
        <is>
          <t>08/09/2026</t>
        </is>
      </c>
      <c r="Q32" s="6" t="inlineStr">
        <is>
          <t>Clarté360 — revue méthodologique</t>
        </is>
      </c>
      <c r="R32" s="6" t="inlineStr">
        <is>
          <t>Qualification théorique avant pilote ; décision empirique à confirmer après collecte.</t>
        </is>
      </c>
    </row>
    <row r="33" ht="100.8" customHeight="1" s="34">
      <c r="A33" s="13">
        <f>QUESTIONS!A33</f>
        <v/>
      </c>
      <c r="B33" s="13">
        <f>QUESTIONS!B33</f>
        <v/>
      </c>
      <c r="C33" s="13">
        <f>QUESTIONS!H33</f>
        <v/>
      </c>
      <c r="D33" s="13">
        <f>QUESTIONS!I33</f>
        <v/>
      </c>
      <c r="E33" s="13">
        <f>QUESTIONS!AJ33</f>
        <v/>
      </c>
      <c r="F33" s="6" t="n"/>
      <c r="G33" s="6" t="n"/>
      <c r="H33" s="6" t="n"/>
      <c r="I33" s="6" t="n"/>
      <c r="J33" s="6" t="n"/>
      <c r="K33" s="6" t="n"/>
      <c r="L33" s="6" t="inlineStr">
        <is>
          <t>C</t>
        </is>
      </c>
      <c r="M33" s="6" t="inlineStr">
        <is>
          <t>A_SURVEILLER</t>
        </is>
      </c>
      <c r="N33" s="6" t="inlineStr">
        <is>
          <t>A_SURVEILLER</t>
        </is>
      </c>
      <c r="O33" s="6" t="inlineStr">
        <is>
          <t>ADMETTRE_PILOTE</t>
        </is>
      </c>
      <c r="P33" s="6" t="inlineStr">
        <is>
          <t>08/09/2026</t>
        </is>
      </c>
      <c r="Q33" s="6" t="inlineStr">
        <is>
          <t>Clarté360 — revue méthodologique</t>
        </is>
      </c>
      <c r="R33" s="6" t="inlineStr">
        <is>
          <t>Qualification théorique avant pilote ; décision empirique à confirmer après collecte.</t>
        </is>
      </c>
    </row>
    <row r="34" ht="100.8" customHeight="1" s="34">
      <c r="A34" s="13">
        <f>QUESTIONS!A34</f>
        <v/>
      </c>
      <c r="B34" s="13">
        <f>QUESTIONS!B34</f>
        <v/>
      </c>
      <c r="C34" s="13">
        <f>QUESTIONS!H34</f>
        <v/>
      </c>
      <c r="D34" s="13">
        <f>QUESTIONS!I34</f>
        <v/>
      </c>
      <c r="E34" s="13">
        <f>QUESTIONS!AJ34</f>
        <v/>
      </c>
      <c r="F34" s="6" t="n"/>
      <c r="G34" s="6" t="n"/>
      <c r="H34" s="6" t="n"/>
      <c r="I34" s="6" t="n"/>
      <c r="J34" s="6" t="n"/>
      <c r="K34" s="6" t="n"/>
      <c r="L34" s="6" t="inlineStr">
        <is>
          <t>C</t>
        </is>
      </c>
      <c r="M34" s="6" t="inlineStr">
        <is>
          <t>A_SURVEILLER</t>
        </is>
      </c>
      <c r="N34" s="6" t="inlineStr">
        <is>
          <t>A_SURVEILLER</t>
        </is>
      </c>
      <c r="O34" s="6" t="inlineStr">
        <is>
          <t>ADMETTRE_PILOTE</t>
        </is>
      </c>
      <c r="P34" s="6" t="inlineStr">
        <is>
          <t>08/09/2026</t>
        </is>
      </c>
      <c r="Q34" s="6" t="inlineStr">
        <is>
          <t>Clarté360 — revue méthodologique</t>
        </is>
      </c>
      <c r="R34" s="6" t="inlineStr">
        <is>
          <t>Qualification théorique avant pilote ; décision empirique à confirmer après collecte.</t>
        </is>
      </c>
    </row>
    <row r="35" ht="100.8" customHeight="1" s="34">
      <c r="A35" s="13">
        <f>QUESTIONS!A35</f>
        <v/>
      </c>
      <c r="B35" s="13">
        <f>QUESTIONS!B35</f>
        <v/>
      </c>
      <c r="C35" s="13">
        <f>QUESTIONS!H35</f>
        <v/>
      </c>
      <c r="D35" s="13">
        <f>QUESTIONS!I35</f>
        <v/>
      </c>
      <c r="E35" s="13">
        <f>QUESTIONS!AJ35</f>
        <v/>
      </c>
      <c r="F35" s="6" t="n"/>
      <c r="G35" s="6" t="n"/>
      <c r="H35" s="6" t="n"/>
      <c r="I35" s="6" t="n"/>
      <c r="J35" s="6" t="n"/>
      <c r="K35" s="6" t="n"/>
      <c r="L35" s="6" t="inlineStr">
        <is>
          <t>C</t>
        </is>
      </c>
      <c r="M35" s="6" t="inlineStr">
        <is>
          <t>A_SURVEILLER</t>
        </is>
      </c>
      <c r="N35" s="6" t="inlineStr">
        <is>
          <t>A_SURVEILLER</t>
        </is>
      </c>
      <c r="O35" s="6" t="inlineStr">
        <is>
          <t>ADMETTRE_PILOTE</t>
        </is>
      </c>
      <c r="P35" s="6" t="inlineStr">
        <is>
          <t>08/09/2026</t>
        </is>
      </c>
      <c r="Q35" s="6" t="inlineStr">
        <is>
          <t>Clarté360 — revue méthodologique</t>
        </is>
      </c>
      <c r="R35" s="6" t="inlineStr">
        <is>
          <t>Qualification théorique avant pilote ; décision empirique à confirmer après collecte.</t>
        </is>
      </c>
    </row>
    <row r="36" ht="100.8" customHeight="1" s="34">
      <c r="A36" s="13">
        <f>QUESTIONS!A36</f>
        <v/>
      </c>
      <c r="B36" s="13">
        <f>QUESTIONS!B36</f>
        <v/>
      </c>
      <c r="C36" s="13">
        <f>QUESTIONS!H36</f>
        <v/>
      </c>
      <c r="D36" s="13">
        <f>QUESTIONS!I36</f>
        <v/>
      </c>
      <c r="E36" s="13">
        <f>QUESTIONS!AJ36</f>
        <v/>
      </c>
      <c r="F36" s="6" t="n"/>
      <c r="G36" s="6" t="n"/>
      <c r="H36" s="6" t="n"/>
      <c r="I36" s="6" t="n"/>
      <c r="J36" s="6" t="n"/>
      <c r="K36" s="6" t="n"/>
      <c r="L36" s="6" t="inlineStr">
        <is>
          <t>C</t>
        </is>
      </c>
      <c r="M36" s="6" t="inlineStr">
        <is>
          <t>A_SURVEILLER</t>
        </is>
      </c>
      <c r="N36" s="6" t="inlineStr">
        <is>
          <t>A_SURVEILLER</t>
        </is>
      </c>
      <c r="O36" s="6" t="inlineStr">
        <is>
          <t>ADMETTRE_PILOTE</t>
        </is>
      </c>
      <c r="P36" s="6" t="inlineStr">
        <is>
          <t>08/09/2026</t>
        </is>
      </c>
      <c r="Q36" s="6" t="inlineStr">
        <is>
          <t>Clarté360 — revue méthodologique</t>
        </is>
      </c>
      <c r="R36" s="6" t="inlineStr">
        <is>
          <t>Qualification théorique avant pilote ; décision empirique à confirmer après collecte.</t>
        </is>
      </c>
    </row>
    <row r="37" ht="100.8" customHeight="1" s="34">
      <c r="A37" s="13">
        <f>QUESTIONS!A37</f>
        <v/>
      </c>
      <c r="B37" s="13">
        <f>QUESTIONS!B37</f>
        <v/>
      </c>
      <c r="C37" s="13">
        <f>QUESTIONS!H37</f>
        <v/>
      </c>
      <c r="D37" s="13">
        <f>QUESTIONS!I37</f>
        <v/>
      </c>
      <c r="E37" s="13">
        <f>QUESTIONS!AJ37</f>
        <v/>
      </c>
      <c r="F37" s="6" t="n"/>
      <c r="G37" s="6" t="n"/>
      <c r="H37" s="6" t="n"/>
      <c r="I37" s="6" t="n"/>
      <c r="J37" s="6" t="n"/>
      <c r="K37" s="6" t="n"/>
      <c r="L37" s="6" t="inlineStr">
        <is>
          <t>R</t>
        </is>
      </c>
      <c r="M37" s="6" t="inlineStr">
        <is>
          <t>A_SURVEILLER</t>
        </is>
      </c>
      <c r="N37" s="6" t="inlineStr">
        <is>
          <t>A_SURVEILLER</t>
        </is>
      </c>
      <c r="O37" s="6" t="inlineStr">
        <is>
          <t>ADMETTRE_PILOTE</t>
        </is>
      </c>
      <c r="P37" s="6" t="inlineStr">
        <is>
          <t>08/09/2026</t>
        </is>
      </c>
      <c r="Q37" s="6" t="inlineStr">
        <is>
          <t>Clarté360 — revue méthodologique</t>
        </is>
      </c>
      <c r="R37" s="6" t="inlineStr">
        <is>
          <t>Qualification théorique avant pilote ; décision empirique à confirmer après collecte.</t>
        </is>
      </c>
    </row>
    <row r="38" ht="100.8" customHeight="1" s="34">
      <c r="A38" s="13">
        <f>QUESTIONS!A38</f>
        <v/>
      </c>
      <c r="B38" s="13">
        <f>QUESTIONS!B38</f>
        <v/>
      </c>
      <c r="C38" s="13">
        <f>QUESTIONS!H38</f>
        <v/>
      </c>
      <c r="D38" s="13">
        <f>QUESTIONS!I38</f>
        <v/>
      </c>
      <c r="E38" s="13">
        <f>QUESTIONS!AJ38</f>
        <v/>
      </c>
      <c r="F38" s="6" t="n"/>
      <c r="G38" s="6" t="n"/>
      <c r="H38" s="6" t="n"/>
      <c r="I38" s="6" t="n"/>
      <c r="J38" s="6" t="n"/>
      <c r="K38" s="6" t="n"/>
      <c r="L38" s="6" t="inlineStr">
        <is>
          <t>R</t>
        </is>
      </c>
      <c r="M38" s="6" t="inlineStr">
        <is>
          <t>A_SURVEILLER</t>
        </is>
      </c>
      <c r="N38" s="6" t="inlineStr">
        <is>
          <t>A_SURVEILLER</t>
        </is>
      </c>
      <c r="O38" s="6" t="inlineStr">
        <is>
          <t>ADMETTRE_PILOTE</t>
        </is>
      </c>
      <c r="P38" s="6" t="inlineStr">
        <is>
          <t>08/09/2026</t>
        </is>
      </c>
      <c r="Q38" s="6" t="inlineStr">
        <is>
          <t>Clarté360 — revue méthodologique</t>
        </is>
      </c>
      <c r="R38" s="6" t="inlineStr">
        <is>
          <t>Qualification théorique avant pilote ; décision empirique à confirmer après collecte.</t>
        </is>
      </c>
    </row>
    <row r="39" ht="100.8" customHeight="1" s="34">
      <c r="A39" s="13">
        <f>QUESTIONS!A39</f>
        <v/>
      </c>
      <c r="B39" s="13">
        <f>QUESTIONS!B39</f>
        <v/>
      </c>
      <c r="C39" s="13">
        <f>QUESTIONS!H39</f>
        <v/>
      </c>
      <c r="D39" s="13">
        <f>QUESTIONS!I39</f>
        <v/>
      </c>
      <c r="E39" s="13">
        <f>QUESTIONS!AJ39</f>
        <v/>
      </c>
      <c r="F39" s="6" t="n"/>
      <c r="G39" s="6" t="n"/>
      <c r="H39" s="6" t="n"/>
      <c r="I39" s="6" t="n"/>
      <c r="J39" s="6" t="n"/>
      <c r="K39" s="6" t="n"/>
      <c r="L39" s="6" t="inlineStr">
        <is>
          <t>R</t>
        </is>
      </c>
      <c r="M39" s="6" t="inlineStr">
        <is>
          <t>A_SURVEILLER</t>
        </is>
      </c>
      <c r="N39" s="6" t="inlineStr">
        <is>
          <t>A_SURVEILLER</t>
        </is>
      </c>
      <c r="O39" s="6" t="inlineStr">
        <is>
          <t>ADMETTRE_PILOTE</t>
        </is>
      </c>
      <c r="P39" s="6" t="inlineStr">
        <is>
          <t>08/09/2026</t>
        </is>
      </c>
      <c r="Q39" s="6" t="inlineStr">
        <is>
          <t>Clarté360 — revue méthodologique</t>
        </is>
      </c>
      <c r="R39" s="6" t="inlineStr">
        <is>
          <t>Qualification théorique avant pilote ; décision empirique à confirmer après collecte.</t>
        </is>
      </c>
    </row>
    <row r="40" ht="100.8" customHeight="1" s="34">
      <c r="A40" s="13">
        <f>QUESTIONS!A40</f>
        <v/>
      </c>
      <c r="B40" s="13">
        <f>QUESTIONS!B40</f>
        <v/>
      </c>
      <c r="C40" s="13">
        <f>QUESTIONS!H40</f>
        <v/>
      </c>
      <c r="D40" s="13">
        <f>QUESTIONS!I40</f>
        <v/>
      </c>
      <c r="E40" s="13">
        <f>QUESTIONS!AJ40</f>
        <v/>
      </c>
      <c r="F40" s="6" t="n"/>
      <c r="G40" s="6" t="n"/>
      <c r="H40" s="6" t="n"/>
      <c r="I40" s="6" t="n"/>
      <c r="J40" s="6" t="n"/>
      <c r="K40" s="6" t="n"/>
      <c r="L40" s="6" t="inlineStr">
        <is>
          <t>R</t>
        </is>
      </c>
      <c r="M40" s="6" t="inlineStr">
        <is>
          <t>A_SURVEILLER</t>
        </is>
      </c>
      <c r="N40" s="6" t="inlineStr">
        <is>
          <t>A_SURVEILLER</t>
        </is>
      </c>
      <c r="O40" s="6" t="inlineStr">
        <is>
          <t>ADMETTRE_PILOTE</t>
        </is>
      </c>
      <c r="P40" s="6" t="inlineStr">
        <is>
          <t>08/09/2026</t>
        </is>
      </c>
      <c r="Q40" s="6" t="inlineStr">
        <is>
          <t>Clarté360 — revue méthodologique</t>
        </is>
      </c>
      <c r="R40" s="6" t="inlineStr">
        <is>
          <t>Qualification théorique avant pilote ; décision empirique à confirmer après collecte.</t>
        </is>
      </c>
    </row>
    <row r="41" ht="100.8" customHeight="1" s="34">
      <c r="A41" s="13">
        <f>QUESTIONS!A41</f>
        <v/>
      </c>
      <c r="B41" s="13">
        <f>QUESTIONS!B41</f>
        <v/>
      </c>
      <c r="C41" s="13">
        <f>QUESTIONS!H41</f>
        <v/>
      </c>
      <c r="D41" s="13">
        <f>QUESTIONS!I41</f>
        <v/>
      </c>
      <c r="E41" s="13">
        <f>QUESTIONS!AJ41</f>
        <v/>
      </c>
      <c r="F41" s="6" t="n"/>
      <c r="G41" s="6" t="n"/>
      <c r="H41" s="6" t="n"/>
      <c r="I41" s="6" t="n"/>
      <c r="J41" s="6" t="n"/>
      <c r="K41" s="6" t="n"/>
      <c r="L41" s="6" t="inlineStr">
        <is>
          <t>R</t>
        </is>
      </c>
      <c r="M41" s="6" t="inlineStr">
        <is>
          <t>A_SURVEILLER</t>
        </is>
      </c>
      <c r="N41" s="6" t="inlineStr">
        <is>
          <t>A_SURVEILLER</t>
        </is>
      </c>
      <c r="O41" s="6" t="inlineStr">
        <is>
          <t>ADMETTRE_PILOTE</t>
        </is>
      </c>
      <c r="P41" s="6" t="inlineStr">
        <is>
          <t>08/09/2026</t>
        </is>
      </c>
      <c r="Q41" s="6" t="inlineStr">
        <is>
          <t>Clarté360 — revue méthodologique</t>
        </is>
      </c>
      <c r="R41" s="6" t="inlineStr">
        <is>
          <t>Qualification théorique avant pilote ; décision empirique à confirmer après collecte.</t>
        </is>
      </c>
    </row>
    <row r="42" ht="100.8" customHeight="1" s="34">
      <c r="A42" s="13">
        <f>QUESTIONS!A42</f>
        <v/>
      </c>
      <c r="B42" s="13">
        <f>QUESTIONS!B42</f>
        <v/>
      </c>
      <c r="C42" s="13">
        <f>QUESTIONS!H42</f>
        <v/>
      </c>
      <c r="D42" s="13">
        <f>QUESTIONS!I42</f>
        <v/>
      </c>
      <c r="E42" s="13">
        <f>QUESTIONS!AJ42</f>
        <v/>
      </c>
      <c r="F42" s="6" t="n"/>
      <c r="G42" s="6" t="n"/>
      <c r="H42" s="6" t="n"/>
      <c r="I42" s="6" t="n"/>
      <c r="J42" s="6" t="n"/>
      <c r="K42" s="6" t="n"/>
      <c r="L42" s="6" t="inlineStr">
        <is>
          <t>R</t>
        </is>
      </c>
      <c r="M42" s="6" t="inlineStr">
        <is>
          <t>A_SURVEILLER</t>
        </is>
      </c>
      <c r="N42" s="6" t="inlineStr">
        <is>
          <t>A_SURVEILLER</t>
        </is>
      </c>
      <c r="O42" s="6" t="inlineStr">
        <is>
          <t>ADMETTRE_PILOTE</t>
        </is>
      </c>
      <c r="P42" s="6" t="inlineStr">
        <is>
          <t>08/09/2026</t>
        </is>
      </c>
      <c r="Q42" s="6" t="inlineStr">
        <is>
          <t>Clarté360 — revue méthodologique</t>
        </is>
      </c>
      <c r="R42" s="6" t="inlineStr">
        <is>
          <t>Qualification théorique avant pilote ; décision empirique à confirmer après collecte.</t>
        </is>
      </c>
    </row>
    <row r="43" ht="100.8" customHeight="1" s="34">
      <c r="A43" s="13">
        <f>QUESTIONS!A43</f>
        <v/>
      </c>
      <c r="B43" s="13">
        <f>QUESTIONS!B43</f>
        <v/>
      </c>
      <c r="C43" s="13">
        <f>QUESTIONS!H43</f>
        <v/>
      </c>
      <c r="D43" s="13">
        <f>QUESTIONS!I43</f>
        <v/>
      </c>
      <c r="E43" s="13">
        <f>QUESTIONS!AJ43</f>
        <v/>
      </c>
      <c r="F43" s="6" t="n"/>
      <c r="G43" s="6" t="n"/>
      <c r="H43" s="6" t="n"/>
      <c r="I43" s="6" t="n"/>
      <c r="J43" s="6" t="n"/>
      <c r="K43" s="6" t="n"/>
      <c r="L43" s="6" t="inlineStr">
        <is>
          <t>R</t>
        </is>
      </c>
      <c r="M43" s="6" t="inlineStr">
        <is>
          <t>A_SURVEILLER</t>
        </is>
      </c>
      <c r="N43" s="6" t="inlineStr">
        <is>
          <t>A_SURVEILLER</t>
        </is>
      </c>
      <c r="O43" s="6" t="inlineStr">
        <is>
          <t>ADMETTRE_PILOTE</t>
        </is>
      </c>
      <c r="P43" s="6" t="inlineStr">
        <is>
          <t>08/09/2026</t>
        </is>
      </c>
      <c r="Q43" s="6" t="inlineStr">
        <is>
          <t>Clarté360 — revue méthodologique</t>
        </is>
      </c>
      <c r="R43" s="6" t="inlineStr">
        <is>
          <t>Qualification théorique avant pilote ; décision empirique à confirmer après collecte.</t>
        </is>
      </c>
    </row>
    <row r="44" ht="100.8" customHeight="1" s="34">
      <c r="A44" s="13">
        <f>QUESTIONS!A44</f>
        <v/>
      </c>
      <c r="B44" s="13">
        <f>QUESTIONS!B44</f>
        <v/>
      </c>
      <c r="C44" s="13">
        <f>QUESTIONS!H44</f>
        <v/>
      </c>
      <c r="D44" s="13">
        <f>QUESTIONS!I44</f>
        <v/>
      </c>
      <c r="E44" s="13">
        <f>QUESTIONS!AJ44</f>
        <v/>
      </c>
      <c r="F44" s="6" t="n"/>
      <c r="G44" s="6" t="n"/>
      <c r="H44" s="6" t="n"/>
      <c r="I44" s="6" t="n"/>
      <c r="J44" s="6" t="n"/>
      <c r="K44" s="6" t="n"/>
      <c r="L44" s="6" t="inlineStr">
        <is>
          <t>R</t>
        </is>
      </c>
      <c r="M44" s="6" t="inlineStr">
        <is>
          <t>A_SURVEILLER</t>
        </is>
      </c>
      <c r="N44" s="6" t="inlineStr">
        <is>
          <t>A_SURVEILLER</t>
        </is>
      </c>
      <c r="O44" s="6" t="inlineStr">
        <is>
          <t>ADMETTRE_PILOTE</t>
        </is>
      </c>
      <c r="P44" s="6" t="inlineStr">
        <is>
          <t>08/09/2026</t>
        </is>
      </c>
      <c r="Q44" s="6" t="inlineStr">
        <is>
          <t>Clarté360 — revue méthodologique</t>
        </is>
      </c>
      <c r="R44" s="6" t="inlineStr">
        <is>
          <t>Qualification théorique avant pilote ; décision empirique à confirmer après collecte.</t>
        </is>
      </c>
    </row>
    <row r="45" ht="100.8" customHeight="1" s="34">
      <c r="A45" s="13">
        <f>QUESTIONS!A45</f>
        <v/>
      </c>
      <c r="B45" s="13">
        <f>QUESTIONS!B45</f>
        <v/>
      </c>
      <c r="C45" s="13">
        <f>QUESTIONS!H45</f>
        <v/>
      </c>
      <c r="D45" s="13">
        <f>QUESTIONS!I45</f>
        <v/>
      </c>
      <c r="E45" s="13">
        <f>QUESTIONS!AJ45</f>
        <v/>
      </c>
      <c r="F45" s="6" t="n"/>
      <c r="G45" s="6" t="n"/>
      <c r="H45" s="6" t="n"/>
      <c r="I45" s="6" t="n"/>
      <c r="J45" s="6" t="n"/>
      <c r="K45" s="6" t="n"/>
      <c r="L45" s="6" t="inlineStr">
        <is>
          <t>I,E</t>
        </is>
      </c>
      <c r="M45" s="6" t="inlineStr">
        <is>
          <t>A_SURVEILLER</t>
        </is>
      </c>
      <c r="N45" s="6" t="inlineStr">
        <is>
          <t>A_SURVEILLER</t>
        </is>
      </c>
      <c r="O45" s="6" t="inlineStr">
        <is>
          <t>ADMETTRE_PILOTE</t>
        </is>
      </c>
      <c r="P45" s="6" t="inlineStr">
        <is>
          <t>08/09/2026</t>
        </is>
      </c>
      <c r="Q45" s="6" t="inlineStr">
        <is>
          <t>Clarté360 — revue méthodologique</t>
        </is>
      </c>
      <c r="R45" s="6" t="inlineStr">
        <is>
          <t>Qualification théorique avant pilote ; décision empirique à confirmer après collecte.</t>
        </is>
      </c>
    </row>
    <row r="46" ht="100.8" customHeight="1" s="34">
      <c r="A46" s="13">
        <f>QUESTIONS!A46</f>
        <v/>
      </c>
      <c r="B46" s="13">
        <f>QUESTIONS!B46</f>
        <v/>
      </c>
      <c r="C46" s="13">
        <f>QUESTIONS!H46</f>
        <v/>
      </c>
      <c r="D46" s="13">
        <f>QUESTIONS!I46</f>
        <v/>
      </c>
      <c r="E46" s="13">
        <f>QUESTIONS!AJ46</f>
        <v/>
      </c>
      <c r="F46" s="6" t="n"/>
      <c r="G46" s="6" t="n"/>
      <c r="H46" s="6" t="n"/>
      <c r="I46" s="6" t="n"/>
      <c r="J46" s="6" t="n"/>
      <c r="K46" s="6" t="n"/>
      <c r="L46" s="6" t="inlineStr">
        <is>
          <t>I,E</t>
        </is>
      </c>
      <c r="M46" s="6" t="inlineStr">
        <is>
          <t>A_SURVEILLER</t>
        </is>
      </c>
      <c r="N46" s="6" t="inlineStr">
        <is>
          <t>A_SURVEILLER</t>
        </is>
      </c>
      <c r="O46" s="6" t="inlineStr">
        <is>
          <t>ADMETTRE_PILOTE</t>
        </is>
      </c>
      <c r="P46" s="6" t="inlineStr">
        <is>
          <t>08/09/2026</t>
        </is>
      </c>
      <c r="Q46" s="6" t="inlineStr">
        <is>
          <t>Clarté360 — revue méthodologique</t>
        </is>
      </c>
      <c r="R46" s="6" t="inlineStr">
        <is>
          <t>Qualification théorique avant pilote ; décision empirique à confirmer après collecte.</t>
        </is>
      </c>
    </row>
    <row r="47" ht="100.8" customHeight="1" s="34">
      <c r="A47" s="13">
        <f>QUESTIONS!A47</f>
        <v/>
      </c>
      <c r="B47" s="13">
        <f>QUESTIONS!B47</f>
        <v/>
      </c>
      <c r="C47" s="13">
        <f>QUESTIONS!H47</f>
        <v/>
      </c>
      <c r="D47" s="13">
        <f>QUESTIONS!I47</f>
        <v/>
      </c>
      <c r="E47" s="13">
        <f>QUESTIONS!AJ47</f>
        <v/>
      </c>
      <c r="F47" s="6" t="n"/>
      <c r="G47" s="6" t="n"/>
      <c r="H47" s="6" t="n"/>
      <c r="I47" s="6" t="n"/>
      <c r="J47" s="6" t="n"/>
      <c r="K47" s="6" t="n"/>
      <c r="L47" s="6" t="inlineStr">
        <is>
          <t>I,E</t>
        </is>
      </c>
      <c r="M47" s="6" t="inlineStr">
        <is>
          <t>A_SURVEILLER</t>
        </is>
      </c>
      <c r="N47" s="6" t="inlineStr">
        <is>
          <t>A_SURVEILLER</t>
        </is>
      </c>
      <c r="O47" s="6" t="inlineStr">
        <is>
          <t>ADMETTRE_PILOTE</t>
        </is>
      </c>
      <c r="P47" s="6" t="inlineStr">
        <is>
          <t>08/09/2026</t>
        </is>
      </c>
      <c r="Q47" s="6" t="inlineStr">
        <is>
          <t>Clarté360 — revue méthodologique</t>
        </is>
      </c>
      <c r="R47" s="6" t="inlineStr">
        <is>
          <t>Qualification théorique avant pilote ; décision empirique à confirmer après collecte.</t>
        </is>
      </c>
    </row>
    <row r="48" ht="100.8" customHeight="1" s="34">
      <c r="A48" s="13">
        <f>QUESTIONS!A48</f>
        <v/>
      </c>
      <c r="B48" s="13">
        <f>QUESTIONS!B48</f>
        <v/>
      </c>
      <c r="C48" s="13">
        <f>QUESTIONS!H48</f>
        <v/>
      </c>
      <c r="D48" s="13">
        <f>QUESTIONS!I48</f>
        <v/>
      </c>
      <c r="E48" s="13">
        <f>QUESTIONS!AJ48</f>
        <v/>
      </c>
      <c r="F48" s="6" t="n"/>
      <c r="G48" s="6" t="n"/>
      <c r="H48" s="6" t="n"/>
      <c r="I48" s="6" t="n"/>
      <c r="J48" s="6" t="n"/>
      <c r="K48" s="6" t="n"/>
      <c r="L48" s="6" t="inlineStr">
        <is>
          <t>I,E</t>
        </is>
      </c>
      <c r="M48" s="6" t="inlineStr">
        <is>
          <t>A_SURVEILLER</t>
        </is>
      </c>
      <c r="N48" s="6" t="inlineStr">
        <is>
          <t>A_SURVEILLER</t>
        </is>
      </c>
      <c r="O48" s="6" t="inlineStr">
        <is>
          <t>ADMETTRE_PILOTE</t>
        </is>
      </c>
      <c r="P48" s="6" t="inlineStr">
        <is>
          <t>08/09/2026</t>
        </is>
      </c>
      <c r="Q48" s="6" t="inlineStr">
        <is>
          <t>Clarté360 — revue méthodologique</t>
        </is>
      </c>
      <c r="R48" s="6" t="inlineStr">
        <is>
          <t>Qualification théorique avant pilote ; décision empirique à confirmer après collecte.</t>
        </is>
      </c>
    </row>
    <row r="49" ht="100.8" customHeight="1" s="34">
      <c r="A49" s="13">
        <f>QUESTIONS!A49</f>
        <v/>
      </c>
      <c r="B49" s="13">
        <f>QUESTIONS!B49</f>
        <v/>
      </c>
      <c r="C49" s="13">
        <f>QUESTIONS!H49</f>
        <v/>
      </c>
      <c r="D49" s="13">
        <f>QUESTIONS!I49</f>
        <v/>
      </c>
      <c r="E49" s="13">
        <f>QUESTIONS!AJ49</f>
        <v/>
      </c>
      <c r="F49" s="6" t="n"/>
      <c r="G49" s="6" t="n"/>
      <c r="H49" s="6" t="n"/>
      <c r="I49" s="6" t="n"/>
      <c r="J49" s="6" t="n"/>
      <c r="K49" s="6" t="n"/>
      <c r="L49" s="6" t="inlineStr">
        <is>
          <t>R</t>
        </is>
      </c>
      <c r="M49" s="6" t="inlineStr">
        <is>
          <t>A_SURVEILLER</t>
        </is>
      </c>
      <c r="N49" s="6" t="inlineStr">
        <is>
          <t>A_SURVEILLER</t>
        </is>
      </c>
      <c r="O49" s="6" t="inlineStr">
        <is>
          <t>ADMETTRE_PILOTE</t>
        </is>
      </c>
      <c r="P49" s="6" t="inlineStr">
        <is>
          <t>08/09/2026</t>
        </is>
      </c>
      <c r="Q49" s="6" t="inlineStr">
        <is>
          <t>Clarté360 — revue méthodologique</t>
        </is>
      </c>
      <c r="R49" s="6" t="inlineStr">
        <is>
          <t>Qualification théorique avant pilote ; décision empirique à confirmer après collecte.</t>
        </is>
      </c>
    </row>
    <row r="50" ht="100.8" customHeight="1" s="34">
      <c r="A50" s="13">
        <f>QUESTIONS!A50</f>
        <v/>
      </c>
      <c r="B50" s="13">
        <f>QUESTIONS!B50</f>
        <v/>
      </c>
      <c r="C50" s="13">
        <f>QUESTIONS!H50</f>
        <v/>
      </c>
      <c r="D50" s="13">
        <f>QUESTIONS!I50</f>
        <v/>
      </c>
      <c r="E50" s="13">
        <f>QUESTIONS!AJ50</f>
        <v/>
      </c>
      <c r="F50" s="6" t="n"/>
      <c r="G50" s="6" t="n"/>
      <c r="H50" s="6" t="n"/>
      <c r="I50" s="6" t="n"/>
      <c r="J50" s="6" t="n"/>
      <c r="K50" s="6" t="n"/>
      <c r="L50" s="6" t="inlineStr">
        <is>
          <t>R</t>
        </is>
      </c>
      <c r="M50" s="6" t="inlineStr">
        <is>
          <t>A_SURVEILLER</t>
        </is>
      </c>
      <c r="N50" s="6" t="inlineStr">
        <is>
          <t>A_SURVEILLER</t>
        </is>
      </c>
      <c r="O50" s="6" t="inlineStr">
        <is>
          <t>ADMETTRE_PILOTE</t>
        </is>
      </c>
      <c r="P50" s="6" t="inlineStr">
        <is>
          <t>08/09/2026</t>
        </is>
      </c>
      <c r="Q50" s="6" t="inlineStr">
        <is>
          <t>Clarté360 — revue méthodologique</t>
        </is>
      </c>
      <c r="R50" s="6" t="inlineStr">
        <is>
          <t>Qualification théorique avant pilote ; décision empirique à confirmer après collecte.</t>
        </is>
      </c>
    </row>
    <row r="51" ht="100.8" customHeight="1" s="34">
      <c r="A51" s="13">
        <f>QUESTIONS!A51</f>
        <v/>
      </c>
      <c r="B51" s="13">
        <f>QUESTIONS!B51</f>
        <v/>
      </c>
      <c r="C51" s="13">
        <f>QUESTIONS!H51</f>
        <v/>
      </c>
      <c r="D51" s="13">
        <f>QUESTIONS!I51</f>
        <v/>
      </c>
      <c r="E51" s="13">
        <f>QUESTIONS!AJ51</f>
        <v/>
      </c>
      <c r="F51" s="6" t="n"/>
      <c r="G51" s="6" t="n"/>
      <c r="H51" s="6" t="n"/>
      <c r="I51" s="6" t="n"/>
      <c r="J51" s="6" t="n"/>
      <c r="K51" s="6" t="n"/>
      <c r="L51" s="6" t="inlineStr">
        <is>
          <t>R</t>
        </is>
      </c>
      <c r="M51" s="6" t="inlineStr">
        <is>
          <t>A_SURVEILLER</t>
        </is>
      </c>
      <c r="N51" s="6" t="inlineStr">
        <is>
          <t>A_SURVEILLER</t>
        </is>
      </c>
      <c r="O51" s="6" t="inlineStr">
        <is>
          <t>ADMETTRE_PILOTE</t>
        </is>
      </c>
      <c r="P51" s="6" t="inlineStr">
        <is>
          <t>08/09/2026</t>
        </is>
      </c>
      <c r="Q51" s="6" t="inlineStr">
        <is>
          <t>Clarté360 — revue méthodologique</t>
        </is>
      </c>
      <c r="R51" s="6" t="inlineStr">
        <is>
          <t>Qualification théorique avant pilote ; décision empirique à confirmer après collecte.</t>
        </is>
      </c>
    </row>
    <row r="52" ht="100.8" customHeight="1" s="34">
      <c r="A52" s="13">
        <f>QUESTIONS!A52</f>
        <v/>
      </c>
      <c r="B52" s="13">
        <f>QUESTIONS!B52</f>
        <v/>
      </c>
      <c r="C52" s="13">
        <f>QUESTIONS!H52</f>
        <v/>
      </c>
      <c r="D52" s="13">
        <f>QUESTIONS!I52</f>
        <v/>
      </c>
      <c r="E52" s="13">
        <f>QUESTIONS!AJ52</f>
        <v/>
      </c>
      <c r="F52" s="6" t="n"/>
      <c r="G52" s="6" t="n"/>
      <c r="H52" s="6" t="n"/>
      <c r="I52" s="6" t="n"/>
      <c r="J52" s="6" t="n"/>
      <c r="K52" s="6" t="n"/>
      <c r="L52" s="6" t="inlineStr">
        <is>
          <t>R</t>
        </is>
      </c>
      <c r="M52" s="6" t="inlineStr">
        <is>
          <t>A_SURVEILLER</t>
        </is>
      </c>
      <c r="N52" s="6" t="inlineStr">
        <is>
          <t>A_SURVEILLER</t>
        </is>
      </c>
      <c r="O52" s="6" t="inlineStr">
        <is>
          <t>ADMETTRE_PILOTE</t>
        </is>
      </c>
      <c r="P52" s="6" t="inlineStr">
        <is>
          <t>08/09/2026</t>
        </is>
      </c>
      <c r="Q52" s="6" t="inlineStr">
        <is>
          <t>Clarté360 — revue méthodologique</t>
        </is>
      </c>
      <c r="R52" s="6" t="inlineStr">
        <is>
          <t>Qualification théorique avant pilote ; décision empirique à confirmer après collecte.</t>
        </is>
      </c>
    </row>
    <row r="53" ht="100.8" customHeight="1" s="34">
      <c r="A53" s="13">
        <f>QUESTIONS!A53</f>
        <v/>
      </c>
      <c r="B53" s="13">
        <f>QUESTIONS!B53</f>
        <v/>
      </c>
      <c r="C53" s="13">
        <f>QUESTIONS!H53</f>
        <v/>
      </c>
      <c r="D53" s="13">
        <f>QUESTIONS!I53</f>
        <v/>
      </c>
      <c r="E53" s="13">
        <f>QUESTIONS!AJ53</f>
        <v/>
      </c>
      <c r="F53" s="6" t="n"/>
      <c r="G53" s="6" t="n"/>
      <c r="H53" s="6" t="n"/>
      <c r="I53" s="6" t="n"/>
      <c r="J53" s="6" t="n"/>
      <c r="K53" s="6" t="n"/>
      <c r="L53" s="6" t="inlineStr">
        <is>
          <t>S,E</t>
        </is>
      </c>
      <c r="M53" s="6" t="inlineStr">
        <is>
          <t>A_SURVEILLER</t>
        </is>
      </c>
      <c r="N53" s="6" t="inlineStr">
        <is>
          <t>A_SURVEILLER</t>
        </is>
      </c>
      <c r="O53" s="6" t="inlineStr">
        <is>
          <t>ADMETTRE_PILOTE</t>
        </is>
      </c>
      <c r="P53" s="6" t="inlineStr">
        <is>
          <t>08/09/2026</t>
        </is>
      </c>
      <c r="Q53" s="6" t="inlineStr">
        <is>
          <t>Clarté360 — revue méthodologique</t>
        </is>
      </c>
      <c r="R53" s="6" t="inlineStr">
        <is>
          <t>Qualification théorique avant pilote ; décision empirique à confirmer après collecte.</t>
        </is>
      </c>
    </row>
    <row r="54" ht="100.8" customHeight="1" s="34">
      <c r="A54" s="13">
        <f>QUESTIONS!A54</f>
        <v/>
      </c>
      <c r="B54" s="13">
        <f>QUESTIONS!B54</f>
        <v/>
      </c>
      <c r="C54" s="13">
        <f>QUESTIONS!H54</f>
        <v/>
      </c>
      <c r="D54" s="13">
        <f>QUESTIONS!I54</f>
        <v/>
      </c>
      <c r="E54" s="13">
        <f>QUESTIONS!AJ54</f>
        <v/>
      </c>
      <c r="F54" s="6" t="n"/>
      <c r="G54" s="6" t="n"/>
      <c r="H54" s="6" t="n"/>
      <c r="I54" s="6" t="n"/>
      <c r="J54" s="6" t="n"/>
      <c r="K54" s="6" t="n"/>
      <c r="L54" s="6" t="inlineStr">
        <is>
          <t>S,E</t>
        </is>
      </c>
      <c r="M54" s="6" t="inlineStr">
        <is>
          <t>A_SURVEILLER</t>
        </is>
      </c>
      <c r="N54" s="6" t="inlineStr">
        <is>
          <t>A_SURVEILLER</t>
        </is>
      </c>
      <c r="O54" s="6" t="inlineStr">
        <is>
          <t>ADMETTRE_PILOTE</t>
        </is>
      </c>
      <c r="P54" s="6" t="inlineStr">
        <is>
          <t>08/09/2026</t>
        </is>
      </c>
      <c r="Q54" s="6" t="inlineStr">
        <is>
          <t>Clarté360 — revue méthodologique</t>
        </is>
      </c>
      <c r="R54" s="6" t="inlineStr">
        <is>
          <t>Qualification théorique avant pilote ; décision empirique à confirmer après collecte.</t>
        </is>
      </c>
    </row>
    <row r="55" ht="100.8" customHeight="1" s="34">
      <c r="A55" s="13">
        <f>QUESTIONS!A55</f>
        <v/>
      </c>
      <c r="B55" s="13">
        <f>QUESTIONS!B55</f>
        <v/>
      </c>
      <c r="C55" s="13">
        <f>QUESTIONS!H55</f>
        <v/>
      </c>
      <c r="D55" s="13">
        <f>QUESTIONS!I55</f>
        <v/>
      </c>
      <c r="E55" s="13">
        <f>QUESTIONS!AJ55</f>
        <v/>
      </c>
      <c r="F55" s="6" t="n"/>
      <c r="G55" s="6" t="n"/>
      <c r="H55" s="6" t="n"/>
      <c r="I55" s="6" t="n"/>
      <c r="J55" s="6" t="n"/>
      <c r="K55" s="6" t="n"/>
      <c r="L55" s="6" t="inlineStr">
        <is>
          <t>S,E</t>
        </is>
      </c>
      <c r="M55" s="6" t="inlineStr">
        <is>
          <t>A_SURVEILLER</t>
        </is>
      </c>
      <c r="N55" s="6" t="inlineStr">
        <is>
          <t>A_SURVEILLER</t>
        </is>
      </c>
      <c r="O55" s="6" t="inlineStr">
        <is>
          <t>ADMETTRE_PILOTE</t>
        </is>
      </c>
      <c r="P55" s="6" t="inlineStr">
        <is>
          <t>08/09/2026</t>
        </is>
      </c>
      <c r="Q55" s="6" t="inlineStr">
        <is>
          <t>Clarté360 — revue méthodologique</t>
        </is>
      </c>
      <c r="R55" s="6" t="inlineStr">
        <is>
          <t>Qualification théorique avant pilote ; décision empirique à confirmer après collecte.</t>
        </is>
      </c>
    </row>
    <row r="56" ht="100.8" customHeight="1" s="34">
      <c r="A56" s="13">
        <f>QUESTIONS!A56</f>
        <v/>
      </c>
      <c r="B56" s="13">
        <f>QUESTIONS!B56</f>
        <v/>
      </c>
      <c r="C56" s="13">
        <f>QUESTIONS!H56</f>
        <v/>
      </c>
      <c r="D56" s="13">
        <f>QUESTIONS!I56</f>
        <v/>
      </c>
      <c r="E56" s="13">
        <f>QUESTIONS!AJ56</f>
        <v/>
      </c>
      <c r="F56" s="6" t="n"/>
      <c r="G56" s="6" t="n"/>
      <c r="H56" s="6" t="n"/>
      <c r="I56" s="6" t="n"/>
      <c r="J56" s="6" t="n"/>
      <c r="K56" s="6" t="n"/>
      <c r="L56" s="6" t="inlineStr">
        <is>
          <t>S,E</t>
        </is>
      </c>
      <c r="M56" s="6" t="inlineStr">
        <is>
          <t>A_SURVEILLER</t>
        </is>
      </c>
      <c r="N56" s="6" t="inlineStr">
        <is>
          <t>A_SURVEILLER</t>
        </is>
      </c>
      <c r="O56" s="6" t="inlineStr">
        <is>
          <t>ADMETTRE_PILOTE</t>
        </is>
      </c>
      <c r="P56" s="6" t="inlineStr">
        <is>
          <t>08/09/2026</t>
        </is>
      </c>
      <c r="Q56" s="6" t="inlineStr">
        <is>
          <t>Clarté360 — revue méthodologique</t>
        </is>
      </c>
      <c r="R56" s="6" t="inlineStr">
        <is>
          <t>Qualification théorique avant pilote ; décision empirique à confirmer après collecte.</t>
        </is>
      </c>
    </row>
    <row r="57" ht="100.8" customHeight="1" s="34">
      <c r="A57" s="13">
        <f>QUESTIONS!A57</f>
        <v/>
      </c>
      <c r="B57" s="13">
        <f>QUESTIONS!B57</f>
        <v/>
      </c>
      <c r="C57" s="13">
        <f>QUESTIONS!H57</f>
        <v/>
      </c>
      <c r="D57" s="13">
        <f>QUESTIONS!I57</f>
        <v/>
      </c>
      <c r="E57" s="13">
        <f>QUESTIONS!AJ57</f>
        <v/>
      </c>
      <c r="F57" s="6" t="n"/>
      <c r="G57" s="6" t="n"/>
      <c r="H57" s="6" t="n"/>
      <c r="I57" s="6" t="n"/>
      <c r="J57" s="6" t="n"/>
      <c r="K57" s="6" t="n"/>
      <c r="L57" s="6" t="inlineStr">
        <is>
          <t>R</t>
        </is>
      </c>
      <c r="M57" s="6" t="inlineStr">
        <is>
          <t>A_SURVEILLER</t>
        </is>
      </c>
      <c r="N57" s="6" t="inlineStr">
        <is>
          <t>A_SURVEILLER</t>
        </is>
      </c>
      <c r="O57" s="6" t="inlineStr">
        <is>
          <t>ADMETTRE_PILOTE</t>
        </is>
      </c>
      <c r="P57" s="6" t="inlineStr">
        <is>
          <t>08/09/2026</t>
        </is>
      </c>
      <c r="Q57" s="6" t="inlineStr">
        <is>
          <t>Clarté360 — revue méthodologique</t>
        </is>
      </c>
      <c r="R57" s="6" t="inlineStr">
        <is>
          <t>Qualification théorique avant pilote ; décision empirique à confirmer après collecte.</t>
        </is>
      </c>
    </row>
    <row r="58" ht="100.8" customHeight="1" s="34">
      <c r="A58" s="13">
        <f>QUESTIONS!A58</f>
        <v/>
      </c>
      <c r="B58" s="13">
        <f>QUESTIONS!B58</f>
        <v/>
      </c>
      <c r="C58" s="13">
        <f>QUESTIONS!H58</f>
        <v/>
      </c>
      <c r="D58" s="13">
        <f>QUESTIONS!I58</f>
        <v/>
      </c>
      <c r="E58" s="13">
        <f>QUESTIONS!AJ58</f>
        <v/>
      </c>
      <c r="F58" s="6" t="n"/>
      <c r="G58" s="6" t="n"/>
      <c r="H58" s="6" t="n"/>
      <c r="I58" s="6" t="n"/>
      <c r="J58" s="6" t="n"/>
      <c r="K58" s="6" t="n"/>
      <c r="L58" s="6" t="inlineStr">
        <is>
          <t>R</t>
        </is>
      </c>
      <c r="M58" s="6" t="inlineStr">
        <is>
          <t>A_SURVEILLER</t>
        </is>
      </c>
      <c r="N58" s="6" t="inlineStr">
        <is>
          <t>A_SURVEILLER</t>
        </is>
      </c>
      <c r="O58" s="6" t="inlineStr">
        <is>
          <t>ADMETTRE_PILOTE</t>
        </is>
      </c>
      <c r="P58" s="6" t="inlineStr">
        <is>
          <t>08/09/2026</t>
        </is>
      </c>
      <c r="Q58" s="6" t="inlineStr">
        <is>
          <t>Clarté360 — revue méthodologique</t>
        </is>
      </c>
      <c r="R58" s="6" t="inlineStr">
        <is>
          <t>Qualification théorique avant pilote ; décision empirique à confirmer après collecte.</t>
        </is>
      </c>
    </row>
    <row r="59" ht="100.8" customHeight="1" s="34">
      <c r="A59" s="13">
        <f>QUESTIONS!A59</f>
        <v/>
      </c>
      <c r="B59" s="13">
        <f>QUESTIONS!B59</f>
        <v/>
      </c>
      <c r="C59" s="13">
        <f>QUESTIONS!H59</f>
        <v/>
      </c>
      <c r="D59" s="13">
        <f>QUESTIONS!I59</f>
        <v/>
      </c>
      <c r="E59" s="13">
        <f>QUESTIONS!AJ59</f>
        <v/>
      </c>
      <c r="F59" s="6" t="n"/>
      <c r="G59" s="6" t="n"/>
      <c r="H59" s="6" t="n"/>
      <c r="I59" s="6" t="n"/>
      <c r="J59" s="6" t="n"/>
      <c r="K59" s="6" t="n"/>
      <c r="L59" s="6" t="inlineStr">
        <is>
          <t>R</t>
        </is>
      </c>
      <c r="M59" s="6" t="inlineStr">
        <is>
          <t>A_SURVEILLER</t>
        </is>
      </c>
      <c r="N59" s="6" t="inlineStr">
        <is>
          <t>A_SURVEILLER</t>
        </is>
      </c>
      <c r="O59" s="6" t="inlineStr">
        <is>
          <t>ADMETTRE_PILOTE</t>
        </is>
      </c>
      <c r="P59" s="6" t="inlineStr">
        <is>
          <t>08/09/2026</t>
        </is>
      </c>
      <c r="Q59" s="6" t="inlineStr">
        <is>
          <t>Clarté360 — revue méthodologique</t>
        </is>
      </c>
      <c r="R59" s="6" t="inlineStr">
        <is>
          <t>Qualification théorique avant pilote ; décision empirique à confirmer après collecte.</t>
        </is>
      </c>
    </row>
    <row r="60" ht="100.8" customHeight="1" s="34">
      <c r="A60" s="13">
        <f>QUESTIONS!A60</f>
        <v/>
      </c>
      <c r="B60" s="13">
        <f>QUESTIONS!B60</f>
        <v/>
      </c>
      <c r="C60" s="13">
        <f>QUESTIONS!H60</f>
        <v/>
      </c>
      <c r="D60" s="13">
        <f>QUESTIONS!I60</f>
        <v/>
      </c>
      <c r="E60" s="13">
        <f>QUESTIONS!AJ60</f>
        <v/>
      </c>
      <c r="F60" s="6" t="n"/>
      <c r="G60" s="6" t="n"/>
      <c r="H60" s="6" t="n"/>
      <c r="I60" s="6" t="n"/>
      <c r="J60" s="6" t="n"/>
      <c r="K60" s="6" t="n"/>
      <c r="L60" s="6" t="inlineStr">
        <is>
          <t>R</t>
        </is>
      </c>
      <c r="M60" s="6" t="inlineStr">
        <is>
          <t>A_SURVEILLER</t>
        </is>
      </c>
      <c r="N60" s="6" t="inlineStr">
        <is>
          <t>A_SURVEILLER</t>
        </is>
      </c>
      <c r="O60" s="6" t="inlineStr">
        <is>
          <t>ADMETTRE_PILOTE</t>
        </is>
      </c>
      <c r="P60" s="6" t="inlineStr">
        <is>
          <t>08/09/2026</t>
        </is>
      </c>
      <c r="Q60" s="6" t="inlineStr">
        <is>
          <t>Clarté360 — revue méthodologique</t>
        </is>
      </c>
      <c r="R60" s="6" t="inlineStr">
        <is>
          <t>Qualification théorique avant pilote ; décision empirique à confirmer après collecte.</t>
        </is>
      </c>
    </row>
    <row r="61" ht="100.8" customHeight="1" s="34">
      <c r="A61" s="13">
        <f>QUESTIONS!A61</f>
        <v/>
      </c>
      <c r="B61" s="13">
        <f>QUESTIONS!B61</f>
        <v/>
      </c>
      <c r="C61" s="13">
        <f>QUESTIONS!H61</f>
        <v/>
      </c>
      <c r="D61" s="13">
        <f>QUESTIONS!I61</f>
        <v/>
      </c>
      <c r="E61" s="13">
        <f>QUESTIONS!AJ61</f>
        <v/>
      </c>
      <c r="F61" s="6" t="n"/>
      <c r="G61" s="6" t="n"/>
      <c r="H61" s="6" t="n"/>
      <c r="I61" s="6" t="n"/>
      <c r="J61" s="6" t="n"/>
      <c r="K61" s="6" t="n"/>
      <c r="L61" s="6" t="inlineStr">
        <is>
          <t>I,E</t>
        </is>
      </c>
      <c r="M61" s="6" t="inlineStr">
        <is>
          <t>A_SURVEILLER</t>
        </is>
      </c>
      <c r="N61" s="6" t="inlineStr">
        <is>
          <t>A_SURVEILLER</t>
        </is>
      </c>
      <c r="O61" s="6" t="inlineStr">
        <is>
          <t>ADMETTRE_PILOTE</t>
        </is>
      </c>
      <c r="P61" s="6" t="inlineStr">
        <is>
          <t>08/09/2026</t>
        </is>
      </c>
      <c r="Q61" s="6" t="inlineStr">
        <is>
          <t>Clarté360 — revue méthodologique</t>
        </is>
      </c>
      <c r="R61" s="6" t="inlineStr">
        <is>
          <t>Qualification théorique avant pilote ; décision empirique à confirmer après collecte.</t>
        </is>
      </c>
    </row>
    <row r="62" ht="100.8" customHeight="1" s="34">
      <c r="A62" s="13">
        <f>QUESTIONS!A62</f>
        <v/>
      </c>
      <c r="B62" s="13">
        <f>QUESTIONS!B62</f>
        <v/>
      </c>
      <c r="C62" s="13">
        <f>QUESTIONS!H62</f>
        <v/>
      </c>
      <c r="D62" s="13">
        <f>QUESTIONS!I62</f>
        <v/>
      </c>
      <c r="E62" s="13">
        <f>QUESTIONS!AJ62</f>
        <v/>
      </c>
      <c r="F62" s="6" t="n"/>
      <c r="G62" s="6" t="n"/>
      <c r="H62" s="6" t="n"/>
      <c r="I62" s="6" t="n"/>
      <c r="J62" s="6" t="n"/>
      <c r="K62" s="6" t="n"/>
      <c r="L62" s="6" t="inlineStr">
        <is>
          <t>I,E</t>
        </is>
      </c>
      <c r="M62" s="6" t="inlineStr">
        <is>
          <t>A_SURVEILLER</t>
        </is>
      </c>
      <c r="N62" s="6" t="inlineStr">
        <is>
          <t>A_SURVEILLER</t>
        </is>
      </c>
      <c r="O62" s="6" t="inlineStr">
        <is>
          <t>ADMETTRE_PILOTE</t>
        </is>
      </c>
      <c r="P62" s="6" t="inlineStr">
        <is>
          <t>08/09/2026</t>
        </is>
      </c>
      <c r="Q62" s="6" t="inlineStr">
        <is>
          <t>Clarté360 — revue méthodologique</t>
        </is>
      </c>
      <c r="R62" s="6" t="inlineStr">
        <is>
          <t>Qualification théorique avant pilote ; décision empirique à confirmer après collecte.</t>
        </is>
      </c>
    </row>
    <row r="63" ht="100.8" customHeight="1" s="34">
      <c r="A63" s="13">
        <f>QUESTIONS!A63</f>
        <v/>
      </c>
      <c r="B63" s="13">
        <f>QUESTIONS!B63</f>
        <v/>
      </c>
      <c r="C63" s="13">
        <f>QUESTIONS!H63</f>
        <v/>
      </c>
      <c r="D63" s="13">
        <f>QUESTIONS!I63</f>
        <v/>
      </c>
      <c r="E63" s="13">
        <f>QUESTIONS!AJ63</f>
        <v/>
      </c>
      <c r="F63" s="6" t="n"/>
      <c r="G63" s="6" t="n"/>
      <c r="H63" s="6" t="n"/>
      <c r="I63" s="6" t="n"/>
      <c r="J63" s="6" t="n"/>
      <c r="K63" s="6" t="n"/>
      <c r="L63" s="6" t="inlineStr">
        <is>
          <t>I,E</t>
        </is>
      </c>
      <c r="M63" s="6" t="inlineStr">
        <is>
          <t>A_SURVEILLER</t>
        </is>
      </c>
      <c r="N63" s="6" t="inlineStr">
        <is>
          <t>A_SURVEILLER</t>
        </is>
      </c>
      <c r="O63" s="6" t="inlineStr">
        <is>
          <t>ADMETTRE_PILOTE</t>
        </is>
      </c>
      <c r="P63" s="6" t="inlineStr">
        <is>
          <t>08/09/2026</t>
        </is>
      </c>
      <c r="Q63" s="6" t="inlineStr">
        <is>
          <t>Clarté360 — revue méthodologique</t>
        </is>
      </c>
      <c r="R63" s="6" t="inlineStr">
        <is>
          <t>Qualification théorique avant pilote ; décision empirique à confirmer après collecte.</t>
        </is>
      </c>
    </row>
    <row r="64" ht="100.8" customHeight="1" s="34">
      <c r="A64" s="13">
        <f>QUESTIONS!A64</f>
        <v/>
      </c>
      <c r="B64" s="13">
        <f>QUESTIONS!B64</f>
        <v/>
      </c>
      <c r="C64" s="13">
        <f>QUESTIONS!H64</f>
        <v/>
      </c>
      <c r="D64" s="13">
        <f>QUESTIONS!I64</f>
        <v/>
      </c>
      <c r="E64" s="13">
        <f>QUESTIONS!AJ64</f>
        <v/>
      </c>
      <c r="F64" s="6" t="n"/>
      <c r="G64" s="6" t="n"/>
      <c r="H64" s="6" t="n"/>
      <c r="I64" s="6" t="n"/>
      <c r="J64" s="6" t="n"/>
      <c r="K64" s="6" t="n"/>
      <c r="L64" s="6" t="inlineStr">
        <is>
          <t>I,E</t>
        </is>
      </c>
      <c r="M64" s="6" t="inlineStr">
        <is>
          <t>A_SURVEILLER</t>
        </is>
      </c>
      <c r="N64" s="6" t="inlineStr">
        <is>
          <t>A_SURVEILLER</t>
        </is>
      </c>
      <c r="O64" s="6" t="inlineStr">
        <is>
          <t>ADMETTRE_PILOTE</t>
        </is>
      </c>
      <c r="P64" s="6" t="inlineStr">
        <is>
          <t>08/09/2026</t>
        </is>
      </c>
      <c r="Q64" s="6" t="inlineStr">
        <is>
          <t>Clarté360 — revue méthodologique</t>
        </is>
      </c>
      <c r="R64" s="6" t="inlineStr">
        <is>
          <t>Qualification théorique avant pilote ; décision empirique à confirmer après collecte.</t>
        </is>
      </c>
    </row>
    <row r="65" ht="100.8" customHeight="1" s="34">
      <c r="A65" s="13">
        <f>QUESTIONS!A65</f>
        <v/>
      </c>
      <c r="B65" s="13">
        <f>QUESTIONS!B65</f>
        <v/>
      </c>
      <c r="C65" s="13">
        <f>QUESTIONS!H65</f>
        <v/>
      </c>
      <c r="D65" s="13">
        <f>QUESTIONS!I65</f>
        <v/>
      </c>
      <c r="E65" s="13">
        <f>QUESTIONS!AJ65</f>
        <v/>
      </c>
      <c r="F65" s="6" t="n"/>
      <c r="G65" s="6" t="n"/>
      <c r="H65" s="6" t="n"/>
      <c r="I65" s="6" t="n"/>
      <c r="J65" s="6" t="n"/>
      <c r="K65" s="6" t="n"/>
      <c r="L65" s="6" t="inlineStr">
        <is>
          <t>I</t>
        </is>
      </c>
      <c r="M65" s="6" t="inlineStr">
        <is>
          <t>RAS_PRE_PILOTE</t>
        </is>
      </c>
      <c r="N65" s="6" t="inlineStr">
        <is>
          <t>A_SURVEILLER</t>
        </is>
      </c>
      <c r="O65" s="6" t="inlineStr">
        <is>
          <t>ADMETTRE_PILOTE</t>
        </is>
      </c>
      <c r="P65" s="6" t="inlineStr">
        <is>
          <t>08/09/2026</t>
        </is>
      </c>
      <c r="Q65" s="6" t="inlineStr">
        <is>
          <t>Clarté360 — revue méthodologique</t>
        </is>
      </c>
      <c r="R65" s="6" t="inlineStr">
        <is>
          <t>Qualification théorique avant pilote ; décision empirique à confirmer après collecte.</t>
        </is>
      </c>
    </row>
    <row r="66" ht="100.8" customHeight="1" s="34">
      <c r="A66" s="13">
        <f>QUESTIONS!A66</f>
        <v/>
      </c>
      <c r="B66" s="13">
        <f>QUESTIONS!B66</f>
        <v/>
      </c>
      <c r="C66" s="13">
        <f>QUESTIONS!H66</f>
        <v/>
      </c>
      <c r="D66" s="13">
        <f>QUESTIONS!I66</f>
        <v/>
      </c>
      <c r="E66" s="13">
        <f>QUESTIONS!AJ66</f>
        <v/>
      </c>
      <c r="F66" s="6" t="n"/>
      <c r="G66" s="6" t="n"/>
      <c r="H66" s="6" t="n"/>
      <c r="I66" s="6" t="n"/>
      <c r="J66" s="6" t="n"/>
      <c r="K66" s="6" t="n"/>
      <c r="L66" s="6" t="inlineStr">
        <is>
          <t>I</t>
        </is>
      </c>
      <c r="M66" s="6" t="inlineStr">
        <is>
          <t>RAS_PRE_PILOTE</t>
        </is>
      </c>
      <c r="N66" s="6" t="inlineStr">
        <is>
          <t>A_SURVEILLER</t>
        </is>
      </c>
      <c r="O66" s="6" t="inlineStr">
        <is>
          <t>ADMETTRE_PILOTE</t>
        </is>
      </c>
      <c r="P66" s="6" t="inlineStr">
        <is>
          <t>08/09/2026</t>
        </is>
      </c>
      <c r="Q66" s="6" t="inlineStr">
        <is>
          <t>Clarté360 — revue méthodologique</t>
        </is>
      </c>
      <c r="R66" s="6" t="inlineStr">
        <is>
          <t>Qualification théorique avant pilote ; décision empirique à confirmer après collecte.</t>
        </is>
      </c>
    </row>
    <row r="67" ht="100.8" customHeight="1" s="34">
      <c r="A67" s="13">
        <f>QUESTIONS!A67</f>
        <v/>
      </c>
      <c r="B67" s="13">
        <f>QUESTIONS!B67</f>
        <v/>
      </c>
      <c r="C67" s="13">
        <f>QUESTIONS!H67</f>
        <v/>
      </c>
      <c r="D67" s="13">
        <f>QUESTIONS!I67</f>
        <v/>
      </c>
      <c r="E67" s="13">
        <f>QUESTIONS!AJ67</f>
        <v/>
      </c>
      <c r="F67" s="6" t="n"/>
      <c r="G67" s="6" t="n"/>
      <c r="H67" s="6" t="n"/>
      <c r="I67" s="6" t="n"/>
      <c r="J67" s="6" t="n"/>
      <c r="K67" s="6" t="n"/>
      <c r="L67" s="6" t="inlineStr">
        <is>
          <t>I</t>
        </is>
      </c>
      <c r="M67" s="6" t="inlineStr">
        <is>
          <t>RAS_PRE_PILOTE</t>
        </is>
      </c>
      <c r="N67" s="6" t="inlineStr">
        <is>
          <t>A_SURVEILLER</t>
        </is>
      </c>
      <c r="O67" s="6" t="inlineStr">
        <is>
          <t>ADMETTRE_PILOTE</t>
        </is>
      </c>
      <c r="P67" s="6" t="inlineStr">
        <is>
          <t>08/09/2026</t>
        </is>
      </c>
      <c r="Q67" s="6" t="inlineStr">
        <is>
          <t>Clarté360 — revue méthodologique</t>
        </is>
      </c>
      <c r="R67" s="6" t="inlineStr">
        <is>
          <t>Qualification théorique avant pilote ; décision empirique à confirmer après collecte.</t>
        </is>
      </c>
    </row>
    <row r="68" ht="100.8" customHeight="1" s="34">
      <c r="A68" s="13">
        <f>QUESTIONS!A68</f>
        <v/>
      </c>
      <c r="B68" s="13">
        <f>QUESTIONS!B68</f>
        <v/>
      </c>
      <c r="C68" s="13">
        <f>QUESTIONS!H68</f>
        <v/>
      </c>
      <c r="D68" s="13">
        <f>QUESTIONS!I68</f>
        <v/>
      </c>
      <c r="E68" s="13">
        <f>QUESTIONS!AJ68</f>
        <v/>
      </c>
      <c r="F68" s="6" t="n"/>
      <c r="G68" s="6" t="n"/>
      <c r="H68" s="6" t="n"/>
      <c r="I68" s="6" t="n"/>
      <c r="J68" s="6" t="n"/>
      <c r="K68" s="6" t="n"/>
      <c r="L68" s="6" t="inlineStr">
        <is>
          <t>I</t>
        </is>
      </c>
      <c r="M68" s="6" t="inlineStr">
        <is>
          <t>RAS_PRE_PILOTE</t>
        </is>
      </c>
      <c r="N68" s="6" t="inlineStr">
        <is>
          <t>A_SURVEILLER</t>
        </is>
      </c>
      <c r="O68" s="6" t="inlineStr">
        <is>
          <t>ADMETTRE_PILOTE</t>
        </is>
      </c>
      <c r="P68" s="6" t="inlineStr">
        <is>
          <t>08/09/2026</t>
        </is>
      </c>
      <c r="Q68" s="6" t="inlineStr">
        <is>
          <t>Clarté360 — revue méthodologique</t>
        </is>
      </c>
      <c r="R68" s="6" t="inlineStr">
        <is>
          <t>Qualification théorique avant pilote ; décision empirique à confirmer après collecte.</t>
        </is>
      </c>
    </row>
    <row r="69" ht="100.8" customHeight="1" s="34">
      <c r="A69" s="13">
        <f>QUESTIONS!A69</f>
        <v/>
      </c>
      <c r="B69" s="13">
        <f>QUESTIONS!B69</f>
        <v/>
      </c>
      <c r="C69" s="13">
        <f>QUESTIONS!H69</f>
        <v/>
      </c>
      <c r="D69" s="13">
        <f>QUESTIONS!I69</f>
        <v/>
      </c>
      <c r="E69" s="13">
        <f>QUESTIONS!AJ69</f>
        <v/>
      </c>
      <c r="F69" s="6" t="n"/>
      <c r="G69" s="6" t="n"/>
      <c r="H69" s="6" t="n"/>
      <c r="I69" s="6" t="n"/>
      <c r="J69" s="6" t="n"/>
      <c r="K69" s="6" t="n"/>
      <c r="L69" s="6" t="inlineStr">
        <is>
          <t>E</t>
        </is>
      </c>
      <c r="M69" s="6" t="inlineStr">
        <is>
          <t>RAS_PRE_PILOTE</t>
        </is>
      </c>
      <c r="N69" s="6" t="inlineStr">
        <is>
          <t>A_SURVEILLER</t>
        </is>
      </c>
      <c r="O69" s="6" t="inlineStr">
        <is>
          <t>ADMETTRE_PILOTE</t>
        </is>
      </c>
      <c r="P69" s="6" t="inlineStr">
        <is>
          <t>08/09/2026</t>
        </is>
      </c>
      <c r="Q69" s="6" t="inlineStr">
        <is>
          <t>Clarté360 — revue méthodologique</t>
        </is>
      </c>
      <c r="R69" s="6" t="inlineStr">
        <is>
          <t>Qualification théorique avant pilote ; décision empirique à confirmer après collecte.</t>
        </is>
      </c>
    </row>
    <row r="70" ht="100.8" customHeight="1" s="34">
      <c r="A70" s="13">
        <f>QUESTIONS!A70</f>
        <v/>
      </c>
      <c r="B70" s="13">
        <f>QUESTIONS!B70</f>
        <v/>
      </c>
      <c r="C70" s="13">
        <f>QUESTIONS!H70</f>
        <v/>
      </c>
      <c r="D70" s="13">
        <f>QUESTIONS!I70</f>
        <v/>
      </c>
      <c r="E70" s="13">
        <f>QUESTIONS!AJ70</f>
        <v/>
      </c>
      <c r="F70" s="6" t="n"/>
      <c r="G70" s="6" t="n"/>
      <c r="H70" s="6" t="n"/>
      <c r="I70" s="6" t="n"/>
      <c r="J70" s="6" t="n"/>
      <c r="K70" s="6" t="n"/>
      <c r="L70" s="6" t="inlineStr">
        <is>
          <t>E</t>
        </is>
      </c>
      <c r="M70" s="6" t="inlineStr">
        <is>
          <t>RAS_PRE_PILOTE</t>
        </is>
      </c>
      <c r="N70" s="6" t="inlineStr">
        <is>
          <t>A_SURVEILLER</t>
        </is>
      </c>
      <c r="O70" s="6" t="inlineStr">
        <is>
          <t>ADMETTRE_PILOTE</t>
        </is>
      </c>
      <c r="P70" s="6" t="inlineStr">
        <is>
          <t>08/09/2026</t>
        </is>
      </c>
      <c r="Q70" s="6" t="inlineStr">
        <is>
          <t>Clarté360 — revue méthodologique</t>
        </is>
      </c>
      <c r="R70" s="6" t="inlineStr">
        <is>
          <t>Qualification théorique avant pilote ; décision empirique à confirmer après collecte.</t>
        </is>
      </c>
    </row>
    <row r="71" ht="100.8" customHeight="1" s="34">
      <c r="A71" s="13">
        <f>QUESTIONS!A71</f>
        <v/>
      </c>
      <c r="B71" s="13">
        <f>QUESTIONS!B71</f>
        <v/>
      </c>
      <c r="C71" s="13">
        <f>QUESTIONS!H71</f>
        <v/>
      </c>
      <c r="D71" s="13">
        <f>QUESTIONS!I71</f>
        <v/>
      </c>
      <c r="E71" s="13">
        <f>QUESTIONS!AJ71</f>
        <v/>
      </c>
      <c r="F71" s="6" t="n"/>
      <c r="G71" s="6" t="n"/>
      <c r="H71" s="6" t="n"/>
      <c r="I71" s="6" t="n"/>
      <c r="J71" s="6" t="n"/>
      <c r="K71" s="6" t="n"/>
      <c r="L71" s="6" t="inlineStr">
        <is>
          <t>E</t>
        </is>
      </c>
      <c r="M71" s="6" t="inlineStr">
        <is>
          <t>RAS_PRE_PILOTE</t>
        </is>
      </c>
      <c r="N71" s="6" t="inlineStr">
        <is>
          <t>A_SURVEILLER</t>
        </is>
      </c>
      <c r="O71" s="6" t="inlineStr">
        <is>
          <t>ADMETTRE_PILOTE</t>
        </is>
      </c>
      <c r="P71" s="6" t="inlineStr">
        <is>
          <t>08/09/2026</t>
        </is>
      </c>
      <c r="Q71" s="6" t="inlineStr">
        <is>
          <t>Clarté360 — revue méthodologique</t>
        </is>
      </c>
      <c r="R71" s="6" t="inlineStr">
        <is>
          <t>Qualification théorique avant pilote ; décision empirique à confirmer après collecte.</t>
        </is>
      </c>
    </row>
    <row r="72" ht="100.8" customHeight="1" s="34">
      <c r="A72" s="13">
        <f>QUESTIONS!A72</f>
        <v/>
      </c>
      <c r="B72" s="13">
        <f>QUESTIONS!B72</f>
        <v/>
      </c>
      <c r="C72" s="13">
        <f>QUESTIONS!H72</f>
        <v/>
      </c>
      <c r="D72" s="13">
        <f>QUESTIONS!I72</f>
        <v/>
      </c>
      <c r="E72" s="13">
        <f>QUESTIONS!AJ72</f>
        <v/>
      </c>
      <c r="F72" s="6" t="n"/>
      <c r="G72" s="6" t="n"/>
      <c r="H72" s="6" t="n"/>
      <c r="I72" s="6" t="n"/>
      <c r="J72" s="6" t="n"/>
      <c r="K72" s="6" t="n"/>
      <c r="L72" s="6" t="inlineStr">
        <is>
          <t>E</t>
        </is>
      </c>
      <c r="M72" s="6" t="inlineStr">
        <is>
          <t>RAS_PRE_PILOTE</t>
        </is>
      </c>
      <c r="N72" s="6" t="inlineStr">
        <is>
          <t>A_SURVEILLER</t>
        </is>
      </c>
      <c r="O72" s="6" t="inlineStr">
        <is>
          <t>ADMETTRE_PILOTE</t>
        </is>
      </c>
      <c r="P72" s="6" t="inlineStr">
        <is>
          <t>08/09/2026</t>
        </is>
      </c>
      <c r="Q72" s="6" t="inlineStr">
        <is>
          <t>Clarté360 — revue méthodologique</t>
        </is>
      </c>
      <c r="R72" s="6" t="inlineStr">
        <is>
          <t>Qualification théorique avant pilote ; décision empirique à confirmer après collecte.</t>
        </is>
      </c>
    </row>
    <row r="73" ht="100.8" customHeight="1" s="34">
      <c r="A73" s="13">
        <f>QUESTIONS!A73</f>
        <v/>
      </c>
      <c r="B73" s="13">
        <f>QUESTIONS!B73</f>
        <v/>
      </c>
      <c r="C73" s="13">
        <f>QUESTIONS!H73</f>
        <v/>
      </c>
      <c r="D73" s="13">
        <f>QUESTIONS!I73</f>
        <v/>
      </c>
      <c r="E73" s="13">
        <f>QUESTIONS!AJ73</f>
        <v/>
      </c>
      <c r="F73" s="6" t="n"/>
      <c r="G73" s="6" t="n"/>
      <c r="H73" s="6" t="n"/>
      <c r="I73" s="6" t="n"/>
      <c r="J73" s="6" t="n"/>
      <c r="K73" s="6" t="n"/>
      <c r="L73" s="6" t="inlineStr">
        <is>
          <t>E,I</t>
        </is>
      </c>
      <c r="M73" s="6" t="inlineStr">
        <is>
          <t>RAS_PRE_PILOTE</t>
        </is>
      </c>
      <c r="N73" s="6" t="inlineStr">
        <is>
          <t>A_SURVEILLER</t>
        </is>
      </c>
      <c r="O73" s="6" t="inlineStr">
        <is>
          <t>ADMETTRE_PILOTE</t>
        </is>
      </c>
      <c r="P73" s="6" t="inlineStr">
        <is>
          <t>08/09/2026</t>
        </is>
      </c>
      <c r="Q73" s="6" t="inlineStr">
        <is>
          <t>Clarté360 — revue méthodologique</t>
        </is>
      </c>
      <c r="R73" s="6" t="inlineStr">
        <is>
          <t>Qualification théorique avant pilote ; décision empirique à confirmer après collecte.</t>
        </is>
      </c>
    </row>
    <row r="74" ht="100.8" customHeight="1" s="34">
      <c r="A74" s="13">
        <f>QUESTIONS!A74</f>
        <v/>
      </c>
      <c r="B74" s="13">
        <f>QUESTIONS!B74</f>
        <v/>
      </c>
      <c r="C74" s="13">
        <f>QUESTIONS!H74</f>
        <v/>
      </c>
      <c r="D74" s="13">
        <f>QUESTIONS!I74</f>
        <v/>
      </c>
      <c r="E74" s="13">
        <f>QUESTIONS!AJ74</f>
        <v/>
      </c>
      <c r="F74" s="6" t="n"/>
      <c r="G74" s="6" t="n"/>
      <c r="H74" s="6" t="n"/>
      <c r="I74" s="6" t="n"/>
      <c r="J74" s="6" t="n"/>
      <c r="K74" s="6" t="n"/>
      <c r="L74" s="6" t="inlineStr">
        <is>
          <t>E,I</t>
        </is>
      </c>
      <c r="M74" s="6" t="inlineStr">
        <is>
          <t>RAS_PRE_PILOTE</t>
        </is>
      </c>
      <c r="N74" s="6" t="inlineStr">
        <is>
          <t>A_SURVEILLER</t>
        </is>
      </c>
      <c r="O74" s="6" t="inlineStr">
        <is>
          <t>ADMETTRE_PILOTE</t>
        </is>
      </c>
      <c r="P74" s="6" t="inlineStr">
        <is>
          <t>08/09/2026</t>
        </is>
      </c>
      <c r="Q74" s="6" t="inlineStr">
        <is>
          <t>Clarté360 — revue méthodologique</t>
        </is>
      </c>
      <c r="R74" s="6" t="inlineStr">
        <is>
          <t>Qualification théorique avant pilote ; décision empirique à confirmer après collecte.</t>
        </is>
      </c>
    </row>
    <row r="75" ht="100.8" customHeight="1" s="34">
      <c r="A75" s="13">
        <f>QUESTIONS!A75</f>
        <v/>
      </c>
      <c r="B75" s="13">
        <f>QUESTIONS!B75</f>
        <v/>
      </c>
      <c r="C75" s="13">
        <f>QUESTIONS!H75</f>
        <v/>
      </c>
      <c r="D75" s="13">
        <f>QUESTIONS!I75</f>
        <v/>
      </c>
      <c r="E75" s="13">
        <f>QUESTIONS!AJ75</f>
        <v/>
      </c>
      <c r="F75" s="6" t="n"/>
      <c r="G75" s="6" t="n"/>
      <c r="H75" s="6" t="n"/>
      <c r="I75" s="6" t="n"/>
      <c r="J75" s="6" t="n"/>
      <c r="K75" s="6" t="n"/>
      <c r="L75" s="6" t="inlineStr">
        <is>
          <t>E,I</t>
        </is>
      </c>
      <c r="M75" s="6" t="inlineStr">
        <is>
          <t>RAS_PRE_PILOTE</t>
        </is>
      </c>
      <c r="N75" s="6" t="inlineStr">
        <is>
          <t>A_SURVEILLER</t>
        </is>
      </c>
      <c r="O75" s="6" t="inlineStr">
        <is>
          <t>ADMETTRE_PILOTE</t>
        </is>
      </c>
      <c r="P75" s="6" t="inlineStr">
        <is>
          <t>08/09/2026</t>
        </is>
      </c>
      <c r="Q75" s="6" t="inlineStr">
        <is>
          <t>Clarté360 — revue méthodologique</t>
        </is>
      </c>
      <c r="R75" s="6" t="inlineStr">
        <is>
          <t>Qualification théorique avant pilote ; décision empirique à confirmer après collecte.</t>
        </is>
      </c>
    </row>
    <row r="76" ht="100.8" customHeight="1" s="34">
      <c r="A76" s="13">
        <f>QUESTIONS!A76</f>
        <v/>
      </c>
      <c r="B76" s="13">
        <f>QUESTIONS!B76</f>
        <v/>
      </c>
      <c r="C76" s="13">
        <f>QUESTIONS!H76</f>
        <v/>
      </c>
      <c r="D76" s="13">
        <f>QUESTIONS!I76</f>
        <v/>
      </c>
      <c r="E76" s="13">
        <f>QUESTIONS!AJ76</f>
        <v/>
      </c>
      <c r="F76" s="6" t="n"/>
      <c r="G76" s="6" t="n"/>
      <c r="H76" s="6" t="n"/>
      <c r="I76" s="6" t="n"/>
      <c r="J76" s="6" t="n"/>
      <c r="K76" s="6" t="n"/>
      <c r="L76" s="6" t="inlineStr">
        <is>
          <t>E,I</t>
        </is>
      </c>
      <c r="M76" s="6" t="inlineStr">
        <is>
          <t>RAS_PRE_PILOTE</t>
        </is>
      </c>
      <c r="N76" s="6" t="inlineStr">
        <is>
          <t>A_SURVEILLER</t>
        </is>
      </c>
      <c r="O76" s="6" t="inlineStr">
        <is>
          <t>ADMETTRE_PILOTE</t>
        </is>
      </c>
      <c r="P76" s="6" t="inlineStr">
        <is>
          <t>08/09/2026</t>
        </is>
      </c>
      <c r="Q76" s="6" t="inlineStr">
        <is>
          <t>Clarté360 — revue méthodologique</t>
        </is>
      </c>
      <c r="R76" s="6" t="inlineStr">
        <is>
          <t>Qualification théorique avant pilote ; décision empirique à confirmer après collecte.</t>
        </is>
      </c>
    </row>
    <row r="77" ht="100.8" customHeight="1" s="34">
      <c r="A77" s="13">
        <f>QUESTIONS!A77</f>
        <v/>
      </c>
      <c r="B77" s="13">
        <f>QUESTIONS!B77</f>
        <v/>
      </c>
      <c r="C77" s="13">
        <f>QUESTIONS!H77</f>
        <v/>
      </c>
      <c r="D77" s="13">
        <f>QUESTIONS!I77</f>
        <v/>
      </c>
      <c r="E77" s="13">
        <f>QUESTIONS!AJ77</f>
        <v/>
      </c>
      <c r="F77" s="6" t="n"/>
      <c r="G77" s="6" t="n"/>
      <c r="H77" s="6" t="n"/>
      <c r="I77" s="6" t="n"/>
      <c r="J77" s="6" t="n"/>
      <c r="K77" s="6" t="n"/>
      <c r="L77" s="6" t="inlineStr">
        <is>
          <t>R,I</t>
        </is>
      </c>
      <c r="M77" s="6" t="inlineStr">
        <is>
          <t>RAS_PRE_PILOTE</t>
        </is>
      </c>
      <c r="N77" s="6" t="inlineStr">
        <is>
          <t>A_SURVEILLER</t>
        </is>
      </c>
      <c r="O77" s="6" t="inlineStr">
        <is>
          <t>ADMETTRE_PILOTE</t>
        </is>
      </c>
      <c r="P77" s="6" t="inlineStr">
        <is>
          <t>08/09/2026</t>
        </is>
      </c>
      <c r="Q77" s="6" t="inlineStr">
        <is>
          <t>Clarté360 — revue méthodologique</t>
        </is>
      </c>
      <c r="R77" s="6" t="inlineStr">
        <is>
          <t>Qualification théorique avant pilote ; décision empirique à confirmer après collecte.</t>
        </is>
      </c>
    </row>
    <row r="78" ht="100.8" customHeight="1" s="34">
      <c r="A78" s="13">
        <f>QUESTIONS!A78</f>
        <v/>
      </c>
      <c r="B78" s="13">
        <f>QUESTIONS!B78</f>
        <v/>
      </c>
      <c r="C78" s="13">
        <f>QUESTIONS!H78</f>
        <v/>
      </c>
      <c r="D78" s="13">
        <f>QUESTIONS!I78</f>
        <v/>
      </c>
      <c r="E78" s="13">
        <f>QUESTIONS!AJ78</f>
        <v/>
      </c>
      <c r="F78" s="6" t="n"/>
      <c r="G78" s="6" t="n"/>
      <c r="H78" s="6" t="n"/>
      <c r="I78" s="6" t="n"/>
      <c r="J78" s="6" t="n"/>
      <c r="K78" s="6" t="n"/>
      <c r="L78" s="6" t="inlineStr">
        <is>
          <t>R,I</t>
        </is>
      </c>
      <c r="M78" s="6" t="inlineStr">
        <is>
          <t>RAS_PRE_PILOTE</t>
        </is>
      </c>
      <c r="N78" s="6" t="inlineStr">
        <is>
          <t>A_SURVEILLER</t>
        </is>
      </c>
      <c r="O78" s="6" t="inlineStr">
        <is>
          <t>ADMETTRE_PILOTE</t>
        </is>
      </c>
      <c r="P78" s="6" t="inlineStr">
        <is>
          <t>08/09/2026</t>
        </is>
      </c>
      <c r="Q78" s="6" t="inlineStr">
        <is>
          <t>Clarté360 — revue méthodologique</t>
        </is>
      </c>
      <c r="R78" s="6" t="inlineStr">
        <is>
          <t>Qualification théorique avant pilote ; décision empirique à confirmer après collecte.</t>
        </is>
      </c>
    </row>
    <row r="79" ht="100.8" customHeight="1" s="34">
      <c r="A79" s="13">
        <f>QUESTIONS!A79</f>
        <v/>
      </c>
      <c r="B79" s="13">
        <f>QUESTIONS!B79</f>
        <v/>
      </c>
      <c r="C79" s="13">
        <f>QUESTIONS!H79</f>
        <v/>
      </c>
      <c r="D79" s="13">
        <f>QUESTIONS!I79</f>
        <v/>
      </c>
      <c r="E79" s="13">
        <f>QUESTIONS!AJ79</f>
        <v/>
      </c>
      <c r="F79" s="6" t="n"/>
      <c r="G79" s="6" t="n"/>
      <c r="H79" s="6" t="n"/>
      <c r="I79" s="6" t="n"/>
      <c r="J79" s="6" t="n"/>
      <c r="K79" s="6" t="n"/>
      <c r="L79" s="6" t="inlineStr">
        <is>
          <t>R,I</t>
        </is>
      </c>
      <c r="M79" s="6" t="inlineStr">
        <is>
          <t>RAS_PRE_PILOTE</t>
        </is>
      </c>
      <c r="N79" s="6" t="inlineStr">
        <is>
          <t>A_SURVEILLER</t>
        </is>
      </c>
      <c r="O79" s="6" t="inlineStr">
        <is>
          <t>ADMETTRE_PILOTE</t>
        </is>
      </c>
      <c r="P79" s="6" t="inlineStr">
        <is>
          <t>08/09/2026</t>
        </is>
      </c>
      <c r="Q79" s="6" t="inlineStr">
        <is>
          <t>Clarté360 — revue méthodologique</t>
        </is>
      </c>
      <c r="R79" s="6" t="inlineStr">
        <is>
          <t>Qualification théorique avant pilote ; décision empirique à confirmer après collecte.</t>
        </is>
      </c>
    </row>
    <row r="80" ht="100.8" customHeight="1" s="34">
      <c r="A80" s="13">
        <f>QUESTIONS!A80</f>
        <v/>
      </c>
      <c r="B80" s="13">
        <f>QUESTIONS!B80</f>
        <v/>
      </c>
      <c r="C80" s="13">
        <f>QUESTIONS!H80</f>
        <v/>
      </c>
      <c r="D80" s="13">
        <f>QUESTIONS!I80</f>
        <v/>
      </c>
      <c r="E80" s="13">
        <f>QUESTIONS!AJ80</f>
        <v/>
      </c>
      <c r="F80" s="6" t="n"/>
      <c r="G80" s="6" t="n"/>
      <c r="H80" s="6" t="n"/>
      <c r="I80" s="6" t="n"/>
      <c r="J80" s="6" t="n"/>
      <c r="K80" s="6" t="n"/>
      <c r="L80" s="6" t="inlineStr">
        <is>
          <t>R,I</t>
        </is>
      </c>
      <c r="M80" s="6" t="inlineStr">
        <is>
          <t>RAS_PRE_PILOTE</t>
        </is>
      </c>
      <c r="N80" s="6" t="inlineStr">
        <is>
          <t>A_SURVEILLER</t>
        </is>
      </c>
      <c r="O80" s="6" t="inlineStr">
        <is>
          <t>ADMETTRE_PILOTE</t>
        </is>
      </c>
      <c r="P80" s="6" t="inlineStr">
        <is>
          <t>08/09/2026</t>
        </is>
      </c>
      <c r="Q80" s="6" t="inlineStr">
        <is>
          <t>Clarté360 — revue méthodologique</t>
        </is>
      </c>
      <c r="R80" s="6" t="inlineStr">
        <is>
          <t>Qualification théorique avant pilote ; décision empirique à confirmer après collecte.</t>
        </is>
      </c>
    </row>
    <row r="81" ht="100.8" customHeight="1" s="34">
      <c r="A81" s="13">
        <f>QUESTIONS!A81</f>
        <v/>
      </c>
      <c r="B81" s="13">
        <f>QUESTIONS!B81</f>
        <v/>
      </c>
      <c r="C81" s="13">
        <f>QUESTIONS!H81</f>
        <v/>
      </c>
      <c r="D81" s="13">
        <f>QUESTIONS!I81</f>
        <v/>
      </c>
      <c r="E81" s="13">
        <f>QUESTIONS!AJ81</f>
        <v/>
      </c>
      <c r="F81" s="6" t="n"/>
      <c r="G81" s="6" t="n"/>
      <c r="H81" s="6" t="n"/>
      <c r="I81" s="6" t="n"/>
      <c r="J81" s="6" t="n"/>
      <c r="K81" s="6" t="n"/>
      <c r="L81" s="6" t="inlineStr">
        <is>
          <t>E,C</t>
        </is>
      </c>
      <c r="M81" s="6" t="inlineStr">
        <is>
          <t>RAS_PRE_PILOTE</t>
        </is>
      </c>
      <c r="N81" s="6" t="inlineStr">
        <is>
          <t>A_SURVEILLER</t>
        </is>
      </c>
      <c r="O81" s="6" t="inlineStr">
        <is>
          <t>ADMETTRE_PILOTE</t>
        </is>
      </c>
      <c r="P81" s="6" t="inlineStr">
        <is>
          <t>08/09/2026</t>
        </is>
      </c>
      <c r="Q81" s="6" t="inlineStr">
        <is>
          <t>Clarté360 — revue méthodologique</t>
        </is>
      </c>
      <c r="R81" s="6" t="inlineStr">
        <is>
          <t>Qualification théorique avant pilote ; décision empirique à confirmer après collecte.</t>
        </is>
      </c>
    </row>
    <row r="82" ht="100.8" customHeight="1" s="34">
      <c r="A82" s="13">
        <f>QUESTIONS!A82</f>
        <v/>
      </c>
      <c r="B82" s="13">
        <f>QUESTIONS!B82</f>
        <v/>
      </c>
      <c r="C82" s="13">
        <f>QUESTIONS!H82</f>
        <v/>
      </c>
      <c r="D82" s="13">
        <f>QUESTIONS!I82</f>
        <v/>
      </c>
      <c r="E82" s="13">
        <f>QUESTIONS!AJ82</f>
        <v/>
      </c>
      <c r="F82" s="6" t="n"/>
      <c r="G82" s="6" t="n"/>
      <c r="H82" s="6" t="n"/>
      <c r="I82" s="6" t="n"/>
      <c r="J82" s="6" t="n"/>
      <c r="K82" s="6" t="n"/>
      <c r="L82" s="6" t="inlineStr">
        <is>
          <t>E,C</t>
        </is>
      </c>
      <c r="M82" s="6" t="inlineStr">
        <is>
          <t>RAS_PRE_PILOTE</t>
        </is>
      </c>
      <c r="N82" s="6" t="inlineStr">
        <is>
          <t>A_SURVEILLER</t>
        </is>
      </c>
      <c r="O82" s="6" t="inlineStr">
        <is>
          <t>ADMETTRE_PILOTE</t>
        </is>
      </c>
      <c r="P82" s="6" t="inlineStr">
        <is>
          <t>08/09/2026</t>
        </is>
      </c>
      <c r="Q82" s="6" t="inlineStr">
        <is>
          <t>Clarté360 — revue méthodologique</t>
        </is>
      </c>
      <c r="R82" s="6" t="inlineStr">
        <is>
          <t>Qualification théorique avant pilote ; décision empirique à confirmer après collecte.</t>
        </is>
      </c>
    </row>
    <row r="83" ht="100.8" customHeight="1" s="34">
      <c r="A83" s="13">
        <f>QUESTIONS!A83</f>
        <v/>
      </c>
      <c r="B83" s="13">
        <f>QUESTIONS!B83</f>
        <v/>
      </c>
      <c r="C83" s="13">
        <f>QUESTIONS!H83</f>
        <v/>
      </c>
      <c r="D83" s="13">
        <f>QUESTIONS!I83</f>
        <v/>
      </c>
      <c r="E83" s="13">
        <f>QUESTIONS!AJ83</f>
        <v/>
      </c>
      <c r="F83" s="6" t="n"/>
      <c r="G83" s="6" t="n"/>
      <c r="H83" s="6" t="n"/>
      <c r="I83" s="6" t="n"/>
      <c r="J83" s="6" t="n"/>
      <c r="K83" s="6" t="n"/>
      <c r="L83" s="6" t="inlineStr">
        <is>
          <t>E,C</t>
        </is>
      </c>
      <c r="M83" s="6" t="inlineStr">
        <is>
          <t>RAS_PRE_PILOTE</t>
        </is>
      </c>
      <c r="N83" s="6" t="inlineStr">
        <is>
          <t>A_SURVEILLER</t>
        </is>
      </c>
      <c r="O83" s="6" t="inlineStr">
        <is>
          <t>ADMETTRE_PILOTE</t>
        </is>
      </c>
      <c r="P83" s="6" t="inlineStr">
        <is>
          <t>08/09/2026</t>
        </is>
      </c>
      <c r="Q83" s="6" t="inlineStr">
        <is>
          <t>Clarté360 — revue méthodologique</t>
        </is>
      </c>
      <c r="R83" s="6" t="inlineStr">
        <is>
          <t>Qualification théorique avant pilote ; décision empirique à confirmer après collecte.</t>
        </is>
      </c>
    </row>
    <row r="84" ht="100.8" customHeight="1" s="34">
      <c r="A84" s="13">
        <f>QUESTIONS!A84</f>
        <v/>
      </c>
      <c r="B84" s="13">
        <f>QUESTIONS!B84</f>
        <v/>
      </c>
      <c r="C84" s="13">
        <f>QUESTIONS!H84</f>
        <v/>
      </c>
      <c r="D84" s="13">
        <f>QUESTIONS!I84</f>
        <v/>
      </c>
      <c r="E84" s="13">
        <f>QUESTIONS!AJ84</f>
        <v/>
      </c>
      <c r="F84" s="6" t="n"/>
      <c r="G84" s="6" t="n"/>
      <c r="H84" s="6" t="n"/>
      <c r="I84" s="6" t="n"/>
      <c r="J84" s="6" t="n"/>
      <c r="K84" s="6" t="n"/>
      <c r="L84" s="6" t="inlineStr">
        <is>
          <t>E,C</t>
        </is>
      </c>
      <c r="M84" s="6" t="inlineStr">
        <is>
          <t>RAS_PRE_PILOTE</t>
        </is>
      </c>
      <c r="N84" s="6" t="inlineStr">
        <is>
          <t>A_SURVEILLER</t>
        </is>
      </c>
      <c r="O84" s="6" t="inlineStr">
        <is>
          <t>ADMETTRE_PILOTE</t>
        </is>
      </c>
      <c r="P84" s="6" t="inlineStr">
        <is>
          <t>08/09/2026</t>
        </is>
      </c>
      <c r="Q84" s="6" t="inlineStr">
        <is>
          <t>Clarté360 — revue méthodologique</t>
        </is>
      </c>
      <c r="R84" s="6" t="inlineStr">
        <is>
          <t>Qualification théorique avant pilote ; décision empirique à confirmer après collecte.</t>
        </is>
      </c>
    </row>
    <row r="85" ht="100.8" customHeight="1" s="34">
      <c r="A85" s="13">
        <f>QUESTIONS!A85</f>
        <v/>
      </c>
      <c r="B85" s="13">
        <f>QUESTIONS!B85</f>
        <v/>
      </c>
      <c r="C85" s="13">
        <f>QUESTIONS!H85</f>
        <v/>
      </c>
      <c r="D85" s="13">
        <f>QUESTIONS!I85</f>
        <v/>
      </c>
      <c r="E85" s="13">
        <f>QUESTIONS!AJ85</f>
        <v/>
      </c>
      <c r="F85" s="6" t="n"/>
      <c r="G85" s="6" t="n"/>
      <c r="H85" s="6" t="n"/>
      <c r="I85" s="6" t="n"/>
      <c r="J85" s="6" t="n"/>
      <c r="K85" s="6" t="n"/>
      <c r="L85" s="6" t="inlineStr">
        <is>
          <t>A</t>
        </is>
      </c>
      <c r="M85" s="6" t="inlineStr">
        <is>
          <t>A_SURVEILLER</t>
        </is>
      </c>
      <c r="N85" s="6" t="inlineStr">
        <is>
          <t>A_SURVEILLER</t>
        </is>
      </c>
      <c r="O85" s="6" t="inlineStr">
        <is>
          <t>ADMETTRE_PILOTE</t>
        </is>
      </c>
      <c r="P85" s="6" t="inlineStr">
        <is>
          <t>08/09/2026</t>
        </is>
      </c>
      <c r="Q85" s="6" t="inlineStr">
        <is>
          <t>Clarté360 — revue méthodologique</t>
        </is>
      </c>
      <c r="R85" s="6" t="inlineStr">
        <is>
          <t>Qualification théorique avant pilote ; décision empirique à confirmer après collecte.</t>
        </is>
      </c>
    </row>
    <row r="86" ht="100.8" customHeight="1" s="34">
      <c r="A86" s="13">
        <f>QUESTIONS!A86</f>
        <v/>
      </c>
      <c r="B86" s="13">
        <f>QUESTIONS!B86</f>
        <v/>
      </c>
      <c r="C86" s="13">
        <f>QUESTIONS!H86</f>
        <v/>
      </c>
      <c r="D86" s="13">
        <f>QUESTIONS!I86</f>
        <v/>
      </c>
      <c r="E86" s="13">
        <f>QUESTIONS!AJ86</f>
        <v/>
      </c>
      <c r="F86" s="6" t="n"/>
      <c r="G86" s="6" t="n"/>
      <c r="H86" s="6" t="n"/>
      <c r="I86" s="6" t="n"/>
      <c r="J86" s="6" t="n"/>
      <c r="K86" s="6" t="n"/>
      <c r="L86" s="6" t="inlineStr">
        <is>
          <t>A</t>
        </is>
      </c>
      <c r="M86" s="6" t="inlineStr">
        <is>
          <t>A_SURVEILLER</t>
        </is>
      </c>
      <c r="N86" s="6" t="inlineStr">
        <is>
          <t>A_SURVEILLER</t>
        </is>
      </c>
      <c r="O86" s="6" t="inlineStr">
        <is>
          <t>ADMETTRE_PILOTE</t>
        </is>
      </c>
      <c r="P86" s="6" t="inlineStr">
        <is>
          <t>08/09/2026</t>
        </is>
      </c>
      <c r="Q86" s="6" t="inlineStr">
        <is>
          <t>Clarté360 — revue méthodologique</t>
        </is>
      </c>
      <c r="R86" s="6" t="inlineStr">
        <is>
          <t>Qualification théorique avant pilote ; décision empirique à confirmer après collecte.</t>
        </is>
      </c>
    </row>
    <row r="87" ht="100.8" customHeight="1" s="34">
      <c r="A87" s="13">
        <f>QUESTIONS!A87</f>
        <v/>
      </c>
      <c r="B87" s="13">
        <f>QUESTIONS!B87</f>
        <v/>
      </c>
      <c r="C87" s="13">
        <f>QUESTIONS!H87</f>
        <v/>
      </c>
      <c r="D87" s="13">
        <f>QUESTIONS!I87</f>
        <v/>
      </c>
      <c r="E87" s="13">
        <f>QUESTIONS!AJ87</f>
        <v/>
      </c>
      <c r="F87" s="6" t="n"/>
      <c r="G87" s="6" t="n"/>
      <c r="H87" s="6" t="n"/>
      <c r="I87" s="6" t="n"/>
      <c r="J87" s="6" t="n"/>
      <c r="K87" s="6" t="n"/>
      <c r="L87" s="6" t="inlineStr">
        <is>
          <t>A</t>
        </is>
      </c>
      <c r="M87" s="6" t="inlineStr">
        <is>
          <t>A_SURVEILLER</t>
        </is>
      </c>
      <c r="N87" s="6" t="inlineStr">
        <is>
          <t>A_SURVEILLER</t>
        </is>
      </c>
      <c r="O87" s="6" t="inlineStr">
        <is>
          <t>ADMETTRE_PILOTE</t>
        </is>
      </c>
      <c r="P87" s="6" t="inlineStr">
        <is>
          <t>08/09/2026</t>
        </is>
      </c>
      <c r="Q87" s="6" t="inlineStr">
        <is>
          <t>Clarté360 — revue méthodologique</t>
        </is>
      </c>
      <c r="R87" s="6" t="inlineStr">
        <is>
          <t>Qualification théorique avant pilote ; décision empirique à confirmer après collecte.</t>
        </is>
      </c>
    </row>
    <row r="88" ht="100.8" customHeight="1" s="34">
      <c r="A88" s="13">
        <f>QUESTIONS!A88</f>
        <v/>
      </c>
      <c r="B88" s="13">
        <f>QUESTIONS!B88</f>
        <v/>
      </c>
      <c r="C88" s="13">
        <f>QUESTIONS!H88</f>
        <v/>
      </c>
      <c r="D88" s="13">
        <f>QUESTIONS!I88</f>
        <v/>
      </c>
      <c r="E88" s="13">
        <f>QUESTIONS!AJ88</f>
        <v/>
      </c>
      <c r="F88" s="6" t="n"/>
      <c r="G88" s="6" t="n"/>
      <c r="H88" s="6" t="n"/>
      <c r="I88" s="6" t="n"/>
      <c r="J88" s="6" t="n"/>
      <c r="K88" s="6" t="n"/>
      <c r="L88" s="6" t="inlineStr">
        <is>
          <t>A</t>
        </is>
      </c>
      <c r="M88" s="6" t="inlineStr">
        <is>
          <t>A_SURVEILLER</t>
        </is>
      </c>
      <c r="N88" s="6" t="inlineStr">
        <is>
          <t>A_SURVEILLER</t>
        </is>
      </c>
      <c r="O88" s="6" t="inlineStr">
        <is>
          <t>ADMETTRE_PILOTE</t>
        </is>
      </c>
      <c r="P88" s="6" t="inlineStr">
        <is>
          <t>08/09/2026</t>
        </is>
      </c>
      <c r="Q88" s="6" t="inlineStr">
        <is>
          <t>Clarté360 — revue méthodologique</t>
        </is>
      </c>
      <c r="R88" s="6" t="inlineStr">
        <is>
          <t>Qualification théorique avant pilote ; décision empirique à confirmer après collecte.</t>
        </is>
      </c>
    </row>
    <row r="89" ht="100.8" customHeight="1" s="34">
      <c r="A89" s="13">
        <f>QUESTIONS!A89</f>
        <v/>
      </c>
      <c r="B89" s="13">
        <f>QUESTIONS!B89</f>
        <v/>
      </c>
      <c r="C89" s="13">
        <f>QUESTIONS!H89</f>
        <v/>
      </c>
      <c r="D89" s="13">
        <f>QUESTIONS!I89</f>
        <v/>
      </c>
      <c r="E89" s="13">
        <f>QUESTIONS!AJ89</f>
        <v/>
      </c>
      <c r="F89" s="6" t="n"/>
      <c r="G89" s="6" t="n"/>
      <c r="H89" s="6" t="n"/>
      <c r="I89" s="6" t="n"/>
      <c r="J89" s="6" t="n"/>
      <c r="K89" s="6" t="n"/>
      <c r="L89" s="6" t="inlineStr">
        <is>
          <t>S</t>
        </is>
      </c>
      <c r="M89" s="6" t="inlineStr">
        <is>
          <t>A_SURVEILLER</t>
        </is>
      </c>
      <c r="N89" s="6" t="inlineStr">
        <is>
          <t>A_SURVEILLER</t>
        </is>
      </c>
      <c r="O89" s="6" t="inlineStr">
        <is>
          <t>ADMETTRE_PILOTE</t>
        </is>
      </c>
      <c r="P89" s="6" t="inlineStr">
        <is>
          <t>08/09/2026</t>
        </is>
      </c>
      <c r="Q89" s="6" t="inlineStr">
        <is>
          <t>Clarté360 — revue méthodologique</t>
        </is>
      </c>
      <c r="R89" s="6" t="inlineStr">
        <is>
          <t>Qualification théorique avant pilote ; décision empirique à confirmer après collecte.</t>
        </is>
      </c>
    </row>
    <row r="90" ht="100.8" customHeight="1" s="34">
      <c r="A90" s="13">
        <f>QUESTIONS!A90</f>
        <v/>
      </c>
      <c r="B90" s="13">
        <f>QUESTIONS!B90</f>
        <v/>
      </c>
      <c r="C90" s="13">
        <f>QUESTIONS!H90</f>
        <v/>
      </c>
      <c r="D90" s="13">
        <f>QUESTIONS!I90</f>
        <v/>
      </c>
      <c r="E90" s="13">
        <f>QUESTIONS!AJ90</f>
        <v/>
      </c>
      <c r="F90" s="6" t="n"/>
      <c r="G90" s="6" t="n"/>
      <c r="H90" s="6" t="n"/>
      <c r="I90" s="6" t="n"/>
      <c r="J90" s="6" t="n"/>
      <c r="K90" s="6" t="n"/>
      <c r="L90" s="6" t="inlineStr">
        <is>
          <t>S</t>
        </is>
      </c>
      <c r="M90" s="6" t="inlineStr">
        <is>
          <t>A_SURVEILLER</t>
        </is>
      </c>
      <c r="N90" s="6" t="inlineStr">
        <is>
          <t>A_SURVEILLER</t>
        </is>
      </c>
      <c r="O90" s="6" t="inlineStr">
        <is>
          <t>ADMETTRE_PILOTE</t>
        </is>
      </c>
      <c r="P90" s="6" t="inlineStr">
        <is>
          <t>08/09/2026</t>
        </is>
      </c>
      <c r="Q90" s="6" t="inlineStr">
        <is>
          <t>Clarté360 — revue méthodologique</t>
        </is>
      </c>
      <c r="R90" s="6" t="inlineStr">
        <is>
          <t>Qualification théorique avant pilote ; décision empirique à confirmer après collecte.</t>
        </is>
      </c>
    </row>
    <row r="91" ht="100.8" customHeight="1" s="34">
      <c r="A91" s="13">
        <f>QUESTIONS!A91</f>
        <v/>
      </c>
      <c r="B91" s="13">
        <f>QUESTIONS!B91</f>
        <v/>
      </c>
      <c r="C91" s="13">
        <f>QUESTIONS!H91</f>
        <v/>
      </c>
      <c r="D91" s="13">
        <f>QUESTIONS!I91</f>
        <v/>
      </c>
      <c r="E91" s="13">
        <f>QUESTIONS!AJ91</f>
        <v/>
      </c>
      <c r="F91" s="6" t="n"/>
      <c r="G91" s="6" t="n"/>
      <c r="H91" s="6" t="n"/>
      <c r="I91" s="6" t="n"/>
      <c r="J91" s="6" t="n"/>
      <c r="K91" s="6" t="n"/>
      <c r="L91" s="6" t="inlineStr">
        <is>
          <t>S</t>
        </is>
      </c>
      <c r="M91" s="6" t="inlineStr">
        <is>
          <t>A_SURVEILLER</t>
        </is>
      </c>
      <c r="N91" s="6" t="inlineStr">
        <is>
          <t>A_SURVEILLER</t>
        </is>
      </c>
      <c r="O91" s="6" t="inlineStr">
        <is>
          <t>ADMETTRE_PILOTE</t>
        </is>
      </c>
      <c r="P91" s="6" t="inlineStr">
        <is>
          <t>08/09/2026</t>
        </is>
      </c>
      <c r="Q91" s="6" t="inlineStr">
        <is>
          <t>Clarté360 — revue méthodologique</t>
        </is>
      </c>
      <c r="R91" s="6" t="inlineStr">
        <is>
          <t>Qualification théorique avant pilote ; décision empirique à confirmer après collecte.</t>
        </is>
      </c>
    </row>
    <row r="92" ht="100.8" customHeight="1" s="34">
      <c r="A92" s="13">
        <f>QUESTIONS!A92</f>
        <v/>
      </c>
      <c r="B92" s="13">
        <f>QUESTIONS!B92</f>
        <v/>
      </c>
      <c r="C92" s="13">
        <f>QUESTIONS!H92</f>
        <v/>
      </c>
      <c r="D92" s="13">
        <f>QUESTIONS!I92</f>
        <v/>
      </c>
      <c r="E92" s="13">
        <f>QUESTIONS!AJ92</f>
        <v/>
      </c>
      <c r="F92" s="6" t="n"/>
      <c r="G92" s="6" t="n"/>
      <c r="H92" s="6" t="n"/>
      <c r="I92" s="6" t="n"/>
      <c r="J92" s="6" t="n"/>
      <c r="K92" s="6" t="n"/>
      <c r="L92" s="6" t="inlineStr">
        <is>
          <t>S</t>
        </is>
      </c>
      <c r="M92" s="6" t="inlineStr">
        <is>
          <t>A_SURVEILLER</t>
        </is>
      </c>
      <c r="N92" s="6" t="inlineStr">
        <is>
          <t>A_SURVEILLER</t>
        </is>
      </c>
      <c r="O92" s="6" t="inlineStr">
        <is>
          <t>ADMETTRE_PILOTE</t>
        </is>
      </c>
      <c r="P92" s="6" t="inlineStr">
        <is>
          <t>08/09/2026</t>
        </is>
      </c>
      <c r="Q92" s="6" t="inlineStr">
        <is>
          <t>Clarté360 — revue méthodologique</t>
        </is>
      </c>
      <c r="R92" s="6" t="inlineStr">
        <is>
          <t>Qualification théorique avant pilote ; décision empirique à confirmer après collecte.</t>
        </is>
      </c>
    </row>
    <row r="93" ht="100.8" customHeight="1" s="34">
      <c r="A93" s="13">
        <f>QUESTIONS!A93</f>
        <v/>
      </c>
      <c r="B93" s="13">
        <f>QUESTIONS!B93</f>
        <v/>
      </c>
      <c r="C93" s="13">
        <f>QUESTIONS!H93</f>
        <v/>
      </c>
      <c r="D93" s="13">
        <f>QUESTIONS!I93</f>
        <v/>
      </c>
      <c r="E93" s="13">
        <f>QUESTIONS!AJ93</f>
        <v/>
      </c>
      <c r="F93" s="6" t="n"/>
      <c r="G93" s="6" t="n"/>
      <c r="H93" s="6" t="n"/>
      <c r="I93" s="6" t="n"/>
      <c r="J93" s="6" t="n"/>
      <c r="K93" s="6" t="n"/>
      <c r="L93" s="6" t="inlineStr">
        <is>
          <t>S,C</t>
        </is>
      </c>
      <c r="M93" s="6" t="inlineStr">
        <is>
          <t>A_SURVEILLER</t>
        </is>
      </c>
      <c r="N93" s="6" t="inlineStr">
        <is>
          <t>A_SURVEILLER</t>
        </is>
      </c>
      <c r="O93" s="6" t="inlineStr">
        <is>
          <t>ADMETTRE_PILOTE</t>
        </is>
      </c>
      <c r="P93" s="6" t="inlineStr">
        <is>
          <t>08/09/2026</t>
        </is>
      </c>
      <c r="Q93" s="6" t="inlineStr">
        <is>
          <t>Clarté360 — revue méthodologique</t>
        </is>
      </c>
      <c r="R93" s="6" t="inlineStr">
        <is>
          <t>Qualification théorique avant pilote ; décision empirique à confirmer après collecte.</t>
        </is>
      </c>
    </row>
    <row r="94" ht="100.8" customHeight="1" s="34">
      <c r="A94" s="13">
        <f>QUESTIONS!A94</f>
        <v/>
      </c>
      <c r="B94" s="13">
        <f>QUESTIONS!B94</f>
        <v/>
      </c>
      <c r="C94" s="13">
        <f>QUESTIONS!H94</f>
        <v/>
      </c>
      <c r="D94" s="13">
        <f>QUESTIONS!I94</f>
        <v/>
      </c>
      <c r="E94" s="13">
        <f>QUESTIONS!AJ94</f>
        <v/>
      </c>
      <c r="F94" s="6" t="n"/>
      <c r="G94" s="6" t="n"/>
      <c r="H94" s="6" t="n"/>
      <c r="I94" s="6" t="n"/>
      <c r="J94" s="6" t="n"/>
      <c r="K94" s="6" t="n"/>
      <c r="L94" s="6" t="inlineStr">
        <is>
          <t>S,C</t>
        </is>
      </c>
      <c r="M94" s="6" t="inlineStr">
        <is>
          <t>A_SURVEILLER</t>
        </is>
      </c>
      <c r="N94" s="6" t="inlineStr">
        <is>
          <t>A_SURVEILLER</t>
        </is>
      </c>
      <c r="O94" s="6" t="inlineStr">
        <is>
          <t>ADMETTRE_PILOTE</t>
        </is>
      </c>
      <c r="P94" s="6" t="inlineStr">
        <is>
          <t>08/09/2026</t>
        </is>
      </c>
      <c r="Q94" s="6" t="inlineStr">
        <is>
          <t>Clarté360 — revue méthodologique</t>
        </is>
      </c>
      <c r="R94" s="6" t="inlineStr">
        <is>
          <t>Qualification théorique avant pilote ; décision empirique à confirmer après collecte.</t>
        </is>
      </c>
    </row>
    <row r="95" ht="100.8" customHeight="1" s="34">
      <c r="A95" s="13">
        <f>QUESTIONS!A95</f>
        <v/>
      </c>
      <c r="B95" s="13">
        <f>QUESTIONS!B95</f>
        <v/>
      </c>
      <c r="C95" s="13">
        <f>QUESTIONS!H95</f>
        <v/>
      </c>
      <c r="D95" s="13">
        <f>QUESTIONS!I95</f>
        <v/>
      </c>
      <c r="E95" s="13">
        <f>QUESTIONS!AJ95</f>
        <v/>
      </c>
      <c r="F95" s="6" t="n"/>
      <c r="G95" s="6" t="n"/>
      <c r="H95" s="6" t="n"/>
      <c r="I95" s="6" t="n"/>
      <c r="J95" s="6" t="n"/>
      <c r="K95" s="6" t="n"/>
      <c r="L95" s="6" t="inlineStr">
        <is>
          <t>S,C</t>
        </is>
      </c>
      <c r="M95" s="6" t="inlineStr">
        <is>
          <t>A_SURVEILLER</t>
        </is>
      </c>
      <c r="N95" s="6" t="inlineStr">
        <is>
          <t>A_SURVEILLER</t>
        </is>
      </c>
      <c r="O95" s="6" t="inlineStr">
        <is>
          <t>ADMETTRE_PILOTE</t>
        </is>
      </c>
      <c r="P95" s="6" t="inlineStr">
        <is>
          <t>08/09/2026</t>
        </is>
      </c>
      <c r="Q95" s="6" t="inlineStr">
        <is>
          <t>Clarté360 — revue méthodologique</t>
        </is>
      </c>
      <c r="R95" s="6" t="inlineStr">
        <is>
          <t>Qualification théorique avant pilote ; décision empirique à confirmer après collecte.</t>
        </is>
      </c>
    </row>
    <row r="96" ht="100.8" customHeight="1" s="34">
      <c r="A96" s="13">
        <f>QUESTIONS!A96</f>
        <v/>
      </c>
      <c r="B96" s="13">
        <f>QUESTIONS!B96</f>
        <v/>
      </c>
      <c r="C96" s="13">
        <f>QUESTIONS!H96</f>
        <v/>
      </c>
      <c r="D96" s="13">
        <f>QUESTIONS!I96</f>
        <v/>
      </c>
      <c r="E96" s="13">
        <f>QUESTIONS!AJ96</f>
        <v/>
      </c>
      <c r="F96" s="6" t="n"/>
      <c r="G96" s="6" t="n"/>
      <c r="H96" s="6" t="n"/>
      <c r="I96" s="6" t="n"/>
      <c r="J96" s="6" t="n"/>
      <c r="K96" s="6" t="n"/>
      <c r="L96" s="6" t="inlineStr">
        <is>
          <t>S,C</t>
        </is>
      </c>
      <c r="M96" s="6" t="inlineStr">
        <is>
          <t>A_SURVEILLER</t>
        </is>
      </c>
      <c r="N96" s="6" t="inlineStr">
        <is>
          <t>A_SURVEILLER</t>
        </is>
      </c>
      <c r="O96" s="6" t="inlineStr">
        <is>
          <t>ADMETTRE_PILOTE</t>
        </is>
      </c>
      <c r="P96" s="6" t="inlineStr">
        <is>
          <t>08/09/2026</t>
        </is>
      </c>
      <c r="Q96" s="6" t="inlineStr">
        <is>
          <t>Clarté360 — revue méthodologique</t>
        </is>
      </c>
      <c r="R96" s="6" t="inlineStr">
        <is>
          <t>Qualification théorique avant pilote ; décision empirique à confirmer après collecte.</t>
        </is>
      </c>
    </row>
    <row r="97" ht="100.8" customHeight="1" s="34">
      <c r="A97" s="13">
        <f>QUESTIONS!A97</f>
        <v/>
      </c>
      <c r="B97" s="13">
        <f>QUESTIONS!B97</f>
        <v/>
      </c>
      <c r="C97" s="13">
        <f>QUESTIONS!H97</f>
        <v/>
      </c>
      <c r="D97" s="13">
        <f>QUESTIONS!I97</f>
        <v/>
      </c>
      <c r="E97" s="13">
        <f>QUESTIONS!AJ97</f>
        <v/>
      </c>
      <c r="F97" s="6" t="n"/>
      <c r="G97" s="6" t="n"/>
      <c r="H97" s="6" t="n"/>
      <c r="I97" s="6" t="n"/>
      <c r="J97" s="6" t="n"/>
      <c r="K97" s="6" t="n"/>
      <c r="L97" s="6" t="inlineStr">
        <is>
          <t>C,S</t>
        </is>
      </c>
      <c r="M97" s="6" t="inlineStr">
        <is>
          <t>A_SURVEILLER</t>
        </is>
      </c>
      <c r="N97" s="6" t="inlineStr">
        <is>
          <t>A_SURVEILLER</t>
        </is>
      </c>
      <c r="O97" s="6" t="inlineStr">
        <is>
          <t>ADMETTRE_PILOTE</t>
        </is>
      </c>
      <c r="P97" s="6" t="inlineStr">
        <is>
          <t>08/09/2026</t>
        </is>
      </c>
      <c r="Q97" s="6" t="inlineStr">
        <is>
          <t>Clarté360 — revue méthodologique</t>
        </is>
      </c>
      <c r="R97" s="6" t="inlineStr">
        <is>
          <t>Qualification théorique avant pilote ; décision empirique à confirmer après collecte.</t>
        </is>
      </c>
    </row>
    <row r="98" ht="100.8" customHeight="1" s="34">
      <c r="A98" s="13">
        <f>QUESTIONS!A98</f>
        <v/>
      </c>
      <c r="B98" s="13">
        <f>QUESTIONS!B98</f>
        <v/>
      </c>
      <c r="C98" s="13">
        <f>QUESTIONS!H98</f>
        <v/>
      </c>
      <c r="D98" s="13">
        <f>QUESTIONS!I98</f>
        <v/>
      </c>
      <c r="E98" s="13">
        <f>QUESTIONS!AJ98</f>
        <v/>
      </c>
      <c r="F98" s="6" t="n"/>
      <c r="G98" s="6" t="n"/>
      <c r="H98" s="6" t="n"/>
      <c r="I98" s="6" t="n"/>
      <c r="J98" s="6" t="n"/>
      <c r="K98" s="6" t="n"/>
      <c r="L98" s="6" t="inlineStr">
        <is>
          <t>C,S</t>
        </is>
      </c>
      <c r="M98" s="6" t="inlineStr">
        <is>
          <t>A_SURVEILLER</t>
        </is>
      </c>
      <c r="N98" s="6" t="inlineStr">
        <is>
          <t>A_SURVEILLER</t>
        </is>
      </c>
      <c r="O98" s="6" t="inlineStr">
        <is>
          <t>ADMETTRE_PILOTE</t>
        </is>
      </c>
      <c r="P98" s="6" t="inlineStr">
        <is>
          <t>08/09/2026</t>
        </is>
      </c>
      <c r="Q98" s="6" t="inlineStr">
        <is>
          <t>Clarté360 — revue méthodologique</t>
        </is>
      </c>
      <c r="R98" s="6" t="inlineStr">
        <is>
          <t>Qualification théorique avant pilote ; décision empirique à confirmer après collecte.</t>
        </is>
      </c>
    </row>
    <row r="99" ht="100.8" customHeight="1" s="34">
      <c r="A99" s="13">
        <f>QUESTIONS!A99</f>
        <v/>
      </c>
      <c r="B99" s="13">
        <f>QUESTIONS!B99</f>
        <v/>
      </c>
      <c r="C99" s="13">
        <f>QUESTIONS!H99</f>
        <v/>
      </c>
      <c r="D99" s="13">
        <f>QUESTIONS!I99</f>
        <v/>
      </c>
      <c r="E99" s="13">
        <f>QUESTIONS!AJ99</f>
        <v/>
      </c>
      <c r="F99" s="6" t="n"/>
      <c r="G99" s="6" t="n"/>
      <c r="H99" s="6" t="n"/>
      <c r="I99" s="6" t="n"/>
      <c r="J99" s="6" t="n"/>
      <c r="K99" s="6" t="n"/>
      <c r="L99" s="6" t="inlineStr">
        <is>
          <t>C,S</t>
        </is>
      </c>
      <c r="M99" s="6" t="inlineStr">
        <is>
          <t>A_SURVEILLER</t>
        </is>
      </c>
      <c r="N99" s="6" t="inlineStr">
        <is>
          <t>A_SURVEILLER</t>
        </is>
      </c>
      <c r="O99" s="6" t="inlineStr">
        <is>
          <t>ADMETTRE_PILOTE</t>
        </is>
      </c>
      <c r="P99" s="6" t="inlineStr">
        <is>
          <t>08/09/2026</t>
        </is>
      </c>
      <c r="Q99" s="6" t="inlineStr">
        <is>
          <t>Clarté360 — revue méthodologique</t>
        </is>
      </c>
      <c r="R99" s="6" t="inlineStr">
        <is>
          <t>Qualification théorique avant pilote ; décision empirique à confirmer après collecte.</t>
        </is>
      </c>
    </row>
    <row r="100" ht="100.8" customHeight="1" s="34">
      <c r="A100" s="13">
        <f>QUESTIONS!A100</f>
        <v/>
      </c>
      <c r="B100" s="13">
        <f>QUESTIONS!B100</f>
        <v/>
      </c>
      <c r="C100" s="13">
        <f>QUESTIONS!H100</f>
        <v/>
      </c>
      <c r="D100" s="13">
        <f>QUESTIONS!I100</f>
        <v/>
      </c>
      <c r="E100" s="13">
        <f>QUESTIONS!AJ100</f>
        <v/>
      </c>
      <c r="F100" s="6" t="n"/>
      <c r="G100" s="6" t="n"/>
      <c r="H100" s="6" t="n"/>
      <c r="I100" s="6" t="n"/>
      <c r="J100" s="6" t="n"/>
      <c r="K100" s="6" t="n"/>
      <c r="L100" s="6" t="inlineStr">
        <is>
          <t>C,S</t>
        </is>
      </c>
      <c r="M100" s="6" t="inlineStr">
        <is>
          <t>A_SURVEILLER</t>
        </is>
      </c>
      <c r="N100" s="6" t="inlineStr">
        <is>
          <t>A_SURVEILLER</t>
        </is>
      </c>
      <c r="O100" s="6" t="inlineStr">
        <is>
          <t>ADMETTRE_PILOTE</t>
        </is>
      </c>
      <c r="P100" s="6" t="inlineStr">
        <is>
          <t>08/09/2026</t>
        </is>
      </c>
      <c r="Q100" s="6" t="inlineStr">
        <is>
          <t>Clarté360 — revue méthodologique</t>
        </is>
      </c>
      <c r="R100" s="6" t="inlineStr">
        <is>
          <t>Qualification théorique avant pilote ; décision empirique à confirmer après collecte.</t>
        </is>
      </c>
    </row>
    <row r="101" ht="100.8" customHeight="1" s="34">
      <c r="A101" s="13">
        <f>QUESTIONS!A101</f>
        <v/>
      </c>
      <c r="B101" s="13">
        <f>QUESTIONS!B101</f>
        <v/>
      </c>
      <c r="C101" s="13">
        <f>QUESTIONS!H101</f>
        <v/>
      </c>
      <c r="D101" s="13">
        <f>QUESTIONS!I101</f>
        <v/>
      </c>
      <c r="E101" s="13">
        <f>QUESTIONS!AJ101</f>
        <v/>
      </c>
      <c r="F101" s="6" t="n"/>
      <c r="G101" s="6" t="n"/>
      <c r="H101" s="6" t="n"/>
      <c r="I101" s="6" t="n"/>
      <c r="J101" s="6" t="n"/>
      <c r="K101" s="6" t="n"/>
      <c r="L101" s="6" t="inlineStr">
        <is>
          <t>S,A</t>
        </is>
      </c>
      <c r="M101" s="6" t="inlineStr">
        <is>
          <t>A_SURVEILLER</t>
        </is>
      </c>
      <c r="N101" s="6" t="inlineStr">
        <is>
          <t>A_SURVEILLER</t>
        </is>
      </c>
      <c r="O101" s="6" t="inlineStr">
        <is>
          <t>ADMETTRE_PILOTE</t>
        </is>
      </c>
      <c r="P101" s="6" t="inlineStr">
        <is>
          <t>08/09/2026</t>
        </is>
      </c>
      <c r="Q101" s="6" t="inlineStr">
        <is>
          <t>Clarté360 — revue méthodologique</t>
        </is>
      </c>
      <c r="R101" s="6" t="inlineStr">
        <is>
          <t>Qualification théorique avant pilote ; décision empirique à confirmer après collecte.</t>
        </is>
      </c>
    </row>
    <row r="102" ht="100.8" customHeight="1" s="34">
      <c r="A102" s="13">
        <f>QUESTIONS!A102</f>
        <v/>
      </c>
      <c r="B102" s="13">
        <f>QUESTIONS!B102</f>
        <v/>
      </c>
      <c r="C102" s="13">
        <f>QUESTIONS!H102</f>
        <v/>
      </c>
      <c r="D102" s="13">
        <f>QUESTIONS!I102</f>
        <v/>
      </c>
      <c r="E102" s="13">
        <f>QUESTIONS!AJ102</f>
        <v/>
      </c>
      <c r="F102" s="6" t="n"/>
      <c r="G102" s="6" t="n"/>
      <c r="H102" s="6" t="n"/>
      <c r="I102" s="6" t="n"/>
      <c r="J102" s="6" t="n"/>
      <c r="K102" s="6" t="n"/>
      <c r="L102" s="6" t="inlineStr">
        <is>
          <t>S,A</t>
        </is>
      </c>
      <c r="M102" s="6" t="inlineStr">
        <is>
          <t>A_SURVEILLER</t>
        </is>
      </c>
      <c r="N102" s="6" t="inlineStr">
        <is>
          <t>A_SURVEILLER</t>
        </is>
      </c>
      <c r="O102" s="6" t="inlineStr">
        <is>
          <t>ADMETTRE_PILOTE</t>
        </is>
      </c>
      <c r="P102" s="6" t="inlineStr">
        <is>
          <t>08/09/2026</t>
        </is>
      </c>
      <c r="Q102" s="6" t="inlineStr">
        <is>
          <t>Clarté360 — revue méthodologique</t>
        </is>
      </c>
      <c r="R102" s="6" t="inlineStr">
        <is>
          <t>Qualification théorique avant pilote ; décision empirique à confirmer après collecte.</t>
        </is>
      </c>
    </row>
    <row r="103" ht="100.8" customHeight="1" s="34">
      <c r="A103" s="13">
        <f>QUESTIONS!A103</f>
        <v/>
      </c>
      <c r="B103" s="13">
        <f>QUESTIONS!B103</f>
        <v/>
      </c>
      <c r="C103" s="13">
        <f>QUESTIONS!H103</f>
        <v/>
      </c>
      <c r="D103" s="13">
        <f>QUESTIONS!I103</f>
        <v/>
      </c>
      <c r="E103" s="13">
        <f>QUESTIONS!AJ103</f>
        <v/>
      </c>
      <c r="F103" s="6" t="n"/>
      <c r="G103" s="6" t="n"/>
      <c r="H103" s="6" t="n"/>
      <c r="I103" s="6" t="n"/>
      <c r="J103" s="6" t="n"/>
      <c r="K103" s="6" t="n"/>
      <c r="L103" s="6" t="inlineStr">
        <is>
          <t>S,A</t>
        </is>
      </c>
      <c r="M103" s="6" t="inlineStr">
        <is>
          <t>A_SURVEILLER</t>
        </is>
      </c>
      <c r="N103" s="6" t="inlineStr">
        <is>
          <t>A_SURVEILLER</t>
        </is>
      </c>
      <c r="O103" s="6" t="inlineStr">
        <is>
          <t>ADMETTRE_PILOTE</t>
        </is>
      </c>
      <c r="P103" s="6" t="inlineStr">
        <is>
          <t>08/09/2026</t>
        </is>
      </c>
      <c r="Q103" s="6" t="inlineStr">
        <is>
          <t>Clarté360 — revue méthodologique</t>
        </is>
      </c>
      <c r="R103" s="6" t="inlineStr">
        <is>
          <t>Qualification théorique avant pilote ; décision empirique à confirmer après collecte.</t>
        </is>
      </c>
    </row>
    <row r="104" ht="100.8" customHeight="1" s="34">
      <c r="A104" s="13">
        <f>QUESTIONS!A104</f>
        <v/>
      </c>
      <c r="B104" s="13">
        <f>QUESTIONS!B104</f>
        <v/>
      </c>
      <c r="C104" s="13">
        <f>QUESTIONS!H104</f>
        <v/>
      </c>
      <c r="D104" s="13">
        <f>QUESTIONS!I104</f>
        <v/>
      </c>
      <c r="E104" s="13">
        <f>QUESTIONS!AJ104</f>
        <v/>
      </c>
      <c r="F104" s="6" t="n"/>
      <c r="G104" s="6" t="n"/>
      <c r="H104" s="6" t="n"/>
      <c r="I104" s="6" t="n"/>
      <c r="J104" s="6" t="n"/>
      <c r="K104" s="6" t="n"/>
      <c r="L104" s="6" t="inlineStr">
        <is>
          <t>S,A</t>
        </is>
      </c>
      <c r="M104" s="6" t="inlineStr">
        <is>
          <t>A_SURVEILLER</t>
        </is>
      </c>
      <c r="N104" s="6" t="inlineStr">
        <is>
          <t>A_SURVEILLER</t>
        </is>
      </c>
      <c r="O104" s="6" t="inlineStr">
        <is>
          <t>ADMETTRE_PILOTE</t>
        </is>
      </c>
      <c r="P104" s="6" t="inlineStr">
        <is>
          <t>08/09/2026</t>
        </is>
      </c>
      <c r="Q104" s="6" t="inlineStr">
        <is>
          <t>Clarté360 — revue méthodologique</t>
        </is>
      </c>
      <c r="R104" s="6" t="inlineStr">
        <is>
          <t>Qualification théorique avant pilote ; décision empirique à confirmer après collecte.</t>
        </is>
      </c>
    </row>
    <row r="105" ht="100.8" customHeight="1" s="34">
      <c r="A105" s="13">
        <f>QUESTIONS!A105</f>
        <v/>
      </c>
      <c r="B105" s="13">
        <f>QUESTIONS!B105</f>
        <v/>
      </c>
      <c r="C105" s="13">
        <f>QUESTIONS!H105</f>
        <v/>
      </c>
      <c r="D105" s="13">
        <f>QUESTIONS!I105</f>
        <v/>
      </c>
      <c r="E105" s="13">
        <f>QUESTIONS!AJ105</f>
        <v/>
      </c>
      <c r="F105" s="6" t="n"/>
      <c r="G105" s="6" t="n"/>
      <c r="H105" s="6" t="n"/>
      <c r="I105" s="6" t="n"/>
      <c r="J105" s="6" t="n"/>
      <c r="K105" s="6" t="n"/>
      <c r="L105" s="6" t="inlineStr">
        <is>
          <t>I</t>
        </is>
      </c>
      <c r="M105" s="6" t="inlineStr">
        <is>
          <t>A_SURVEILLER</t>
        </is>
      </c>
      <c r="N105" s="6" t="inlineStr">
        <is>
          <t>A_SURVEILLER</t>
        </is>
      </c>
      <c r="O105" s="6" t="inlineStr">
        <is>
          <t>ADMETTRE_PILOTE</t>
        </is>
      </c>
      <c r="P105" s="6" t="inlineStr">
        <is>
          <t>08/09/2026</t>
        </is>
      </c>
      <c r="Q105" s="6" t="inlineStr">
        <is>
          <t>Clarté360 — revue méthodologique</t>
        </is>
      </c>
      <c r="R105" s="6" t="inlineStr">
        <is>
          <t>Qualification théorique avant pilote ; décision empirique à confirmer après collecte.</t>
        </is>
      </c>
    </row>
    <row r="106" ht="100.8" customHeight="1" s="34">
      <c r="A106" s="13">
        <f>QUESTIONS!A106</f>
        <v/>
      </c>
      <c r="B106" s="13">
        <f>QUESTIONS!B106</f>
        <v/>
      </c>
      <c r="C106" s="13">
        <f>QUESTIONS!H106</f>
        <v/>
      </c>
      <c r="D106" s="13">
        <f>QUESTIONS!I106</f>
        <v/>
      </c>
      <c r="E106" s="13">
        <f>QUESTIONS!AJ106</f>
        <v/>
      </c>
      <c r="F106" s="6" t="n"/>
      <c r="G106" s="6" t="n"/>
      <c r="H106" s="6" t="n"/>
      <c r="I106" s="6" t="n"/>
      <c r="J106" s="6" t="n"/>
      <c r="K106" s="6" t="n"/>
      <c r="L106" s="6" t="inlineStr">
        <is>
          <t>I</t>
        </is>
      </c>
      <c r="M106" s="6" t="inlineStr">
        <is>
          <t>A_SURVEILLER</t>
        </is>
      </c>
      <c r="N106" s="6" t="inlineStr">
        <is>
          <t>A_SURVEILLER</t>
        </is>
      </c>
      <c r="O106" s="6" t="inlineStr">
        <is>
          <t>ADMETTRE_PILOTE</t>
        </is>
      </c>
      <c r="P106" s="6" t="inlineStr">
        <is>
          <t>08/09/2026</t>
        </is>
      </c>
      <c r="Q106" s="6" t="inlineStr">
        <is>
          <t>Clarté360 — revue méthodologique</t>
        </is>
      </c>
      <c r="R106" s="6" t="inlineStr">
        <is>
          <t>Qualification théorique avant pilote ; décision empirique à confirmer après collecte.</t>
        </is>
      </c>
    </row>
    <row r="107" ht="100.8" customHeight="1" s="34">
      <c r="A107" s="13">
        <f>QUESTIONS!A107</f>
        <v/>
      </c>
      <c r="B107" s="13">
        <f>QUESTIONS!B107</f>
        <v/>
      </c>
      <c r="C107" s="13">
        <f>QUESTIONS!H107</f>
        <v/>
      </c>
      <c r="D107" s="13">
        <f>QUESTIONS!I107</f>
        <v/>
      </c>
      <c r="E107" s="13">
        <f>QUESTIONS!AJ107</f>
        <v/>
      </c>
      <c r="F107" s="6" t="n"/>
      <c r="G107" s="6" t="n"/>
      <c r="H107" s="6" t="n"/>
      <c r="I107" s="6" t="n"/>
      <c r="J107" s="6" t="n"/>
      <c r="K107" s="6" t="n"/>
      <c r="L107" s="6" t="inlineStr">
        <is>
          <t>I</t>
        </is>
      </c>
      <c r="M107" s="6" t="inlineStr">
        <is>
          <t>A_SURVEILLER</t>
        </is>
      </c>
      <c r="N107" s="6" t="inlineStr">
        <is>
          <t>A_SURVEILLER</t>
        </is>
      </c>
      <c r="O107" s="6" t="inlineStr">
        <is>
          <t>ADMETTRE_PILOTE</t>
        </is>
      </c>
      <c r="P107" s="6" t="inlineStr">
        <is>
          <t>08/09/2026</t>
        </is>
      </c>
      <c r="Q107" s="6" t="inlineStr">
        <is>
          <t>Clarté360 — revue méthodologique</t>
        </is>
      </c>
      <c r="R107" s="6" t="inlineStr">
        <is>
          <t>Qualification théorique avant pilote ; décision empirique à confirmer après collecte.</t>
        </is>
      </c>
    </row>
    <row r="108" ht="100.8" customHeight="1" s="34">
      <c r="A108" s="13">
        <f>QUESTIONS!A108</f>
        <v/>
      </c>
      <c r="B108" s="13">
        <f>QUESTIONS!B108</f>
        <v/>
      </c>
      <c r="C108" s="13">
        <f>QUESTIONS!H108</f>
        <v/>
      </c>
      <c r="D108" s="13">
        <f>QUESTIONS!I108</f>
        <v/>
      </c>
      <c r="E108" s="13">
        <f>QUESTIONS!AJ108</f>
        <v/>
      </c>
      <c r="F108" s="6" t="n"/>
      <c r="G108" s="6" t="n"/>
      <c r="H108" s="6" t="n"/>
      <c r="I108" s="6" t="n"/>
      <c r="J108" s="6" t="n"/>
      <c r="K108" s="6" t="n"/>
      <c r="L108" s="6" t="inlineStr">
        <is>
          <t>I</t>
        </is>
      </c>
      <c r="M108" s="6" t="inlineStr">
        <is>
          <t>A_SURVEILLER</t>
        </is>
      </c>
      <c r="N108" s="6" t="inlineStr">
        <is>
          <t>A_SURVEILLER</t>
        </is>
      </c>
      <c r="O108" s="6" t="inlineStr">
        <is>
          <t>ADMETTRE_PILOTE</t>
        </is>
      </c>
      <c r="P108" s="6" t="inlineStr">
        <is>
          <t>08/09/2026</t>
        </is>
      </c>
      <c r="Q108" s="6" t="inlineStr">
        <is>
          <t>Clarté360 — revue méthodologique</t>
        </is>
      </c>
      <c r="R108" s="6" t="inlineStr">
        <is>
          <t>Qualification théorique avant pilote ; décision empirique à confirmer après collecte.</t>
        </is>
      </c>
    </row>
    <row r="109" ht="100.8" customHeight="1" s="34">
      <c r="A109" s="13">
        <f>QUESTIONS!A109</f>
        <v/>
      </c>
      <c r="B109" s="13">
        <f>QUESTIONS!B109</f>
        <v/>
      </c>
      <c r="C109" s="13">
        <f>QUESTIONS!H109</f>
        <v/>
      </c>
      <c r="D109" s="13">
        <f>QUESTIONS!I109</f>
        <v/>
      </c>
      <c r="E109" s="13">
        <f>QUESTIONS!AJ109</f>
        <v/>
      </c>
      <c r="F109" s="6" t="n"/>
      <c r="G109" s="6" t="n"/>
      <c r="H109" s="6" t="n"/>
      <c r="I109" s="6" t="n"/>
      <c r="J109" s="6" t="n"/>
      <c r="K109" s="6" t="n"/>
      <c r="L109" s="6" t="inlineStr">
        <is>
          <t>I</t>
        </is>
      </c>
      <c r="M109" s="6" t="inlineStr">
        <is>
          <t>A_SURVEILLER</t>
        </is>
      </c>
      <c r="N109" s="6" t="inlineStr">
        <is>
          <t>A_SURVEILLER</t>
        </is>
      </c>
      <c r="O109" s="6" t="inlineStr">
        <is>
          <t>ADMETTRE_PILOTE</t>
        </is>
      </c>
      <c r="P109" s="6" t="inlineStr">
        <is>
          <t>08/09/2026</t>
        </is>
      </c>
      <c r="Q109" s="6" t="inlineStr">
        <is>
          <t>Clarté360 — revue méthodologique</t>
        </is>
      </c>
      <c r="R109" s="6" t="inlineStr">
        <is>
          <t>Qualification théorique avant pilote ; décision empirique à confirmer après collecte.</t>
        </is>
      </c>
    </row>
    <row r="110" ht="100.8" customHeight="1" s="34">
      <c r="A110" s="13">
        <f>QUESTIONS!A110</f>
        <v/>
      </c>
      <c r="B110" s="13">
        <f>QUESTIONS!B110</f>
        <v/>
      </c>
      <c r="C110" s="13">
        <f>QUESTIONS!H110</f>
        <v/>
      </c>
      <c r="D110" s="13">
        <f>QUESTIONS!I110</f>
        <v/>
      </c>
      <c r="E110" s="13">
        <f>QUESTIONS!AJ110</f>
        <v/>
      </c>
      <c r="F110" s="6" t="n"/>
      <c r="G110" s="6" t="n"/>
      <c r="H110" s="6" t="n"/>
      <c r="I110" s="6" t="n"/>
      <c r="J110" s="6" t="n"/>
      <c r="K110" s="6" t="n"/>
      <c r="L110" s="6" t="inlineStr">
        <is>
          <t>I</t>
        </is>
      </c>
      <c r="M110" s="6" t="inlineStr">
        <is>
          <t>A_SURVEILLER</t>
        </is>
      </c>
      <c r="N110" s="6" t="inlineStr">
        <is>
          <t>A_SURVEILLER</t>
        </is>
      </c>
      <c r="O110" s="6" t="inlineStr">
        <is>
          <t>ADMETTRE_PILOTE</t>
        </is>
      </c>
      <c r="P110" s="6" t="inlineStr">
        <is>
          <t>08/09/2026</t>
        </is>
      </c>
      <c r="Q110" s="6" t="inlineStr">
        <is>
          <t>Clarté360 — revue méthodologique</t>
        </is>
      </c>
      <c r="R110" s="6" t="inlineStr">
        <is>
          <t>Qualification théorique avant pilote ; décision empirique à confirmer après collecte.</t>
        </is>
      </c>
    </row>
    <row r="111" ht="100.8" customHeight="1" s="34">
      <c r="A111" s="13">
        <f>QUESTIONS!A111</f>
        <v/>
      </c>
      <c r="B111" s="13">
        <f>QUESTIONS!B111</f>
        <v/>
      </c>
      <c r="C111" s="13">
        <f>QUESTIONS!H111</f>
        <v/>
      </c>
      <c r="D111" s="13">
        <f>QUESTIONS!I111</f>
        <v/>
      </c>
      <c r="E111" s="13">
        <f>QUESTIONS!AJ111</f>
        <v/>
      </c>
      <c r="F111" s="6" t="n"/>
      <c r="G111" s="6" t="n"/>
      <c r="H111" s="6" t="n"/>
      <c r="I111" s="6" t="n"/>
      <c r="J111" s="6" t="n"/>
      <c r="K111" s="6" t="n"/>
      <c r="L111" s="6" t="inlineStr">
        <is>
          <t>I</t>
        </is>
      </c>
      <c r="M111" s="6" t="inlineStr">
        <is>
          <t>A_SURVEILLER</t>
        </is>
      </c>
      <c r="N111" s="6" t="inlineStr">
        <is>
          <t>A_SURVEILLER</t>
        </is>
      </c>
      <c r="O111" s="6" t="inlineStr">
        <is>
          <t>ADMETTRE_PILOTE</t>
        </is>
      </c>
      <c r="P111" s="6" t="inlineStr">
        <is>
          <t>08/09/2026</t>
        </is>
      </c>
      <c r="Q111" s="6" t="inlineStr">
        <is>
          <t>Clarté360 — revue méthodologique</t>
        </is>
      </c>
      <c r="R111" s="6" t="inlineStr">
        <is>
          <t>Qualification théorique avant pilote ; décision empirique à confirmer après collecte.</t>
        </is>
      </c>
    </row>
    <row r="112" ht="100.8" customHeight="1" s="34">
      <c r="A112" s="13">
        <f>QUESTIONS!A112</f>
        <v/>
      </c>
      <c r="B112" s="13">
        <f>QUESTIONS!B112</f>
        <v/>
      </c>
      <c r="C112" s="13">
        <f>QUESTIONS!H112</f>
        <v/>
      </c>
      <c r="D112" s="13">
        <f>QUESTIONS!I112</f>
        <v/>
      </c>
      <c r="E112" s="13">
        <f>QUESTIONS!AJ112</f>
        <v/>
      </c>
      <c r="F112" s="6" t="n"/>
      <c r="G112" s="6" t="n"/>
      <c r="H112" s="6" t="n"/>
      <c r="I112" s="6" t="n"/>
      <c r="J112" s="6" t="n"/>
      <c r="K112" s="6" t="n"/>
      <c r="L112" s="6" t="inlineStr">
        <is>
          <t>I</t>
        </is>
      </c>
      <c r="M112" s="6" t="inlineStr">
        <is>
          <t>A_SURVEILLER</t>
        </is>
      </c>
      <c r="N112" s="6" t="inlineStr">
        <is>
          <t>A_SURVEILLER</t>
        </is>
      </c>
      <c r="O112" s="6" t="inlineStr">
        <is>
          <t>ADMETTRE_PILOTE</t>
        </is>
      </c>
      <c r="P112" s="6" t="inlineStr">
        <is>
          <t>08/09/2026</t>
        </is>
      </c>
      <c r="Q112" s="6" t="inlineStr">
        <is>
          <t>Clarté360 — revue méthodologique</t>
        </is>
      </c>
      <c r="R112" s="6" t="inlineStr">
        <is>
          <t>Qualification théorique avant pilote ; décision empirique à confirmer après collecte.</t>
        </is>
      </c>
    </row>
    <row r="113" ht="100.8" customHeight="1" s="34">
      <c r="A113" s="13">
        <f>QUESTIONS!A113</f>
        <v/>
      </c>
      <c r="B113" s="13">
        <f>QUESTIONS!B113</f>
        <v/>
      </c>
      <c r="C113" s="13">
        <f>QUESTIONS!H113</f>
        <v/>
      </c>
      <c r="D113" s="13">
        <f>QUESTIONS!I113</f>
        <v/>
      </c>
      <c r="E113" s="13">
        <f>QUESTIONS!AJ113</f>
        <v/>
      </c>
      <c r="F113" s="6" t="n"/>
      <c r="G113" s="6" t="n"/>
      <c r="H113" s="6" t="n"/>
      <c r="I113" s="6" t="n"/>
      <c r="J113" s="6" t="n"/>
      <c r="K113" s="6" t="n"/>
      <c r="L113" s="6" t="inlineStr">
        <is>
          <t>I</t>
        </is>
      </c>
      <c r="M113" s="6" t="inlineStr">
        <is>
          <t>A_SURVEILLER</t>
        </is>
      </c>
      <c r="N113" s="6" t="inlineStr">
        <is>
          <t>A_SURVEILLER</t>
        </is>
      </c>
      <c r="O113" s="6" t="inlineStr">
        <is>
          <t>ADMETTRE_PILOTE</t>
        </is>
      </c>
      <c r="P113" s="6" t="inlineStr">
        <is>
          <t>08/09/2026</t>
        </is>
      </c>
      <c r="Q113" s="6" t="inlineStr">
        <is>
          <t>Clarté360 — revue méthodologique</t>
        </is>
      </c>
      <c r="R113" s="6" t="inlineStr">
        <is>
          <t>Qualification théorique avant pilote ; décision empirique à confirmer après collecte.</t>
        </is>
      </c>
    </row>
    <row r="114" ht="100.8" customHeight="1" s="34">
      <c r="A114" s="13">
        <f>QUESTIONS!A114</f>
        <v/>
      </c>
      <c r="B114" s="13">
        <f>QUESTIONS!B114</f>
        <v/>
      </c>
      <c r="C114" s="13">
        <f>QUESTIONS!H114</f>
        <v/>
      </c>
      <c r="D114" s="13">
        <f>QUESTIONS!I114</f>
        <v/>
      </c>
      <c r="E114" s="13">
        <f>QUESTIONS!AJ114</f>
        <v/>
      </c>
      <c r="F114" s="6" t="n"/>
      <c r="G114" s="6" t="n"/>
      <c r="H114" s="6" t="n"/>
      <c r="I114" s="6" t="n"/>
      <c r="J114" s="6" t="n"/>
      <c r="K114" s="6" t="n"/>
      <c r="L114" s="6" t="inlineStr">
        <is>
          <t>I</t>
        </is>
      </c>
      <c r="M114" s="6" t="inlineStr">
        <is>
          <t>A_SURVEILLER</t>
        </is>
      </c>
      <c r="N114" s="6" t="inlineStr">
        <is>
          <t>A_SURVEILLER</t>
        </is>
      </c>
      <c r="O114" s="6" t="inlineStr">
        <is>
          <t>ADMETTRE_PILOTE</t>
        </is>
      </c>
      <c r="P114" s="6" t="inlineStr">
        <is>
          <t>08/09/2026</t>
        </is>
      </c>
      <c r="Q114" s="6" t="inlineStr">
        <is>
          <t>Clarté360 — revue méthodologique</t>
        </is>
      </c>
      <c r="R114" s="6" t="inlineStr">
        <is>
          <t>Qualification théorique avant pilote ; décision empirique à confirmer après collecte.</t>
        </is>
      </c>
    </row>
    <row r="115" ht="100.8" customHeight="1" s="34">
      <c r="A115" s="13">
        <f>QUESTIONS!A115</f>
        <v/>
      </c>
      <c r="B115" s="13">
        <f>QUESTIONS!B115</f>
        <v/>
      </c>
      <c r="C115" s="13">
        <f>QUESTIONS!H115</f>
        <v/>
      </c>
      <c r="D115" s="13">
        <f>QUESTIONS!I115</f>
        <v/>
      </c>
      <c r="E115" s="13">
        <f>QUESTIONS!AJ115</f>
        <v/>
      </c>
      <c r="F115" s="6" t="n"/>
      <c r="G115" s="6" t="n"/>
      <c r="H115" s="6" t="n"/>
      <c r="I115" s="6" t="n"/>
      <c r="J115" s="6" t="n"/>
      <c r="K115" s="6" t="n"/>
      <c r="L115" s="6" t="inlineStr">
        <is>
          <t>I</t>
        </is>
      </c>
      <c r="M115" s="6" t="inlineStr">
        <is>
          <t>A_SURVEILLER</t>
        </is>
      </c>
      <c r="N115" s="6" t="inlineStr">
        <is>
          <t>A_SURVEILLER</t>
        </is>
      </c>
      <c r="O115" s="6" t="inlineStr">
        <is>
          <t>ADMETTRE_PILOTE</t>
        </is>
      </c>
      <c r="P115" s="6" t="inlineStr">
        <is>
          <t>08/09/2026</t>
        </is>
      </c>
      <c r="Q115" s="6" t="inlineStr">
        <is>
          <t>Clarté360 — revue méthodologique</t>
        </is>
      </c>
      <c r="R115" s="6" t="inlineStr">
        <is>
          <t>Qualification théorique avant pilote ; décision empirique à confirmer après collecte.</t>
        </is>
      </c>
    </row>
    <row r="116" ht="100.8" customHeight="1" s="34">
      <c r="A116" s="13">
        <f>QUESTIONS!A116</f>
        <v/>
      </c>
      <c r="B116" s="13">
        <f>QUESTIONS!B116</f>
        <v/>
      </c>
      <c r="C116" s="13">
        <f>QUESTIONS!H116</f>
        <v/>
      </c>
      <c r="D116" s="13">
        <f>QUESTIONS!I116</f>
        <v/>
      </c>
      <c r="E116" s="13">
        <f>QUESTIONS!AJ116</f>
        <v/>
      </c>
      <c r="F116" s="6" t="n"/>
      <c r="G116" s="6" t="n"/>
      <c r="H116" s="6" t="n"/>
      <c r="I116" s="6" t="n"/>
      <c r="J116" s="6" t="n"/>
      <c r="K116" s="6" t="n"/>
      <c r="L116" s="6" t="inlineStr">
        <is>
          <t>I</t>
        </is>
      </c>
      <c r="M116" s="6" t="inlineStr">
        <is>
          <t>A_SURVEILLER</t>
        </is>
      </c>
      <c r="N116" s="6" t="inlineStr">
        <is>
          <t>A_SURVEILLER</t>
        </is>
      </c>
      <c r="O116" s="6" t="inlineStr">
        <is>
          <t>ADMETTRE_PILOTE</t>
        </is>
      </c>
      <c r="P116" s="6" t="inlineStr">
        <is>
          <t>08/09/2026</t>
        </is>
      </c>
      <c r="Q116" s="6" t="inlineStr">
        <is>
          <t>Clarté360 — revue méthodologique</t>
        </is>
      </c>
      <c r="R116" s="6" t="inlineStr">
        <is>
          <t>Qualification théorique avant pilote ; décision empirique à confirmer après collecte.</t>
        </is>
      </c>
    </row>
    <row r="117" ht="100.8" customHeight="1" s="34">
      <c r="A117" s="13">
        <f>QUESTIONS!A117</f>
        <v/>
      </c>
      <c r="B117" s="13">
        <f>QUESTIONS!B117</f>
        <v/>
      </c>
      <c r="C117" s="13">
        <f>QUESTIONS!H117</f>
        <v/>
      </c>
      <c r="D117" s="13">
        <f>QUESTIONS!I117</f>
        <v/>
      </c>
      <c r="E117" s="13">
        <f>QUESTIONS!AJ117</f>
        <v/>
      </c>
      <c r="F117" s="6" t="n"/>
      <c r="G117" s="6" t="n"/>
      <c r="H117" s="6" t="n"/>
      <c r="I117" s="6" t="n"/>
      <c r="J117" s="6" t="n"/>
      <c r="K117" s="6" t="n"/>
      <c r="L117" s="6" t="inlineStr">
        <is>
          <t>R,I</t>
        </is>
      </c>
      <c r="M117" s="6" t="inlineStr">
        <is>
          <t>A_SURVEILLER</t>
        </is>
      </c>
      <c r="N117" s="6" t="inlineStr">
        <is>
          <t>A_SURVEILLER</t>
        </is>
      </c>
      <c r="O117" s="6" t="inlineStr">
        <is>
          <t>ADMETTRE_PILOTE</t>
        </is>
      </c>
      <c r="P117" s="6" t="inlineStr">
        <is>
          <t>08/09/2026</t>
        </is>
      </c>
      <c r="Q117" s="6" t="inlineStr">
        <is>
          <t>Clarté360 — revue méthodologique</t>
        </is>
      </c>
      <c r="R117" s="6" t="inlineStr">
        <is>
          <t>Qualification théorique avant pilote ; décision empirique à confirmer après collecte.</t>
        </is>
      </c>
    </row>
    <row r="118" ht="100.8" customHeight="1" s="34">
      <c r="A118" s="13">
        <f>QUESTIONS!A118</f>
        <v/>
      </c>
      <c r="B118" s="13">
        <f>QUESTIONS!B118</f>
        <v/>
      </c>
      <c r="C118" s="13">
        <f>QUESTIONS!H118</f>
        <v/>
      </c>
      <c r="D118" s="13">
        <f>QUESTIONS!I118</f>
        <v/>
      </c>
      <c r="E118" s="13">
        <f>QUESTIONS!AJ118</f>
        <v/>
      </c>
      <c r="F118" s="6" t="n"/>
      <c r="G118" s="6" t="n"/>
      <c r="H118" s="6" t="n"/>
      <c r="I118" s="6" t="n"/>
      <c r="J118" s="6" t="n"/>
      <c r="K118" s="6" t="n"/>
      <c r="L118" s="6" t="inlineStr">
        <is>
          <t>R,I</t>
        </is>
      </c>
      <c r="M118" s="6" t="inlineStr">
        <is>
          <t>A_SURVEILLER</t>
        </is>
      </c>
      <c r="N118" s="6" t="inlineStr">
        <is>
          <t>A_SURVEILLER</t>
        </is>
      </c>
      <c r="O118" s="6" t="inlineStr">
        <is>
          <t>ADMETTRE_PILOTE</t>
        </is>
      </c>
      <c r="P118" s="6" t="inlineStr">
        <is>
          <t>08/09/2026</t>
        </is>
      </c>
      <c r="Q118" s="6" t="inlineStr">
        <is>
          <t>Clarté360 — revue méthodologique</t>
        </is>
      </c>
      <c r="R118" s="6" t="inlineStr">
        <is>
          <t>Qualification théorique avant pilote ; décision empirique à confirmer après collecte.</t>
        </is>
      </c>
    </row>
    <row r="119" ht="100.8" customHeight="1" s="34">
      <c r="A119" s="13">
        <f>QUESTIONS!A119</f>
        <v/>
      </c>
      <c r="B119" s="13">
        <f>QUESTIONS!B119</f>
        <v/>
      </c>
      <c r="C119" s="13">
        <f>QUESTIONS!H119</f>
        <v/>
      </c>
      <c r="D119" s="13">
        <f>QUESTIONS!I119</f>
        <v/>
      </c>
      <c r="E119" s="13">
        <f>QUESTIONS!AJ119</f>
        <v/>
      </c>
      <c r="F119" s="6" t="n"/>
      <c r="G119" s="6" t="n"/>
      <c r="H119" s="6" t="n"/>
      <c r="I119" s="6" t="n"/>
      <c r="J119" s="6" t="n"/>
      <c r="K119" s="6" t="n"/>
      <c r="L119" s="6" t="inlineStr">
        <is>
          <t>R,I</t>
        </is>
      </c>
      <c r="M119" s="6" t="inlineStr">
        <is>
          <t>A_SURVEILLER</t>
        </is>
      </c>
      <c r="N119" s="6" t="inlineStr">
        <is>
          <t>A_SURVEILLER</t>
        </is>
      </c>
      <c r="O119" s="6" t="inlineStr">
        <is>
          <t>ADMETTRE_PILOTE</t>
        </is>
      </c>
      <c r="P119" s="6" t="inlineStr">
        <is>
          <t>08/09/2026</t>
        </is>
      </c>
      <c r="Q119" s="6" t="inlineStr">
        <is>
          <t>Clarté360 — revue méthodologique</t>
        </is>
      </c>
      <c r="R119" s="6" t="inlineStr">
        <is>
          <t>Qualification théorique avant pilote ; décision empirique à confirmer après collecte.</t>
        </is>
      </c>
    </row>
    <row r="120" ht="100.8" customHeight="1" s="34">
      <c r="A120" s="13">
        <f>QUESTIONS!A120</f>
        <v/>
      </c>
      <c r="B120" s="13">
        <f>QUESTIONS!B120</f>
        <v/>
      </c>
      <c r="C120" s="13">
        <f>QUESTIONS!H120</f>
        <v/>
      </c>
      <c r="D120" s="13">
        <f>QUESTIONS!I120</f>
        <v/>
      </c>
      <c r="E120" s="13">
        <f>QUESTIONS!AJ120</f>
        <v/>
      </c>
      <c r="F120" s="6" t="n"/>
      <c r="G120" s="6" t="n"/>
      <c r="H120" s="6" t="n"/>
      <c r="I120" s="6" t="n"/>
      <c r="J120" s="6" t="n"/>
      <c r="K120" s="6" t="n"/>
      <c r="L120" s="6" t="inlineStr">
        <is>
          <t>R,I</t>
        </is>
      </c>
      <c r="M120" s="6" t="inlineStr">
        <is>
          <t>A_SURVEILLER</t>
        </is>
      </c>
      <c r="N120" s="6" t="inlineStr">
        <is>
          <t>A_SURVEILLER</t>
        </is>
      </c>
      <c r="O120" s="6" t="inlineStr">
        <is>
          <t>ADMETTRE_PILOTE</t>
        </is>
      </c>
      <c r="P120" s="6" t="inlineStr">
        <is>
          <t>08/09/2026</t>
        </is>
      </c>
      <c r="Q120" s="6" t="inlineStr">
        <is>
          <t>Clarté360 — revue méthodologique</t>
        </is>
      </c>
      <c r="R120" s="6" t="inlineStr">
        <is>
          <t>Qualification théorique avant pilote ; décision empirique à confirmer après collecte.</t>
        </is>
      </c>
    </row>
    <row r="121" ht="100.8" customHeight="1" s="34">
      <c r="A121" s="13">
        <f>QUESTIONS!A121</f>
        <v/>
      </c>
      <c r="B121" s="13">
        <f>QUESTIONS!B121</f>
        <v/>
      </c>
      <c r="C121" s="13">
        <f>QUESTIONS!H121</f>
        <v/>
      </c>
      <c r="D121" s="13">
        <f>QUESTIONS!I121</f>
        <v/>
      </c>
      <c r="E121" s="13">
        <f>QUESTIONS!AJ121</f>
        <v/>
      </c>
      <c r="F121" s="6" t="n"/>
      <c r="G121" s="6" t="n"/>
      <c r="H121" s="6" t="n"/>
      <c r="I121" s="6" t="n"/>
      <c r="J121" s="6" t="n"/>
      <c r="K121" s="6" t="n"/>
      <c r="L121" s="6" t="inlineStr">
        <is>
          <t>E</t>
        </is>
      </c>
      <c r="M121" s="6" t="inlineStr">
        <is>
          <t>A_SURVEILLER</t>
        </is>
      </c>
      <c r="N121" s="6" t="inlineStr">
        <is>
          <t>A_SURVEILLER</t>
        </is>
      </c>
      <c r="O121" s="6" t="inlineStr">
        <is>
          <t>ADMETTRE_PILOTE</t>
        </is>
      </c>
      <c r="P121" s="6" t="inlineStr">
        <is>
          <t>08/09/2026</t>
        </is>
      </c>
      <c r="Q121" s="6" t="inlineStr">
        <is>
          <t>Clarté360 — revue méthodologique</t>
        </is>
      </c>
      <c r="R121" s="6" t="inlineStr">
        <is>
          <t>Qualification théorique avant pilote ; décision empirique à confirmer après collecte.</t>
        </is>
      </c>
    </row>
    <row r="122" ht="100.8" customHeight="1" s="34">
      <c r="A122" s="13">
        <f>QUESTIONS!A122</f>
        <v/>
      </c>
      <c r="B122" s="13">
        <f>QUESTIONS!B122</f>
        <v/>
      </c>
      <c r="C122" s="13">
        <f>QUESTIONS!H122</f>
        <v/>
      </c>
      <c r="D122" s="13">
        <f>QUESTIONS!I122</f>
        <v/>
      </c>
      <c r="E122" s="13">
        <f>QUESTIONS!AJ122</f>
        <v/>
      </c>
      <c r="F122" s="6" t="n"/>
      <c r="G122" s="6" t="n"/>
      <c r="H122" s="6" t="n"/>
      <c r="I122" s="6" t="n"/>
      <c r="J122" s="6" t="n"/>
      <c r="K122" s="6" t="n"/>
      <c r="L122" s="6" t="inlineStr">
        <is>
          <t>E</t>
        </is>
      </c>
      <c r="M122" s="6" t="inlineStr">
        <is>
          <t>A_SURVEILLER</t>
        </is>
      </c>
      <c r="N122" s="6" t="inlineStr">
        <is>
          <t>A_SURVEILLER</t>
        </is>
      </c>
      <c r="O122" s="6" t="inlineStr">
        <is>
          <t>ADMETTRE_PILOTE</t>
        </is>
      </c>
      <c r="P122" s="6" t="inlineStr">
        <is>
          <t>08/09/2026</t>
        </is>
      </c>
      <c r="Q122" s="6" t="inlineStr">
        <is>
          <t>Clarté360 — revue méthodologique</t>
        </is>
      </c>
      <c r="R122" s="6" t="inlineStr">
        <is>
          <t>Qualification théorique avant pilote ; décision empirique à confirmer après collecte.</t>
        </is>
      </c>
    </row>
    <row r="123" ht="100.8" customHeight="1" s="34">
      <c r="A123" s="13">
        <f>QUESTIONS!A123</f>
        <v/>
      </c>
      <c r="B123" s="13">
        <f>QUESTIONS!B123</f>
        <v/>
      </c>
      <c r="C123" s="13">
        <f>QUESTIONS!H123</f>
        <v/>
      </c>
      <c r="D123" s="13">
        <f>QUESTIONS!I123</f>
        <v/>
      </c>
      <c r="E123" s="13">
        <f>QUESTIONS!AJ123</f>
        <v/>
      </c>
      <c r="F123" s="6" t="n"/>
      <c r="G123" s="6" t="n"/>
      <c r="H123" s="6" t="n"/>
      <c r="I123" s="6" t="n"/>
      <c r="J123" s="6" t="n"/>
      <c r="K123" s="6" t="n"/>
      <c r="L123" s="6" t="inlineStr">
        <is>
          <t>E</t>
        </is>
      </c>
      <c r="M123" s="6" t="inlineStr">
        <is>
          <t>A_SURVEILLER</t>
        </is>
      </c>
      <c r="N123" s="6" t="inlineStr">
        <is>
          <t>A_SURVEILLER</t>
        </is>
      </c>
      <c r="O123" s="6" t="inlineStr">
        <is>
          <t>ADMETTRE_PILOTE</t>
        </is>
      </c>
      <c r="P123" s="6" t="inlineStr">
        <is>
          <t>08/09/2026</t>
        </is>
      </c>
      <c r="Q123" s="6" t="inlineStr">
        <is>
          <t>Clarté360 — revue méthodologique</t>
        </is>
      </c>
      <c r="R123" s="6" t="inlineStr">
        <is>
          <t>Qualification théorique avant pilote ; décision empirique à confirmer après collecte.</t>
        </is>
      </c>
    </row>
    <row r="124" ht="100.8" customHeight="1" s="34">
      <c r="A124" s="13">
        <f>QUESTIONS!A124</f>
        <v/>
      </c>
      <c r="B124" s="13">
        <f>QUESTIONS!B124</f>
        <v/>
      </c>
      <c r="C124" s="13">
        <f>QUESTIONS!H124</f>
        <v/>
      </c>
      <c r="D124" s="13">
        <f>QUESTIONS!I124</f>
        <v/>
      </c>
      <c r="E124" s="13">
        <f>QUESTIONS!AJ124</f>
        <v/>
      </c>
      <c r="F124" s="6" t="n"/>
      <c r="G124" s="6" t="n"/>
      <c r="H124" s="6" t="n"/>
      <c r="I124" s="6" t="n"/>
      <c r="J124" s="6" t="n"/>
      <c r="K124" s="6" t="n"/>
      <c r="L124" s="6" t="inlineStr">
        <is>
          <t>E</t>
        </is>
      </c>
      <c r="M124" s="6" t="inlineStr">
        <is>
          <t>A_SURVEILLER</t>
        </is>
      </c>
      <c r="N124" s="6" t="inlineStr">
        <is>
          <t>A_SURVEILLER</t>
        </is>
      </c>
      <c r="O124" s="6" t="inlineStr">
        <is>
          <t>ADMETTRE_PILOTE</t>
        </is>
      </c>
      <c r="P124" s="6" t="inlineStr">
        <is>
          <t>08/09/2026</t>
        </is>
      </c>
      <c r="Q124" s="6" t="inlineStr">
        <is>
          <t>Clarté360 — revue méthodologique</t>
        </is>
      </c>
      <c r="R124" s="6" t="inlineStr">
        <is>
          <t>Qualification théorique avant pilote ; décision empirique à confirmer après collecte.</t>
        </is>
      </c>
    </row>
  </sheetData>
  <autoFilter ref="A4:R124"/>
  <mergeCells count="2">
    <mergeCell ref="A2:R2"/>
    <mergeCell ref="A1:R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7.xml><?xml version="1.0" encoding="utf-8"?>
<worksheet xmlns="http://schemas.openxmlformats.org/spreadsheetml/2006/main">
  <sheetPr>
    <tabColor rgb="FF17365D"/>
    <outlinePr summaryBelow="1" summaryRight="1"/>
    <pageSetUpPr fitToPage="1"/>
  </sheetPr>
  <dimension ref="A1:H13"/>
  <sheetViews>
    <sheetView showGridLines="0" zoomScale="85" workbookViewId="0">
      <pane ySplit="3" topLeftCell="A4" activePane="bottomLeft" state="frozen"/>
      <selection pane="bottomLeft" activeCell="A1" sqref="A1"/>
    </sheetView>
  </sheetViews>
  <sheetFormatPr baseColWidth="10" defaultColWidth="8.88671875" defaultRowHeight="14.4"/>
  <cols>
    <col width="45" customWidth="1" style="34" min="1" max="1"/>
    <col width="16" customWidth="1" style="34" min="2" max="2"/>
    <col width="18" customWidth="1" style="34" min="3" max="4"/>
    <col width="17" customWidth="1" style="34" min="5" max="5"/>
    <col width="45" customWidth="1" style="34" min="6" max="7"/>
    <col width="19" customWidth="1" style="34" min="8" max="8"/>
  </cols>
  <sheetData>
    <row r="1" ht="25.95" customHeight="1" s="34">
      <c r="A1" s="35" t="inlineStr">
        <is>
          <t>CHANGELOG — GOUVERNANCE DU RÉFÉRENTIEL</t>
        </is>
      </c>
    </row>
    <row r="2" ht="30" customHeight="1" s="34">
      <c r="A2" s="33" t="inlineStr">
        <is>
          <t>Chaque changement publié doit être documenté.</t>
        </is>
      </c>
    </row>
    <row r="4" ht="30" customHeight="1" s="34">
      <c r="A4" s="1" t="inlineStr">
        <is>
          <t>date</t>
        </is>
      </c>
      <c r="B4" s="1" t="inlineStr">
        <is>
          <t>objet</t>
        </is>
      </c>
      <c r="C4" s="1" t="inlineStr">
        <is>
          <t>ancienne_version</t>
        </is>
      </c>
      <c r="D4" s="1" t="inlineStr">
        <is>
          <t>nouvelle_version</t>
        </is>
      </c>
      <c r="E4" s="1" t="inlineStr">
        <is>
          <t>type_changement</t>
        </is>
      </c>
      <c r="F4" s="1" t="inlineStr">
        <is>
          <t>description</t>
        </is>
      </c>
      <c r="G4" s="1" t="inlineStr">
        <is>
          <t>justification</t>
        </is>
      </c>
      <c r="H4" s="1" t="inlineStr">
        <is>
          <t>auteur_validateur</t>
        </is>
      </c>
    </row>
    <row r="5" ht="28.8" customHeight="1" s="34">
      <c r="A5" s="9" t="inlineStr">
        <is>
          <t>08/09/2026</t>
        </is>
      </c>
      <c r="B5" s="9" t="inlineStr">
        <is>
          <t>Tableur maître</t>
        </is>
      </c>
      <c r="C5" s="9" t="n"/>
      <c r="D5" s="9" t="inlineStr">
        <is>
          <t>0.1</t>
        </is>
      </c>
      <c r="E5" s="9" t="inlineStr">
        <is>
          <t>CREATION</t>
        </is>
      </c>
      <c r="F5" s="9" t="inlineStr">
        <is>
          <t>Création de la structure opérationnelle complète du classeur maître.</t>
        </is>
      </c>
      <c r="G5" s="9" t="inlineStr">
        <is>
          <t>Mise en œuvre du Référentiel méthodologique V1.0 et du CDC.</t>
        </is>
      </c>
      <c r="H5" s="9" t="inlineStr">
        <is>
          <t>Clarté360</t>
        </is>
      </c>
    </row>
    <row r="6" ht="28.8" customHeight="1" s="34">
      <c r="A6" s="9" t="inlineStr">
        <is>
          <t>08/09/2026</t>
        </is>
      </c>
      <c r="B6" s="9" t="inlineStr">
        <is>
          <t>Banque d’items</t>
        </is>
      </c>
      <c r="C6" s="9" t="n"/>
      <c r="D6" s="9" t="inlineStr">
        <is>
          <t>PIP-BANK-0.1</t>
        </is>
      </c>
      <c r="E6" s="9" t="inlineStr">
        <is>
          <t>STRUCTURE</t>
        </is>
      </c>
      <c r="F6" s="9" t="inlineStr">
        <is>
          <t>Création de 120 emplacements candidats équilibrés : 20 par dimension / 4 par facette.</t>
        </is>
      </c>
      <c r="G6" s="9" t="inlineStr">
        <is>
          <t>Préparer la rédaction sans figer prématurément les items.</t>
        </is>
      </c>
      <c r="H6" s="9" t="inlineStr">
        <is>
          <t>Clarté360</t>
        </is>
      </c>
    </row>
    <row r="7" ht="28.8" customHeight="1" s="34">
      <c r="A7" s="9" t="inlineStr">
        <is>
          <t>08/09/2026</t>
        </is>
      </c>
      <c r="B7" s="9" t="inlineStr">
        <is>
          <t>O*NET</t>
        </is>
      </c>
      <c r="C7" s="9" t="n"/>
      <c r="D7" s="9" t="inlineStr">
        <is>
          <t>API_WEB_SERVICES</t>
        </is>
      </c>
      <c r="E7" s="9" t="inlineStr">
        <is>
          <t>ARCHITECTURE</t>
        </is>
      </c>
      <c r="F7" s="9" t="inlineStr">
        <is>
          <t>O*NET traité comme instrument externe via API ; aucun item ni secret O*NET dans le classeur.</t>
        </is>
      </c>
      <c r="G7" s="9" t="inlineStr">
        <is>
          <t>Séparation stricte PIP / O*NET et sécurité des secrets.</t>
        </is>
      </c>
      <c r="H7" s="9" t="inlineStr">
        <is>
          <t>Clarté360</t>
        </is>
      </c>
    </row>
    <row r="8" ht="57.6" customHeight="1" s="34">
      <c r="A8" s="9" t="inlineStr">
        <is>
          <t>08/09/2026</t>
        </is>
      </c>
      <c r="B8" s="9" t="inlineStr">
        <is>
          <t>Banque d’items</t>
        </is>
      </c>
      <c r="C8" s="9" t="inlineStr">
        <is>
          <t>PIP-BANK-0.1</t>
        </is>
      </c>
      <c r="D8" s="9" t="inlineStr">
        <is>
          <t>PIP-BANK-0.2</t>
        </is>
      </c>
      <c r="E8" s="9" t="inlineStr">
        <is>
          <t>INTEGRATION</t>
        </is>
      </c>
      <c r="F8" s="9" t="inlineStr">
        <is>
          <t>Intégration des 120 formulations validées dans la feuille QUESTIONS ; classement dimension/facette/bloc vérifié ID par ID ; statut passé à REVU.</t>
        </is>
      </c>
      <c r="G8" s="9" t="inlineStr">
        <is>
          <t>Validation de lisibilité et de contemporanéité des formulations avant phase de biais/validation pilote.</t>
        </is>
      </c>
      <c r="H8" s="9" t="inlineStr">
        <is>
          <t>Clarté360</t>
        </is>
      </c>
    </row>
    <row r="9" ht="129.6" customHeight="1" s="34">
      <c r="A9" s="9" t="inlineStr">
        <is>
          <t>0.3</t>
        </is>
      </c>
      <c r="B9" s="9" t="inlineStr">
        <is>
          <t>08/09/2026</t>
        </is>
      </c>
      <c r="C9" s="9" t="inlineStr">
        <is>
          <t>Qualification méthodologique des 120 items : justifications dimension/facette, dimensions concurrentes, revue structurée des biais, statut PILOTE.</t>
        </is>
      </c>
      <c r="D9" s="9" t="inlineStr">
        <is>
          <t>ChatGPT / Clarté360</t>
        </is>
      </c>
      <c r="E9" s="9" t="inlineStr">
        <is>
          <t>BANQUE_PILOTE</t>
        </is>
      </c>
      <c r="F9" s="9" t="n"/>
      <c r="G9" s="9" t="n"/>
      <c r="H9" s="9" t="n"/>
    </row>
    <row r="10">
      <c r="A10" t="inlineStr">
        <is>
          <t>0.4</t>
        </is>
      </c>
      <c r="B10" t="inlineStr">
        <is>
          <t>10/09/2026</t>
        </is>
      </c>
      <c r="C10" t="inlineStr">
        <is>
          <t>Revue contextualisation + recette réelle</t>
        </is>
      </c>
      <c r="D10" t="inlineStr">
        <is>
          <t>Ajout d’une feuille CONTEXTUALISATION avec 120 exemples concrets distincts des formulations source ; ajout RECETTE_L1 ; aucune modification du scoring ni des textes source.</t>
        </is>
      </c>
      <c r="E10" t="inlineStr">
        <is>
          <t>Clarté360</t>
        </is>
      </c>
    </row>
    <row r="11">
      <c r="A11" t="inlineStr">
        <is>
          <t>V0.5</t>
        </is>
      </c>
      <c r="B11" t="inlineStr">
        <is>
          <t>18/09/2026</t>
        </is>
      </c>
      <c r="C11" t="inlineStr">
        <is>
          <t>Jalon A — passage documenté de 120 à 72 items, 12 par dimension, 30 facettes couvertes, formulations concrètes intégrées, historique 120 conservé.</t>
        </is>
      </c>
    </row>
    <row r="12">
      <c r="A12" t="inlineStr">
        <is>
          <t>18/09/2026</t>
        </is>
      </c>
      <c r="B12" t="inlineStr">
        <is>
          <t>Banque 72 / protocole de réponse</t>
        </is>
      </c>
      <c r="C12" t="inlineStr">
        <is>
          <t>V0.5 / PIP-BANK-0.4</t>
        </is>
      </c>
      <c r="D12" t="inlineStr">
        <is>
          <t>V0.5.1 / PIP-BANK-0.5</t>
        </is>
      </c>
      <c r="E12" t="inlineStr">
        <is>
          <t>REFORMULATION_INTERETS</t>
        </is>
      </c>
      <c r="F12" t="inlineStr">
        <is>
          <t>Réécriture des 72 items pour mesurer explicitement ce que la personne aimerait réaliser dans son travail ; ajout d’un protocole de réponse 1–5 « J’aimerais… » et rappel que l’outil ne mesure pas les compétences.</t>
        </is>
      </c>
      <c r="G12" t="inlineStr">
        <is>
          <t>Améliorer la compréhension utilisateur tout en conservant les construits Holland/RIASEC et les 30 facettes.</t>
        </is>
      </c>
      <c r="H12" t="inlineStr">
        <is>
          <t>Clarté360 / ChatGPT</t>
        </is>
      </c>
    </row>
    <row r="13">
      <c r="A13" t="inlineStr">
        <is>
          <t>V0.6</t>
        </is>
      </c>
      <c r="B13" t="inlineStr">
        <is>
          <t>18/09/2026</t>
        </is>
      </c>
      <c r="C13" t="inlineStr">
        <is>
          <t>Jalon A1 — banque 72 centrée intérêts</t>
        </is>
      </c>
      <c r="D13" t="inlineStr">
        <is>
          <t>Trois onglets de travail visibles ; formulations finales centrées sur l’envie de réaliser l’activité ; nouvelle échelle « J’aimerais » ; source métier destinée à générer le JSON runtime.</t>
        </is>
      </c>
      <c r="E13" t="inlineStr">
        <is>
          <t>Clarté360 / ChatGPT</t>
        </is>
      </c>
    </row>
  </sheetData>
  <autoFilter ref="A4:H7"/>
  <mergeCells count="2">
    <mergeCell ref="A2:H2"/>
    <mergeCell ref="A1:H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8.xml><?xml version="1.0" encoding="utf-8"?>
<worksheet xmlns="http://schemas.openxmlformats.org/spreadsheetml/2006/main">
  <sheetPr>
    <tabColor rgb="FF7030A0"/>
    <outlinePr summaryBelow="1" summaryRight="1"/>
    <pageSetUpPr fitToPage="1"/>
  </sheetPr>
  <dimension ref="A1:G12"/>
  <sheetViews>
    <sheetView showGridLines="0" zoomScale="85" workbookViewId="0">
      <pane ySplit="4" topLeftCell="A5" activePane="bottomLeft" state="frozen"/>
      <selection pane="bottomLeft" activeCell="A1" sqref="A1"/>
    </sheetView>
  </sheetViews>
  <sheetFormatPr baseColWidth="10" defaultColWidth="8.88671875" defaultRowHeight="14.4"/>
  <cols>
    <col width="55" customWidth="1" style="34" min="1" max="2"/>
    <col width="24" customWidth="1" style="34" min="3" max="3"/>
    <col width="12" customWidth="1" style="34" min="4" max="5"/>
    <col width="47" customWidth="1" style="34" min="6" max="6"/>
    <col width="55" customWidth="1" style="34" min="7" max="7"/>
  </cols>
  <sheetData>
    <row r="1" ht="25.95" customHeight="1" s="34">
      <c r="A1" s="35" t="inlineStr">
        <is>
          <t>O*NET® — CONFIGURATION NON SECRÈTE</t>
        </is>
      </c>
    </row>
    <row r="2" ht="30" customHeight="1" s="34">
      <c r="A2" s="33" t="inlineStr">
        <is>
          <t>Instrument externe. Cette feuille ne contient ni les 60 items ni la clé API.</t>
        </is>
      </c>
    </row>
    <row r="4" ht="30" customHeight="1" s="34">
      <c r="A4" s="10" t="inlineStr">
        <is>
          <t>parametre</t>
        </is>
      </c>
      <c r="B4" s="10" t="inlineStr">
        <is>
          <t>valeur</t>
        </is>
      </c>
      <c r="C4" s="10" t="inlineStr">
        <is>
          <t>statut</t>
        </is>
      </c>
      <c r="D4" s="10" t="inlineStr">
        <is>
          <t>modifiable</t>
        </is>
      </c>
      <c r="E4" s="10" t="inlineStr">
        <is>
          <t>secret</t>
        </is>
      </c>
      <c r="F4" s="10" t="inlineStr">
        <is>
          <t>source</t>
        </is>
      </c>
      <c r="G4" s="10" t="inlineStr">
        <is>
          <t>commentaire</t>
        </is>
      </c>
    </row>
    <row r="5">
      <c r="A5" s="9" t="inlineStr">
        <is>
          <t>instrument</t>
        </is>
      </c>
      <c r="B5" s="9" t="inlineStr">
        <is>
          <t>O*NET Interest Profiler Short Form 60</t>
        </is>
      </c>
      <c r="C5" s="9" t="inlineStr">
        <is>
          <t>CIBLE</t>
        </is>
      </c>
      <c r="D5" s="9" t="inlineStr">
        <is>
          <t>NON</t>
        </is>
      </c>
      <c r="E5" s="9" t="inlineStr">
        <is>
          <t>NON</t>
        </is>
      </c>
      <c r="F5" s="9" t="inlineStr">
        <is>
          <t>https://www.onetcenter.org/IP.html</t>
        </is>
      </c>
      <c r="G5" s="9" t="inlineStr">
        <is>
          <t>Toujours après PIP ; jamais O*NET seul.</t>
        </is>
      </c>
    </row>
    <row r="6">
      <c r="A6" s="9" t="inlineStr">
        <is>
          <t>langue</t>
        </is>
      </c>
      <c r="B6" s="9" t="inlineStr">
        <is>
          <t>anglais original</t>
        </is>
      </c>
      <c r="C6" s="9" t="inlineStr">
        <is>
          <t>CIBLE</t>
        </is>
      </c>
      <c r="D6" s="9" t="inlineStr">
        <is>
          <t>NON</t>
        </is>
      </c>
      <c r="E6" s="9" t="inlineStr">
        <is>
          <t>NON</t>
        </is>
      </c>
      <c r="F6" s="9" t="inlineStr">
        <is>
          <t>Référentiel méthodologique V1.0</t>
        </is>
      </c>
      <c r="G6" s="9" t="inlineStr">
        <is>
          <t>Aucune traduction intégrée dans le protocole de référence.</t>
        </is>
      </c>
    </row>
    <row r="7" ht="28.8" customHeight="1" s="34">
      <c r="A7" s="9" t="inlineStr">
        <is>
          <t>integration</t>
        </is>
      </c>
      <c r="B7" s="9" t="inlineStr">
        <is>
          <t>O*NET Web Services API</t>
        </is>
      </c>
      <c r="C7" s="9" t="inlineStr">
        <is>
          <t>EN_ATTENTE_APPROBATION</t>
        </is>
      </c>
      <c r="D7" s="9" t="inlineStr">
        <is>
          <t>OUI</t>
        </is>
      </c>
      <c r="E7" s="9" t="inlineStr">
        <is>
          <t>NON</t>
        </is>
      </c>
      <c r="F7" s="9" t="inlineStr">
        <is>
          <t>https://services.onetcenter.org/</t>
        </is>
      </c>
      <c r="G7" s="9" t="inlineStr">
        <is>
          <t>Projet développeur Clarté360 soumis à approbation.</t>
        </is>
      </c>
    </row>
    <row r="8">
      <c r="A8" s="9" t="inlineStr">
        <is>
          <t>api_key</t>
        </is>
      </c>
      <c r="B8" s="9" t="inlineStr">
        <is>
          <t>NE_JAMAIS_STOCKER_ICI</t>
        </is>
      </c>
      <c r="C8" s="9" t="inlineStr">
        <is>
          <t>INTERDIT</t>
        </is>
      </c>
      <c r="D8" s="9" t="inlineStr">
        <is>
          <t>NON</t>
        </is>
      </c>
      <c r="E8" s="9" t="inlineStr">
        <is>
          <t>OUI</t>
        </is>
      </c>
      <c r="F8" s="9" t="inlineStr">
        <is>
          <t>VPS secrets</t>
        </is>
      </c>
      <c r="G8" s="9" t="inlineStr">
        <is>
          <t>Variable d’environnement / secret serveur uniquement.</t>
        </is>
      </c>
    </row>
    <row r="9">
      <c r="A9" s="9" t="inlineStr">
        <is>
          <t>credit</t>
        </is>
      </c>
      <c r="B9" s="9" t="inlineStr">
        <is>
          <t>Crédit O*NET à reprendre depuis les instructions officielles</t>
        </is>
      </c>
      <c r="C9" s="9" t="inlineStr">
        <is>
          <t>A_FINALISER</t>
        </is>
      </c>
      <c r="D9" s="9" t="inlineStr">
        <is>
          <t>OUI</t>
        </is>
      </c>
      <c r="E9" s="9" t="inlineStr">
        <is>
          <t>NON</t>
        </is>
      </c>
      <c r="F9" s="9" t="inlineStr">
        <is>
          <t>https://services.onetcenter.org/</t>
        </is>
      </c>
      <c r="G9" s="9" t="inlineStr">
        <is>
          <t>Archiver le texte exact et sa date lors de mise en production.</t>
        </is>
      </c>
    </row>
    <row r="10" ht="28.8" customHeight="1" s="34">
      <c r="A10" s="9" t="inlineStr">
        <is>
          <t>licence</t>
        </is>
      </c>
      <c r="B10" s="9" t="inlineStr">
        <is>
          <t>À archiver selon modalité d’intégration retenue</t>
        </is>
      </c>
      <c r="C10" s="9" t="inlineStr">
        <is>
          <t>A_FINALISER</t>
        </is>
      </c>
      <c r="D10" s="9" t="inlineStr">
        <is>
          <t>OUI</t>
        </is>
      </c>
      <c r="E10" s="9" t="inlineStr">
        <is>
          <t>NON</t>
        </is>
      </c>
      <c r="F10" s="9" t="inlineStr">
        <is>
          <t>https://www.onetcenter.org/license_tools.html</t>
        </is>
      </c>
      <c r="G10" s="9" t="inlineStr">
        <is>
          <t>Ne jamais laisser entendre une validation de Clarté360 par USDOL/ETA.</t>
        </is>
      </c>
    </row>
    <row r="11">
      <c r="A11" s="9" t="inlineStr">
        <is>
          <t>parcours_autorises</t>
        </is>
      </c>
      <c r="B11" s="9" t="inlineStr">
        <is>
          <t>PIP seul | PIP + O*NET</t>
        </is>
      </c>
      <c r="C11" s="9" t="inlineStr">
        <is>
          <t>ACTIF</t>
        </is>
      </c>
      <c r="D11" s="9" t="inlineStr">
        <is>
          <t>NON</t>
        </is>
      </c>
      <c r="E11" s="9" t="inlineStr">
        <is>
          <t>NON</t>
        </is>
      </c>
      <c r="F11" s="9" t="inlineStr">
        <is>
          <t>CDC</t>
        </is>
      </c>
      <c r="G11" s="9" t="inlineStr">
        <is>
          <t>O*NET seul interdit.</t>
        </is>
      </c>
    </row>
    <row r="12" ht="28.8" customHeight="1" s="34">
      <c r="A12" s="9" t="inlineStr">
        <is>
          <t>mode_public</t>
        </is>
      </c>
      <c r="B12" s="9" t="inlineStr">
        <is>
          <t>gratuit, public, sans inscription bénéficiaire</t>
        </is>
      </c>
      <c r="C12" s="9" t="inlineStr">
        <is>
          <t>PREVU</t>
        </is>
      </c>
      <c r="D12" s="9" t="inlineStr">
        <is>
          <t>OUI</t>
        </is>
      </c>
      <c r="E12" s="9" t="inlineStr">
        <is>
          <t>NON</t>
        </is>
      </c>
      <c r="F12" s="9" t="inlineStr">
        <is>
          <t>CDC</t>
        </is>
      </c>
      <c r="G12" s="9" t="inlineStr">
        <is>
          <t>L’identification action/bénéficiaire concerne seulement le mode Accompagnement.</t>
        </is>
      </c>
    </row>
  </sheetData>
  <autoFilter ref="A4:G12"/>
  <mergeCells count="2">
    <mergeCell ref="A2:G2"/>
    <mergeCell ref="A1:G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19.xml><?xml version="1.0" encoding="utf-8"?>
<worksheet xmlns="http://schemas.openxmlformats.org/spreadsheetml/2006/main">
  <sheetPr>
    <tabColor rgb="FF7030A0"/>
    <outlinePr summaryBelow="1" summaryRight="1"/>
    <pageSetUpPr fitToPage="1"/>
  </sheetPr>
  <dimension ref="A1:L8"/>
  <sheetViews>
    <sheetView showGridLines="0" zoomScale="85" workbookViewId="0">
      <selection activeCell="A1" sqref="A1"/>
    </sheetView>
  </sheetViews>
  <sheetFormatPr baseColWidth="10" defaultColWidth="8.88671875" defaultRowHeight="14.4"/>
  <cols>
    <col width="30" customWidth="1" style="34" min="1" max="1"/>
    <col width="16" customWidth="1" style="34" min="2" max="2"/>
    <col width="17" customWidth="1" style="34" min="3" max="3"/>
    <col width="18" customWidth="1" style="34" min="4" max="4"/>
    <col width="14" customWidth="1" style="34" min="5" max="5"/>
    <col width="12" customWidth="1" style="34" min="6" max="11"/>
    <col width="30" customWidth="1" style="34" min="12" max="12"/>
  </cols>
  <sheetData>
    <row r="1" ht="25.95" customHeight="1" s="34">
      <c r="A1" s="35" t="inlineStr">
        <is>
          <t>SCHÉMA DE DONNÉES COMPARATIF PIP ↔ O*NET</t>
        </is>
      </c>
    </row>
    <row r="2" ht="30" customHeight="1" s="34">
      <c r="A2" s="33" t="inlineStr">
        <is>
          <t>Structure d’export/analyse — pas de verdict automatique.</t>
        </is>
      </c>
    </row>
    <row r="4" ht="30" customHeight="1" s="34">
      <c r="A4" s="1" t="inlineStr">
        <is>
          <t>pair_id</t>
        </is>
      </c>
      <c r="B4" s="1" t="inlineStr">
        <is>
          <t>pip_session_id</t>
        </is>
      </c>
      <c r="C4" s="1" t="inlineStr">
        <is>
          <t>onet_session_id</t>
        </is>
      </c>
      <c r="D4" s="1" t="inlineStr">
        <is>
          <t>pip_bank_version</t>
        </is>
      </c>
      <c r="E4" s="1" t="inlineStr">
        <is>
          <t>onet_version</t>
        </is>
      </c>
      <c r="F4" s="1" t="inlineStr">
        <is>
          <t>R_pip</t>
        </is>
      </c>
      <c r="G4" s="1" t="inlineStr">
        <is>
          <t>I_pip</t>
        </is>
      </c>
      <c r="H4" s="1" t="inlineStr">
        <is>
          <t>A_pip</t>
        </is>
      </c>
      <c r="I4" s="1" t="inlineStr">
        <is>
          <t>S_pip</t>
        </is>
      </c>
      <c r="J4" s="1" t="inlineStr">
        <is>
          <t>E_pip</t>
        </is>
      </c>
      <c r="K4" s="1" t="inlineStr">
        <is>
          <t>C_pip</t>
        </is>
      </c>
      <c r="L4" s="1" t="inlineStr">
        <is>
          <t>notes</t>
        </is>
      </c>
    </row>
    <row r="5" ht="43.2" customHeight="1" s="34">
      <c r="A5" s="5" t="inlineStr">
        <is>
          <t>EXEMPLE_STRUCTURE</t>
        </is>
      </c>
      <c r="B5" s="5" t="n"/>
      <c r="C5" s="5" t="n"/>
      <c r="D5" s="5" t="n"/>
      <c r="E5" s="5" t="n"/>
      <c r="F5" s="5" t="n"/>
      <c r="G5" s="5" t="n"/>
      <c r="H5" s="5" t="n"/>
      <c r="I5" s="5" t="n"/>
      <c r="J5" s="5" t="n"/>
      <c r="K5" s="5" t="n"/>
      <c r="L5" s="5" t="inlineStr">
        <is>
          <t>Ligne d’exemple de structure uniquement. Les données réelles seront générées par l’application.</t>
        </is>
      </c>
    </row>
    <row r="7">
      <c r="A7" s="41" t="inlineStr">
        <is>
          <t>Variables O*NET à stocker séparément : scores RIASEC originaux, rangs, code, version/date instrument, horodatages et métadonnées autorisées selon API.</t>
        </is>
      </c>
    </row>
    <row r="8"/>
  </sheetData>
  <mergeCells count="3">
    <mergeCell ref="A7:L8"/>
    <mergeCell ref="A2:L2"/>
    <mergeCell ref="A1:L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20.xml><?xml version="1.0" encoding="utf-8"?>
<worksheet xmlns="http://schemas.openxmlformats.org/spreadsheetml/2006/main">
  <sheetPr>
    <tabColor rgb="FF548235"/>
    <outlinePr summaryBelow="1" summaryRight="1"/>
    <pageSetUpPr fitToPage="1"/>
  </sheetPr>
  <dimension ref="A1:K11"/>
  <sheetViews>
    <sheetView showGridLines="0" zoomScale="85" workbookViewId="0">
      <selection activeCell="A1" sqref="A1"/>
    </sheetView>
  </sheetViews>
  <sheetFormatPr baseColWidth="10" defaultColWidth="8.88671875" defaultRowHeight="14.4"/>
  <cols>
    <col width="22" customWidth="1" style="34" min="1" max="1"/>
    <col width="20" customWidth="1" style="34" min="2" max="2"/>
    <col width="12" customWidth="1" style="34" min="3" max="11"/>
  </cols>
  <sheetData>
    <row r="1" ht="25.95" customHeight="1" s="34">
      <c r="A1" s="35" t="inlineStr">
        <is>
          <t>TESTS DE SCORING — JEUX SYNTHÉTIQUES</t>
        </is>
      </c>
    </row>
    <row r="2" ht="30" customHeight="1" s="34">
      <c r="A2" s="33" t="inlineStr">
        <is>
          <t>Contrôle humain des formules de base avant implémentation applicative.</t>
        </is>
      </c>
    </row>
    <row r="4" ht="30" customHeight="1" s="34">
      <c r="A4" s="1" t="inlineStr">
        <is>
          <t>scenario</t>
        </is>
      </c>
      <c r="B4" s="1" t="inlineStr">
        <is>
          <t>R_moy</t>
        </is>
      </c>
      <c r="C4" s="1" t="inlineStr">
        <is>
          <t>I_moy</t>
        </is>
      </c>
      <c r="D4" s="1" t="inlineStr">
        <is>
          <t>A_moy</t>
        </is>
      </c>
      <c r="E4" s="1" t="inlineStr">
        <is>
          <t>S_moy</t>
        </is>
      </c>
      <c r="F4" s="1" t="inlineStr">
        <is>
          <t>E_moy</t>
        </is>
      </c>
      <c r="G4" s="1" t="inlineStr">
        <is>
          <t>C_moy</t>
        </is>
      </c>
      <c r="H4" s="1" t="inlineStr">
        <is>
          <t>R_indice</t>
        </is>
      </c>
      <c r="I4" s="1" t="inlineStr">
        <is>
          <t>I_indice</t>
        </is>
      </c>
      <c r="J4" s="1" t="inlineStr">
        <is>
          <t>A_indice</t>
        </is>
      </c>
      <c r="K4" s="1" t="inlineStr">
        <is>
          <t>S_indice</t>
        </is>
      </c>
    </row>
    <row r="5">
      <c r="A5" s="14" t="inlineStr">
        <is>
          <t>Toutes réponses neutres</t>
        </is>
      </c>
      <c r="B5" s="14" t="n">
        <v>3</v>
      </c>
      <c r="C5" s="14" t="n">
        <v>3</v>
      </c>
      <c r="D5" s="14" t="n">
        <v>3</v>
      </c>
      <c r="E5" s="14" t="n">
        <v>3</v>
      </c>
      <c r="F5" s="14" t="n">
        <v>3</v>
      </c>
      <c r="G5" s="14" t="n">
        <v>3</v>
      </c>
      <c r="H5" s="14">
        <f>25*(B5-1)</f>
        <v/>
      </c>
      <c r="I5" s="14">
        <f>25*(C5-1)</f>
        <v/>
      </c>
      <c r="J5" s="14">
        <f>25*(D5-1)</f>
        <v/>
      </c>
      <c r="K5" s="14">
        <f>25*(E5-1)</f>
        <v/>
      </c>
    </row>
    <row r="6">
      <c r="A6" s="14" t="inlineStr">
        <is>
          <t>R maximal</t>
        </is>
      </c>
      <c r="B6" s="14" t="n">
        <v>5</v>
      </c>
      <c r="C6" s="14" t="n">
        <v>3</v>
      </c>
      <c r="D6" s="14" t="n">
        <v>3</v>
      </c>
      <c r="E6" s="14" t="n">
        <v>3</v>
      </c>
      <c r="F6" s="14" t="n">
        <v>3</v>
      </c>
      <c r="G6" s="14" t="n">
        <v>3</v>
      </c>
      <c r="H6" s="14">
        <f>25*(B6-1)</f>
        <v/>
      </c>
      <c r="I6" s="14">
        <f>25*(C6-1)</f>
        <v/>
      </c>
      <c r="J6" s="14">
        <f>25*(D6-1)</f>
        <v/>
      </c>
      <c r="K6" s="14">
        <f>25*(E6-1)</f>
        <v/>
      </c>
    </row>
    <row r="7">
      <c r="A7" s="14" t="inlineStr">
        <is>
          <t>S/E élevés</t>
        </is>
      </c>
      <c r="B7" s="14" t="n">
        <v>2</v>
      </c>
      <c r="C7" s="14" t="n">
        <v>2</v>
      </c>
      <c r="D7" s="14" t="n">
        <v>2</v>
      </c>
      <c r="E7" s="14" t="n">
        <v>5</v>
      </c>
      <c r="F7" s="14" t="n">
        <v>4.5</v>
      </c>
      <c r="G7" s="14" t="n">
        <v>2</v>
      </c>
      <c r="H7" s="14">
        <f>25*(B7-1)</f>
        <v/>
      </c>
      <c r="I7" s="14">
        <f>25*(C7-1)</f>
        <v/>
      </c>
      <c r="J7" s="14">
        <f>25*(D7-1)</f>
        <v/>
      </c>
      <c r="K7" s="14">
        <f>25*(E7-1)</f>
        <v/>
      </c>
    </row>
    <row r="8">
      <c r="A8" s="14" t="inlineStr">
        <is>
          <t>Profil plat haut</t>
        </is>
      </c>
      <c r="B8" s="14" t="n">
        <v>4</v>
      </c>
      <c r="C8" s="14" t="n">
        <v>4</v>
      </c>
      <c r="D8" s="14" t="n">
        <v>4</v>
      </c>
      <c r="E8" s="14" t="n">
        <v>4</v>
      </c>
      <c r="F8" s="14" t="n">
        <v>4</v>
      </c>
      <c r="G8" s="14" t="n">
        <v>4</v>
      </c>
      <c r="H8" s="14">
        <f>25*(B8-1)</f>
        <v/>
      </c>
      <c r="I8" s="14">
        <f>25*(C8-1)</f>
        <v/>
      </c>
      <c r="J8" s="14">
        <f>25*(D8-1)</f>
        <v/>
      </c>
      <c r="K8" s="14">
        <f>25*(E8-1)</f>
        <v/>
      </c>
    </row>
    <row r="11">
      <c r="A11" s="15" t="inlineStr">
        <is>
          <t>Règle attendue</t>
        </is>
      </c>
      <c r="B11" s="16" t="inlineStr">
        <is>
          <t>1→0 ; 3→50 ; 5→100</t>
        </is>
      </c>
    </row>
  </sheetData>
  <mergeCells count="2">
    <mergeCell ref="A2:K2"/>
    <mergeCell ref="A1:K1"/>
  </mergeCells>
  <pageMargins left="0.75" right="0.75" top="1" bottom="1" header="0.5" footer="0.5"/>
  <pageSetup orientation="landscape" fitToHeight="0"/>
  <headerFooter>
    <oddHeader/>
    <oddFooter>&amp;CClarté360 — Tableur maître PIP RIASEC&amp;RPage &amp;P / &amp;N</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10" defaultColWidth="8.88671875" defaultRowHeight="14.4"/>
  <sheetData>
    <row r="1">
      <c r="A1" t="inlineStr">
        <is>
          <t>STATUT_ITEM</t>
        </is>
      </c>
      <c r="B1" t="inlineStr">
        <is>
          <t>BLOC</t>
        </is>
      </c>
      <c r="C1" t="inlineStr">
        <is>
          <t>DIMENSION</t>
        </is>
      </c>
      <c r="D1" t="inlineStr">
        <is>
          <t>RISQUE</t>
        </is>
      </c>
      <c r="E1" t="inlineStr">
        <is>
          <t>DECISION_VALIDATION</t>
        </is>
      </c>
      <c r="F1" t="inlineStr">
        <is>
          <t>OUI_NON</t>
        </is>
      </c>
      <c r="G1" t="inlineStr">
        <is>
          <t>FACETTE</t>
        </is>
      </c>
      <c r="I1" t="inlineStr">
        <is>
          <t>DECISION_EXEMPLE</t>
        </is>
      </c>
      <c r="J1" t="inlineStr">
        <is>
          <t>STATUT_REVUE_CTX</t>
        </is>
      </c>
    </row>
    <row r="2">
      <c r="A2" t="inlineStr">
        <is>
          <t>BROUILLON</t>
        </is>
      </c>
      <c r="B2" t="inlineStr">
        <is>
          <t>ACT</t>
        </is>
      </c>
      <c r="C2" t="inlineStr">
        <is>
          <t>R</t>
        </is>
      </c>
      <c r="D2" t="inlineStr">
        <is>
          <t>A_EVALUER</t>
        </is>
      </c>
      <c r="F2" t="inlineStr">
        <is>
          <t>OUI</t>
        </is>
      </c>
      <c r="G2" t="inlineStr">
        <is>
          <t>R1</t>
        </is>
      </c>
      <c r="I2" t="inlineStr">
        <is>
          <t>A_VALIDER</t>
        </is>
      </c>
      <c r="J2" t="inlineStr">
        <is>
          <t>PROPOSITION_V0.4</t>
        </is>
      </c>
    </row>
    <row r="3">
      <c r="A3" t="inlineStr">
        <is>
          <t>REVU</t>
        </is>
      </c>
      <c r="B3" t="inlineStr">
        <is>
          <t>SIT</t>
        </is>
      </c>
      <c r="C3" t="inlineStr">
        <is>
          <t>I</t>
        </is>
      </c>
      <c r="D3" t="inlineStr">
        <is>
          <t>FAIBLE</t>
        </is>
      </c>
      <c r="E3" t="inlineStr">
        <is>
          <t>MAINTENIR</t>
        </is>
      </c>
      <c r="F3" t="inlineStr">
        <is>
          <t>NON</t>
        </is>
      </c>
      <c r="G3" t="inlineStr">
        <is>
          <t>R2</t>
        </is>
      </c>
      <c r="I3" t="inlineStr">
        <is>
          <t>VALIDER</t>
        </is>
      </c>
      <c r="J3" t="inlineStr">
        <is>
          <t>REVU_METHODO</t>
        </is>
      </c>
    </row>
    <row r="4">
      <c r="A4" t="inlineStr">
        <is>
          <t>PILOTE</t>
        </is>
      </c>
      <c r="B4" t="inlineStr">
        <is>
          <t>ENV</t>
        </is>
      </c>
      <c r="C4" t="inlineStr">
        <is>
          <t>A</t>
        </is>
      </c>
      <c r="D4" t="inlineStr">
        <is>
          <t>MOYEN</t>
        </is>
      </c>
      <c r="E4" t="inlineStr">
        <is>
          <t>REVOIR</t>
        </is>
      </c>
      <c r="G4" t="inlineStr">
        <is>
          <t>R3</t>
        </is>
      </c>
      <c r="I4" t="inlineStr">
        <is>
          <t>MODIFIER</t>
        </is>
      </c>
      <c r="J4" t="inlineStr">
        <is>
          <t>VALIDE_PILOTE</t>
        </is>
      </c>
    </row>
    <row r="5">
      <c r="A5" t="inlineStr">
        <is>
          <t>ACTIF</t>
        </is>
      </c>
      <c r="C5" t="inlineStr">
        <is>
          <t>S</t>
        </is>
      </c>
      <c r="D5" t="inlineStr">
        <is>
          <t>ELEVE</t>
        </is>
      </c>
      <c r="E5" t="inlineStr">
        <is>
          <t>RETIRER</t>
        </is>
      </c>
      <c r="G5" t="inlineStr">
        <is>
          <t>R4</t>
        </is>
      </c>
      <c r="I5" t="inlineStr">
        <is>
          <t>NE_PAS_AFFICHER</t>
        </is>
      </c>
      <c r="J5" t="inlineStr">
        <is>
          <t>RETIRE</t>
        </is>
      </c>
    </row>
    <row r="6">
      <c r="A6" t="inlineStr">
        <is>
          <t>RETIRÉ</t>
        </is>
      </c>
      <c r="C6" t="inlineStr">
        <is>
          <t>E</t>
        </is>
      </c>
      <c r="D6" t="inlineStr">
        <is>
          <t>NON_APPLICABLE</t>
        </is>
      </c>
      <c r="E6" t="inlineStr">
        <is>
          <t>A_RETESTER</t>
        </is>
      </c>
      <c r="G6" t="inlineStr">
        <is>
          <t>R5</t>
        </is>
      </c>
    </row>
    <row r="7">
      <c r="C7" t="inlineStr">
        <is>
          <t>C</t>
        </is>
      </c>
      <c r="G7" t="inlineStr">
        <is>
          <t>I1</t>
        </is>
      </c>
    </row>
    <row r="8">
      <c r="G8" t="inlineStr">
        <is>
          <t>I2</t>
        </is>
      </c>
    </row>
    <row r="9">
      <c r="G9" t="inlineStr">
        <is>
          <t>I3</t>
        </is>
      </c>
    </row>
    <row r="10">
      <c r="G10" t="inlineStr">
        <is>
          <t>I4</t>
        </is>
      </c>
    </row>
    <row r="11">
      <c r="G11" t="inlineStr">
        <is>
          <t>I5</t>
        </is>
      </c>
    </row>
    <row r="12">
      <c r="G12" t="inlineStr">
        <is>
          <t>A1</t>
        </is>
      </c>
    </row>
    <row r="13">
      <c r="G13" t="inlineStr">
        <is>
          <t>A2</t>
        </is>
      </c>
    </row>
    <row r="14">
      <c r="G14" t="inlineStr">
        <is>
          <t>A3</t>
        </is>
      </c>
    </row>
    <row r="15">
      <c r="G15" t="inlineStr">
        <is>
          <t>A4</t>
        </is>
      </c>
    </row>
    <row r="16">
      <c r="G16" t="inlineStr">
        <is>
          <t>A5</t>
        </is>
      </c>
    </row>
    <row r="17">
      <c r="G17" t="inlineStr">
        <is>
          <t>S1</t>
        </is>
      </c>
    </row>
    <row r="18">
      <c r="G18" t="inlineStr">
        <is>
          <t>S2</t>
        </is>
      </c>
    </row>
    <row r="19">
      <c r="G19" t="inlineStr">
        <is>
          <t>S3</t>
        </is>
      </c>
    </row>
    <row r="20">
      <c r="G20" t="inlineStr">
        <is>
          <t>S4</t>
        </is>
      </c>
    </row>
    <row r="21">
      <c r="G21" t="inlineStr">
        <is>
          <t>S5</t>
        </is>
      </c>
    </row>
    <row r="22">
      <c r="G22" t="inlineStr">
        <is>
          <t>E1</t>
        </is>
      </c>
    </row>
    <row r="23">
      <c r="G23" t="inlineStr">
        <is>
          <t>E2</t>
        </is>
      </c>
    </row>
    <row r="24">
      <c r="G24" t="inlineStr">
        <is>
          <t>E3</t>
        </is>
      </c>
    </row>
    <row r="25">
      <c r="G25" t="inlineStr">
        <is>
          <t>E4</t>
        </is>
      </c>
    </row>
    <row r="26">
      <c r="G26" t="inlineStr">
        <is>
          <t>E5</t>
        </is>
      </c>
    </row>
    <row r="27">
      <c r="G27" t="inlineStr">
        <is>
          <t>C1</t>
        </is>
      </c>
    </row>
    <row r="28">
      <c r="G28" t="inlineStr">
        <is>
          <t>C2</t>
        </is>
      </c>
    </row>
    <row r="29">
      <c r="G29" t="inlineStr">
        <is>
          <t>C3</t>
        </is>
      </c>
    </row>
    <row r="30">
      <c r="G30" t="inlineStr">
        <is>
          <t>C4</t>
        </is>
      </c>
    </row>
    <row r="31">
      <c r="G31" t="inlineStr">
        <is>
          <t>C5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10" customWidth="1" style="34" min="1" max="1"/>
    <col width="28" customWidth="1" style="34" min="2" max="2"/>
    <col width="12" customWidth="1" style="34" min="3" max="3"/>
    <col width="18" customWidth="1" style="34" min="4" max="4"/>
    <col width="12" customWidth="1" style="34" min="5" max="5"/>
    <col width="12" customWidth="1" style="34" min="6" max="6"/>
    <col width="10" customWidth="1" style="34" min="7" max="7"/>
    <col width="55" customWidth="1" style="34" min="8" max="8"/>
    <col width="70" customWidth="1" style="34" min="9" max="9"/>
    <col width="95" customWidth="1" style="34" min="10" max="10"/>
    <col width="70" customWidth="1" style="34" min="11" max="11"/>
    <col width="18" customWidth="1" style="34" min="12" max="12"/>
    <col width="20" customWidth="1" style="34" min="13" max="13"/>
    <col width="24" customWidth="1" style="34" min="14" max="14"/>
  </cols>
  <sheetData>
    <row r="1">
      <c r="A1" s="42" t="inlineStr">
        <is>
          <t>ordre</t>
        </is>
      </c>
      <c r="B1" s="42" t="inlineStr">
        <is>
          <t>item_id_source</t>
        </is>
      </c>
      <c r="C1" s="42" t="inlineStr">
        <is>
          <t>item_version</t>
        </is>
      </c>
      <c r="D1" s="42" t="inlineStr">
        <is>
          <t>bank_version</t>
        </is>
      </c>
      <c r="E1" s="42" t="inlineStr">
        <is>
          <t>dimension</t>
        </is>
      </c>
      <c r="F1" s="42" t="inlineStr">
        <is>
          <t>facette</t>
        </is>
      </c>
      <c r="G1" s="42" t="inlineStr">
        <is>
          <t>bloc</t>
        </is>
      </c>
      <c r="H1" s="42" t="inlineStr">
        <is>
          <t>formulation_v0_4</t>
        </is>
      </c>
      <c r="I1" s="42" t="inlineStr">
        <is>
          <t>formulation_v0_5_concrete</t>
        </is>
      </c>
      <c r="J1" s="42" t="inlineStr">
        <is>
          <t>formulation_v0_5_1_interet</t>
        </is>
      </c>
      <c r="K1" s="42" t="inlineStr">
        <is>
          <t>motif_revision_v0_5_1</t>
        </is>
      </c>
      <c r="L1" s="42" t="inlineStr">
        <is>
          <t>decision</t>
        </is>
      </c>
      <c r="M1" s="42" t="inlineStr">
        <is>
          <t>justification_selection</t>
        </is>
      </c>
      <c r="N1" s="42" t="inlineStr">
        <is>
          <t>risque_hybridite</t>
        </is>
      </c>
      <c r="O1" s="42" t="inlineStr">
        <is>
          <t>risque_desirabilite</t>
        </is>
      </c>
      <c r="P1" s="42" t="inlineStr">
        <is>
          <t>risque_familiarite_sectorielle</t>
        </is>
      </c>
    </row>
    <row r="2">
      <c r="A2" s="9" t="n">
        <v>1</v>
      </c>
      <c r="B2" s="9" t="inlineStr">
        <is>
          <t>PIP-ACT-R-R1-001</t>
        </is>
      </c>
      <c r="C2" s="9" t="inlineStr">
        <is>
          <t>0.6</t>
        </is>
      </c>
      <c r="D2" s="9" t="inlineStr">
        <is>
          <t>PIP-BANK-0.5</t>
        </is>
      </c>
      <c r="E2" s="9" t="inlineStr">
        <is>
          <t>R</t>
        </is>
      </c>
      <c r="F2" s="9" t="inlineStr">
        <is>
          <t>R1</t>
        </is>
      </c>
      <c r="G2" s="9" t="inlineStr">
        <is>
          <t>ACT</t>
        </is>
      </c>
      <c r="H2" s="9" t="inlineStr">
        <is>
          <t>Assembler des éléments pour fabriquer un objet fonctionnel.</t>
        </is>
      </c>
      <c r="I2" s="9" t="inlineStr">
        <is>
          <t>Assembler les pièces d’un petit meuble ou d’un support pour qu’il soit solide et utilisable.</t>
        </is>
      </c>
      <c r="J2" s="9" t="inlineStr">
        <is>
          <t>Assembler plusieurs pièces pour obtenir un objet solide et utilisable.</t>
        </is>
      </c>
      <c r="K2" s="9" t="inlineStr">
        <is>
          <t>Reformulation centrée sur l’intérêt pour une activité professionnelle observable ; formulation compatible avec une échelle « J’aimerais… », sans présumer compétence, expérience ni métier actuel.</t>
        </is>
      </c>
      <c r="L2" s="9" t="inlineStr">
        <is>
          <t>RETENU</t>
        </is>
      </c>
      <c r="M2" s="9" t="inlineStr">
        <is>
          <t>Couverture de facette + activité observable ; priorité ACT, complétée par SIT à faible risque.</t>
        </is>
      </c>
      <c r="N2" s="9" t="inlineStr">
        <is>
          <t>FAIBLE</t>
        </is>
      </c>
      <c r="O2" s="9" t="inlineStr">
        <is>
          <t>FAIBLE</t>
        </is>
      </c>
      <c r="P2" s="9" t="inlineStr">
        <is>
          <t>MOYEN</t>
        </is>
      </c>
    </row>
    <row r="3">
      <c r="A3" s="9" t="n">
        <v>2</v>
      </c>
      <c r="B3" s="9" t="inlineStr">
        <is>
          <t>PIP-ACT-R-R1-002</t>
        </is>
      </c>
      <c r="C3" s="9" t="inlineStr">
        <is>
          <t>0.6</t>
        </is>
      </c>
      <c r="D3" s="9" t="inlineStr">
        <is>
          <t>PIP-BANK-0.5</t>
        </is>
      </c>
      <c r="E3" s="9" t="inlineStr">
        <is>
          <t>R</t>
        </is>
      </c>
      <c r="F3" s="9" t="inlineStr">
        <is>
          <t>R1</t>
        </is>
      </c>
      <c r="G3" s="9" t="inlineStr">
        <is>
          <t>ACT</t>
        </is>
      </c>
      <c r="H3" s="9" t="inlineStr">
        <is>
          <t>Transformer une matière ou un matériau pour lui donner une forme utile.</t>
        </is>
      </c>
      <c r="I3" s="9" t="inlineStr">
        <is>
          <t>Travailler du bois, du métal ou un autre matériau pour obtenir une pièce ayant une fonction précise.</t>
        </is>
      </c>
      <c r="J3" s="9" t="inlineStr">
        <is>
          <t>Façonner du bois, du métal ou un autre matériau pour lui donner une forme précise et utile.</t>
        </is>
      </c>
      <c r="K3" s="9" t="inlineStr">
        <is>
          <t>Reformulation centrée sur l’intérêt pour une activité professionnelle observable ; formulation compatible avec une échelle « J’aimerais… », sans présumer compétence, expérience ni métier actuel.</t>
        </is>
      </c>
      <c r="L3" s="9" t="inlineStr">
        <is>
          <t>RETENU</t>
        </is>
      </c>
      <c r="M3" s="9" t="inlineStr">
        <is>
          <t>Couverture de facette + activité observable ; priorité ACT, complétée par SIT à faible risque.</t>
        </is>
      </c>
      <c r="N3" s="9" t="inlineStr">
        <is>
          <t>FAIBLE</t>
        </is>
      </c>
      <c r="O3" s="9" t="inlineStr">
        <is>
          <t>FAIBLE</t>
        </is>
      </c>
      <c r="P3" s="9" t="inlineStr">
        <is>
          <t>MOYEN</t>
        </is>
      </c>
    </row>
    <row r="4">
      <c r="A4" s="9" t="n">
        <v>3</v>
      </c>
      <c r="B4" s="9" t="inlineStr">
        <is>
          <t>PIP-SIT-R-R1-003</t>
        </is>
      </c>
      <c r="C4" s="9" t="inlineStr">
        <is>
          <t>0.6</t>
        </is>
      </c>
      <c r="D4" s="9" t="inlineStr">
        <is>
          <t>PIP-BANK-0.5</t>
        </is>
      </c>
      <c r="E4" s="9" t="inlineStr">
        <is>
          <t>R</t>
        </is>
      </c>
      <c r="F4" s="9" t="inlineStr">
        <is>
          <t>R1</t>
        </is>
      </c>
      <c r="G4" s="9" t="inlineStr">
        <is>
          <t>SIT</t>
        </is>
      </c>
      <c r="H4" s="9" t="inlineStr">
        <is>
          <t>Prendre en charge la réalisation concrète d’un objet ou d’une structure à partir d’éléments séparés.</t>
        </is>
      </c>
      <c r="I4" s="9" t="inlineStr">
        <is>
          <t>À partir de pièces séparées, réaliser concrètement une étagère, un présentoir ou une petite structure.</t>
        </is>
      </c>
      <c r="J4" s="9" t="inlineStr">
        <is>
          <t>Construire concrètement une petite structure à partir d’éléments séparés.</t>
        </is>
      </c>
      <c r="K4" s="9" t="inlineStr">
        <is>
          <t>Reformulation centrée sur l’intérêt pour une activité professionnelle observable ; formulation compatible avec une échelle « J’aimerais… », sans présumer compétence, expérience ni métier actuel.</t>
        </is>
      </c>
      <c r="L4" s="9" t="inlineStr">
        <is>
          <t>RETENU</t>
        </is>
      </c>
      <c r="M4" s="9" t="inlineStr">
        <is>
          <t>Couverture de facette + activité observable ; priorité ACT, complétée par SIT à faible risque.</t>
        </is>
      </c>
      <c r="N4" s="9" t="inlineStr">
        <is>
          <t>FAIBLE</t>
        </is>
      </c>
      <c r="O4" s="9" t="inlineStr">
        <is>
          <t>FAIBLE</t>
        </is>
      </c>
      <c r="P4" s="9" t="inlineStr">
        <is>
          <t>MOYEN</t>
        </is>
      </c>
    </row>
    <row r="5">
      <c r="A5" s="9" t="n">
        <v>4</v>
      </c>
      <c r="B5" s="9" t="inlineStr">
        <is>
          <t>PIP-ACT-R-R2-005</t>
        </is>
      </c>
      <c r="C5" s="9" t="inlineStr">
        <is>
          <t>0.6</t>
        </is>
      </c>
      <c r="D5" s="9" t="inlineStr">
        <is>
          <t>PIP-BANK-0.5</t>
        </is>
      </c>
      <c r="E5" s="9" t="inlineStr">
        <is>
          <t>R</t>
        </is>
      </c>
      <c r="F5" s="9" t="inlineStr">
        <is>
          <t>R2</t>
        </is>
      </c>
      <c r="G5" s="9" t="inlineStr">
        <is>
          <t>ACT</t>
        </is>
      </c>
      <c r="H5" s="9" t="inlineStr">
        <is>
          <t>Installer un équipement pour qu’il soit prêt à fonctionner.</t>
        </is>
      </c>
      <c r="I5" s="9" t="inlineStr">
        <is>
          <t>Installer un poste de travail, un appareil ou un équipement puis vérifier qu’il fonctionne.</t>
        </is>
      </c>
      <c r="J5" s="9" t="inlineStr">
        <is>
          <t>Installer un appareil ou un équipement puis vérifier qu’il fonctionne correctement.</t>
        </is>
      </c>
      <c r="K5" s="9" t="inlineStr">
        <is>
          <t>Reformulation centrée sur l’intérêt pour une activité professionnelle observable ; formulation compatible avec une échelle « J’aimerais… », sans présumer compétence, expérience ni métier actuel.</t>
        </is>
      </c>
      <c r="L5" s="9" t="inlineStr">
        <is>
          <t>RETENU</t>
        </is>
      </c>
      <c r="M5" s="9" t="inlineStr">
        <is>
          <t>Couverture de facette + activité observable ; priorité ACT, complétée par SIT à faible risque.</t>
        </is>
      </c>
      <c r="N5" s="9" t="inlineStr">
        <is>
          <t>FAIBLE</t>
        </is>
      </c>
      <c r="O5" s="9" t="inlineStr">
        <is>
          <t>FAIBLE</t>
        </is>
      </c>
      <c r="P5" s="9" t="inlineStr">
        <is>
          <t>MOYEN</t>
        </is>
      </c>
    </row>
    <row r="6">
      <c r="A6" s="9" t="n">
        <v>5</v>
      </c>
      <c r="B6" s="9" t="inlineStr">
        <is>
          <t>PIP-ACT-R-R2-006</t>
        </is>
      </c>
      <c r="C6" s="9" t="inlineStr">
        <is>
          <t>0.6</t>
        </is>
      </c>
      <c r="D6" s="9" t="inlineStr">
        <is>
          <t>PIP-BANK-0.5</t>
        </is>
      </c>
      <c r="E6" s="9" t="inlineStr">
        <is>
          <t>R</t>
        </is>
      </c>
      <c r="F6" s="9" t="inlineStr">
        <is>
          <t>R2</t>
        </is>
      </c>
      <c r="G6" s="9" t="inlineStr">
        <is>
          <t>ACT</t>
        </is>
      </c>
      <c r="H6" s="9" t="inlineStr">
        <is>
          <t>Réparer un matériel qui ne fonctionne plus correctement.</t>
        </is>
      </c>
      <c r="I6" s="9" t="inlineStr">
        <is>
          <t>Rechercher la panne d’un appareil simple puis intervenir concrètement pour le remettre en service.</t>
        </is>
      </c>
      <c r="J6" s="9" t="inlineStr">
        <is>
          <t>Rechercher la cause d’une panne puis intervenir concrètement pour remettre l’équipement en service.</t>
        </is>
      </c>
      <c r="K6" s="9" t="inlineStr">
        <is>
          <t>Reformulation centrée sur l’intérêt pour une activité professionnelle observable ; formulation compatible avec une échelle « J’aimerais… », sans présumer compétence, expérience ni métier actuel.</t>
        </is>
      </c>
      <c r="L6" s="9" t="inlineStr">
        <is>
          <t>RETENU</t>
        </is>
      </c>
      <c r="M6" s="9" t="inlineStr">
        <is>
          <t>Couverture de facette + activité observable ; priorité ACT, complétée par SIT à faible risque.</t>
        </is>
      </c>
      <c r="N6" s="9" t="inlineStr">
        <is>
          <t>MOYEN</t>
        </is>
      </c>
      <c r="O6" s="9" t="inlineStr">
        <is>
          <t>FAIBLE</t>
        </is>
      </c>
      <c r="P6" s="9" t="inlineStr">
        <is>
          <t>MOYEN</t>
        </is>
      </c>
    </row>
    <row r="7">
      <c r="A7" s="9" t="n">
        <v>6</v>
      </c>
      <c r="B7" s="9" t="inlineStr">
        <is>
          <t>PIP-ACT-R-R3-009</t>
        </is>
      </c>
      <c r="C7" s="9" t="inlineStr">
        <is>
          <t>0.6</t>
        </is>
      </c>
      <c r="D7" s="9" t="inlineStr">
        <is>
          <t>PIP-BANK-0.5</t>
        </is>
      </c>
      <c r="E7" s="9" t="inlineStr">
        <is>
          <t>R</t>
        </is>
      </c>
      <c r="F7" s="9" t="inlineStr">
        <is>
          <t>R3</t>
        </is>
      </c>
      <c r="G7" s="9" t="inlineStr">
        <is>
          <t>ACT</t>
        </is>
      </c>
      <c r="H7" s="9" t="inlineStr">
        <is>
          <t>Utiliser des outils pour réaliser une tâche concrète avec précision.</t>
        </is>
      </c>
      <c r="I7" s="9" t="inlineStr">
        <is>
          <t>Utiliser des outils de mesure et des outils manuels pour réaliser un montage avec précision.</t>
        </is>
      </c>
      <c r="J7" s="9" t="inlineStr">
        <is>
          <t>Utiliser directement des outils de mesure et des outils manuels pour réaliser un montage précis.</t>
        </is>
      </c>
      <c r="K7" s="9" t="inlineStr">
        <is>
          <t>Reformulation centrée sur l’intérêt pour une activité professionnelle observable ; formulation compatible avec une échelle « J’aimerais… », sans présumer compétence, expérience ni métier actuel.</t>
        </is>
      </c>
      <c r="L7" s="9" t="inlineStr">
        <is>
          <t>RETENU</t>
        </is>
      </c>
      <c r="M7" s="9" t="inlineStr">
        <is>
          <t>Couverture de facette + activité observable ; priorité ACT, complétée par SIT à faible risque.</t>
        </is>
      </c>
      <c r="N7" s="9" t="inlineStr">
        <is>
          <t>FAIBLE</t>
        </is>
      </c>
      <c r="O7" s="9" t="inlineStr">
        <is>
          <t>FAIBLE</t>
        </is>
      </c>
      <c r="P7" s="9" t="inlineStr">
        <is>
          <t>MOYEN</t>
        </is>
      </c>
    </row>
    <row r="8">
      <c r="A8" s="9" t="n">
        <v>7</v>
      </c>
      <c r="B8" s="9" t="inlineStr">
        <is>
          <t>PIP-ACT-R-R3-010</t>
        </is>
      </c>
      <c r="C8" s="9" t="inlineStr">
        <is>
          <t>0.6</t>
        </is>
      </c>
      <c r="D8" s="9" t="inlineStr">
        <is>
          <t>PIP-BANK-0.5</t>
        </is>
      </c>
      <c r="E8" s="9" t="inlineStr">
        <is>
          <t>R</t>
        </is>
      </c>
      <c r="F8" s="9" t="inlineStr">
        <is>
          <t>R3</t>
        </is>
      </c>
      <c r="G8" s="9" t="inlineStr">
        <is>
          <t>ACT</t>
        </is>
      </c>
      <c r="H8" s="9" t="inlineStr">
        <is>
          <t>Piloter ou régler une machine pour obtenir le résultat attendu.</t>
        </is>
      </c>
      <c r="I8" s="9" t="inlineStr">
        <is>
          <t>Régler une machine ou un équipement pour obtenir une dimension, une forme ou un résultat précis.</t>
        </is>
      </c>
      <c r="J8" s="9" t="inlineStr">
        <is>
          <t>Régler une machine ou un équipement pour obtenir le résultat demandé.</t>
        </is>
      </c>
      <c r="K8" s="9" t="inlineStr">
        <is>
          <t>Reformulation centrée sur l’intérêt pour une activité professionnelle observable ; formulation compatible avec une échelle « J’aimerais… », sans présumer compétence, expérience ni métier actuel.</t>
        </is>
      </c>
      <c r="L8" s="9" t="inlineStr">
        <is>
          <t>RETENU</t>
        </is>
      </c>
      <c r="M8" s="9" t="inlineStr">
        <is>
          <t>Couverture de facette + activité observable ; priorité ACT, complétée par SIT à faible risque.</t>
        </is>
      </c>
      <c r="N8" s="9" t="inlineStr">
        <is>
          <t>FAIBLE</t>
        </is>
      </c>
      <c r="O8" s="9" t="inlineStr">
        <is>
          <t>FAIBLE</t>
        </is>
      </c>
      <c r="P8" s="9" t="inlineStr">
        <is>
          <t>MOYEN</t>
        </is>
      </c>
    </row>
    <row r="9">
      <c r="A9" s="9" t="n">
        <v>8</v>
      </c>
      <c r="B9" s="9" t="inlineStr">
        <is>
          <t>PIP-SIT-R-R3-011</t>
        </is>
      </c>
      <c r="C9" s="9" t="inlineStr">
        <is>
          <t>0.6</t>
        </is>
      </c>
      <c r="D9" s="9" t="inlineStr">
        <is>
          <t>PIP-BANK-0.5</t>
        </is>
      </c>
      <c r="E9" s="9" t="inlineStr">
        <is>
          <t>R</t>
        </is>
      </c>
      <c r="F9" s="9" t="inlineStr">
        <is>
          <t>R3</t>
        </is>
      </c>
      <c r="G9" s="9" t="inlineStr">
        <is>
          <t>SIT</t>
        </is>
      </c>
      <c r="H9" s="9" t="inlineStr">
        <is>
          <t>Prendre en charge une tâche qui nécessite de manipuler directement un appareil ou un équipement.</t>
        </is>
      </c>
      <c r="I9" s="9" t="inlineStr">
        <is>
          <t>Réaliser une opération qui demande de manipuler directement un appareil, une machine ou un instrument.</t>
        </is>
      </c>
      <c r="J9" s="9" t="inlineStr">
        <is>
          <t>Manipuler directement une machine, un appareil ou un instrument pour réaliser une opération.</t>
        </is>
      </c>
      <c r="K9" s="9" t="inlineStr">
        <is>
          <t>Reformulation centrée sur l’intérêt pour une activité professionnelle observable ; formulation compatible avec une échelle « J’aimerais… », sans présumer compétence, expérience ni métier actuel.</t>
        </is>
      </c>
      <c r="L9" s="9" t="inlineStr">
        <is>
          <t>RETENU</t>
        </is>
      </c>
      <c r="M9" s="9" t="inlineStr">
        <is>
          <t>Couverture de facette + activité observable ; priorité ACT, complétée par SIT à faible risque.</t>
        </is>
      </c>
      <c r="N9" s="9" t="inlineStr">
        <is>
          <t>FAIBLE</t>
        </is>
      </c>
      <c r="O9" s="9" t="inlineStr">
        <is>
          <t>FAIBLE</t>
        </is>
      </c>
      <c r="P9" s="9" t="inlineStr">
        <is>
          <t>MOYEN</t>
        </is>
      </c>
    </row>
    <row r="10">
      <c r="A10" s="9" t="n">
        <v>9</v>
      </c>
      <c r="B10" s="9" t="inlineStr">
        <is>
          <t>PIP-ACT-R-R4-013</t>
        </is>
      </c>
      <c r="C10" s="9" t="inlineStr">
        <is>
          <t>0.6</t>
        </is>
      </c>
      <c r="D10" s="9" t="inlineStr">
        <is>
          <t>PIP-BANK-0.5</t>
        </is>
      </c>
      <c r="E10" s="9" t="inlineStr">
        <is>
          <t>R</t>
        </is>
      </c>
      <c r="F10" s="9" t="inlineStr">
        <is>
          <t>R4</t>
        </is>
      </c>
      <c r="G10" s="9" t="inlineStr">
        <is>
          <t>ACT</t>
        </is>
      </c>
      <c r="H10" s="9" t="inlineStr">
        <is>
          <t>Se rendre sur différents sites pour intervenir directement sur le terrain.</t>
        </is>
      </c>
      <c r="I10" s="9" t="inlineStr">
        <is>
          <t>Se déplacer sur plusieurs sites pour constater une situation et intervenir directement sur place.</t>
        </is>
      </c>
      <c r="J10" s="9" t="inlineStr">
        <is>
          <t>Se déplacer sur le terrain pour constater une situation et intervenir sur place.</t>
        </is>
      </c>
      <c r="K10" s="9" t="inlineStr">
        <is>
          <t>Reformulation centrée sur l’intérêt pour une activité professionnelle observable ; formulation compatible avec une échelle « J’aimerais… », sans présumer compétence, expérience ni métier actuel.</t>
        </is>
      </c>
      <c r="L10" s="9" t="inlineStr">
        <is>
          <t>RETENU</t>
        </is>
      </c>
      <c r="M10" s="9" t="inlineStr">
        <is>
          <t>Couverture de facette + activité observable ; priorité ACT, complétée par SIT à faible risque.</t>
        </is>
      </c>
      <c r="N10" s="9" t="inlineStr">
        <is>
          <t>FAIBLE</t>
        </is>
      </c>
      <c r="O10" s="9" t="inlineStr">
        <is>
          <t>FAIBLE</t>
        </is>
      </c>
      <c r="P10" s="9" t="inlineStr">
        <is>
          <t>MOYEN</t>
        </is>
      </c>
    </row>
    <row r="11">
      <c r="A11" s="9" t="n">
        <v>10</v>
      </c>
      <c r="B11" s="9" t="inlineStr">
        <is>
          <t>PIP-ACT-R-R4-014</t>
        </is>
      </c>
      <c r="C11" s="9" t="inlineStr">
        <is>
          <t>0.6</t>
        </is>
      </c>
      <c r="D11" s="9" t="inlineStr">
        <is>
          <t>PIP-BANK-0.5</t>
        </is>
      </c>
      <c r="E11" s="9" t="inlineStr">
        <is>
          <t>R</t>
        </is>
      </c>
      <c r="F11" s="9" t="inlineStr">
        <is>
          <t>R4</t>
        </is>
      </c>
      <c r="G11" s="9" t="inlineStr">
        <is>
          <t>ACT</t>
        </is>
      </c>
      <c r="H11" s="9" t="inlineStr">
        <is>
          <t>Réaliser une activité professionnelle principalement en extérieur.</t>
        </is>
      </c>
      <c r="I11" s="9" t="inlineStr">
        <is>
          <t>Passer l’essentiel de sa journée de travail dehors, sur un chantier, un site naturel ou un espace extérieur.</t>
        </is>
      </c>
      <c r="J11" s="9" t="inlineStr">
        <is>
          <t>Réaliser une grande partie de son travail à l’extérieur, sur un chantier, un site ou dans un espace naturel.</t>
        </is>
      </c>
      <c r="K11" s="9" t="inlineStr">
        <is>
          <t>Reformulation centrée sur l’intérêt pour une activité professionnelle observable ; formulation compatible avec une échelle « J’aimerais… », sans présumer compétence, expérience ni métier actuel.</t>
        </is>
      </c>
      <c r="L11" s="9" t="inlineStr">
        <is>
          <t>RETENU</t>
        </is>
      </c>
      <c r="M11" s="9" t="inlineStr">
        <is>
          <t>Couverture de facette + activité observable ; priorité ACT, complétée par SIT à faible risque.</t>
        </is>
      </c>
      <c r="N11" s="9" t="inlineStr">
        <is>
          <t>FAIBLE</t>
        </is>
      </c>
      <c r="O11" s="9" t="inlineStr">
        <is>
          <t>FAIBLE</t>
        </is>
      </c>
      <c r="P11" s="9" t="inlineStr">
        <is>
          <t>MOYEN</t>
        </is>
      </c>
    </row>
    <row r="12">
      <c r="A12" s="9" t="n">
        <v>11</v>
      </c>
      <c r="B12" s="9" t="inlineStr">
        <is>
          <t>PIP-ACT-R-R5-017</t>
        </is>
      </c>
      <c r="C12" s="9" t="inlineStr">
        <is>
          <t>0.6</t>
        </is>
      </c>
      <c r="D12" s="9" t="inlineStr">
        <is>
          <t>PIP-BANK-0.5</t>
        </is>
      </c>
      <c r="E12" s="9" t="inlineStr">
        <is>
          <t>R</t>
        </is>
      </c>
      <c r="F12" s="9" t="inlineStr">
        <is>
          <t>R5</t>
        </is>
      </c>
      <c r="G12" s="9" t="inlineStr">
        <is>
          <t>ACT</t>
        </is>
      </c>
      <c r="H12" s="9" t="inlineStr">
        <is>
          <t>S’occuper concrètement de plantes ou d’animaux dans le cadre du travail.</t>
        </is>
      </c>
      <c r="I12" s="9" t="inlineStr">
        <is>
          <t>S’occuper concrètement de cultures, de plantes ou d’animaux : nourrir, entretenir, surveiller leur état.</t>
        </is>
      </c>
      <c r="J12" s="9" t="inlineStr">
        <is>
          <t>Prendre soin concrètement de plantes, de cultures ou d’animaux en assurant leur entretien et leur suivi.</t>
        </is>
      </c>
      <c r="K12" s="9" t="inlineStr">
        <is>
          <t>Reformulation centrée sur l’intérêt pour une activité professionnelle observable ; formulation compatible avec une échelle « J’aimerais… », sans présumer compétence, expérience ni métier actuel.</t>
        </is>
      </c>
      <c r="L12" s="9" t="inlineStr">
        <is>
          <t>RETENU</t>
        </is>
      </c>
      <c r="M12" s="9" t="inlineStr">
        <is>
          <t>Couverture de facette + activité observable ; priorité ACT, complétée par SIT à faible risque.</t>
        </is>
      </c>
      <c r="N12" s="9" t="inlineStr">
        <is>
          <t>MOYEN</t>
        </is>
      </c>
      <c r="O12" s="9" t="inlineStr">
        <is>
          <t>FAIBLE</t>
        </is>
      </c>
      <c r="P12" s="9" t="inlineStr">
        <is>
          <t>MOYEN</t>
        </is>
      </c>
    </row>
    <row r="13">
      <c r="A13" s="9" t="n">
        <v>12</v>
      </c>
      <c r="B13" s="9" t="inlineStr">
        <is>
          <t>PIP-ACT-R-R5-018</t>
        </is>
      </c>
      <c r="C13" s="9" t="inlineStr">
        <is>
          <t>0.6</t>
        </is>
      </c>
      <c r="D13" s="9" t="inlineStr">
        <is>
          <t>PIP-BANK-0.5</t>
        </is>
      </c>
      <c r="E13" s="9" t="inlineStr">
        <is>
          <t>R</t>
        </is>
      </c>
      <c r="F13" s="9" t="inlineStr">
        <is>
          <t>R5</t>
        </is>
      </c>
      <c r="G13" s="9" t="inlineStr">
        <is>
          <t>ACT</t>
        </is>
      </c>
      <c r="H13" s="9" t="inlineStr">
        <is>
          <t>Manipuler des matériaux ou des produits pour réaliser une tâche physique utile.</t>
        </is>
      </c>
      <c r="I13" s="9" t="inlineStr">
        <is>
          <t>Manipuler des matériaux, déplacer des éléments ou préparer physiquement des produits pour réaliser une opération utile.</t>
        </is>
      </c>
      <c r="J13" s="9" t="inlineStr">
        <is>
          <t>Manipuler des matériaux, déplacer ou préparer physiquement des éléments pour réaliser une tâche utile.</t>
        </is>
      </c>
      <c r="K13" s="9" t="inlineStr">
        <is>
          <t>Reformulation centrée sur l’intérêt pour une activité professionnelle observable ; formulation compatible avec une échelle « J’aimerais… », sans présumer compétence, expérience ni métier actuel.</t>
        </is>
      </c>
      <c r="L13" s="9" t="inlineStr">
        <is>
          <t>RETENU</t>
        </is>
      </c>
      <c r="M13" s="9" t="inlineStr">
        <is>
          <t>Couverture de facette + activité observable ; priorité ACT, complétée par SIT à faible risque.</t>
        </is>
      </c>
      <c r="N13" s="9" t="inlineStr">
        <is>
          <t>FAIBLE</t>
        </is>
      </c>
      <c r="O13" s="9" t="inlineStr">
        <is>
          <t>FAIBLE</t>
        </is>
      </c>
      <c r="P13" s="9" t="inlineStr">
        <is>
          <t>MOYEN</t>
        </is>
      </c>
    </row>
    <row r="14">
      <c r="A14" s="9" t="n">
        <v>13</v>
      </c>
      <c r="B14" s="9" t="inlineStr">
        <is>
          <t>PIP-ACT-I-I1-001</t>
        </is>
      </c>
      <c r="C14" s="9" t="inlineStr">
        <is>
          <t>0.6</t>
        </is>
      </c>
      <c r="D14" s="9" t="inlineStr">
        <is>
          <t>PIP-BANK-0.5</t>
        </is>
      </c>
      <c r="E14" s="9" t="inlineStr">
        <is>
          <t>I</t>
        </is>
      </c>
      <c r="F14" s="9" t="inlineStr">
        <is>
          <t>I1</t>
        </is>
      </c>
      <c r="G14" s="9" t="inlineStr">
        <is>
          <t>ACT</t>
        </is>
      </c>
      <c r="H14" s="9" t="inlineStr">
        <is>
          <t>Observer attentivement une situation pour en repérer les caractéristiques importantes.</t>
        </is>
      </c>
      <c r="I14" s="9" t="inlineStr">
        <is>
          <t>Observer un fonctionnement, un phénomène ou une situation et relever les détails importants avant de conclure.</t>
        </is>
      </c>
      <c r="J14" s="9" t="inlineStr">
        <is>
          <t>Observer attentivement un fonctionnement ou une situation pour en repérer les détails importants.</t>
        </is>
      </c>
      <c r="K14" s="9" t="inlineStr">
        <is>
          <t>Reformulation centrée sur l’intérêt pour une activité professionnelle observable ; formulation compatible avec une échelle « J’aimerais… », sans présumer compétence, expérience ni métier actuel.</t>
        </is>
      </c>
      <c r="L14" s="9" t="inlineStr">
        <is>
          <t>RETENU</t>
        </is>
      </c>
      <c r="M14" s="9" t="inlineStr">
        <is>
          <t>Couverture de facette + activité observable ; priorité ACT, complétée par SIT à faible risque.</t>
        </is>
      </c>
      <c r="N14" s="9" t="inlineStr">
        <is>
          <t>FAIBLE</t>
        </is>
      </c>
      <c r="O14" s="9" t="inlineStr">
        <is>
          <t>FAIBLE</t>
        </is>
      </c>
      <c r="P14" s="9" t="inlineStr">
        <is>
          <t>FAIBLE</t>
        </is>
      </c>
    </row>
    <row r="15">
      <c r="A15" s="9" t="n">
        <v>14</v>
      </c>
      <c r="B15" s="9" t="inlineStr">
        <is>
          <t>PIP-ACT-I-I1-002</t>
        </is>
      </c>
      <c r="C15" s="9" t="inlineStr">
        <is>
          <t>0.6</t>
        </is>
      </c>
      <c r="D15" s="9" t="inlineStr">
        <is>
          <t>PIP-BANK-0.5</t>
        </is>
      </c>
      <c r="E15" s="9" t="inlineStr">
        <is>
          <t>I</t>
        </is>
      </c>
      <c r="F15" s="9" t="inlineStr">
        <is>
          <t>I1</t>
        </is>
      </c>
      <c r="G15" s="9" t="inlineStr">
        <is>
          <t>ACT</t>
        </is>
      </c>
      <c r="H15" s="9" t="inlineStr">
        <is>
          <t>Comparer plusieurs informations ou observations pour identifier ce qui les distingue.</t>
        </is>
      </c>
      <c r="I15" s="9" t="inlineStr">
        <is>
          <t>Comparer deux séries d’informations ou d’observations pour identifier précisément ce qui diffère.</t>
        </is>
      </c>
      <c r="J15" s="9" t="inlineStr">
        <is>
          <t>Analyser et comparer plusieurs informations ou observations pour comprendre ce qui les distingue.</t>
        </is>
      </c>
      <c r="K15" s="9" t="inlineStr">
        <is>
          <t>Reformulation centrée sur l’intérêt pour une activité professionnelle observable ; formulation compatible avec une échelle « J’aimerais… », sans présumer compétence, expérience ni métier actuel.</t>
        </is>
      </c>
      <c r="L15" s="9" t="inlineStr">
        <is>
          <t>RETENU</t>
        </is>
      </c>
      <c r="M15" s="9" t="inlineStr">
        <is>
          <t>Couverture de facette + activité observable ; priorité ACT, complétée par SIT à faible risque.</t>
        </is>
      </c>
      <c r="N15" s="9" t="inlineStr">
        <is>
          <t>FAIBLE</t>
        </is>
      </c>
      <c r="O15" s="9" t="inlineStr">
        <is>
          <t>FAIBLE</t>
        </is>
      </c>
      <c r="P15" s="9" t="inlineStr">
        <is>
          <t>FAIBLE</t>
        </is>
      </c>
    </row>
    <row r="16">
      <c r="A16" s="9" t="n">
        <v>15</v>
      </c>
      <c r="B16" s="9" t="inlineStr">
        <is>
          <t>PIP-SIT-I-I1-003</t>
        </is>
      </c>
      <c r="C16" s="9" t="inlineStr">
        <is>
          <t>0.6</t>
        </is>
      </c>
      <c r="D16" s="9" t="inlineStr">
        <is>
          <t>PIP-BANK-0.5</t>
        </is>
      </c>
      <c r="E16" s="9" t="inlineStr">
        <is>
          <t>I</t>
        </is>
      </c>
      <c r="F16" s="9" t="inlineStr">
        <is>
          <t>I1</t>
        </is>
      </c>
      <c r="G16" s="9" t="inlineStr">
        <is>
          <t>SIT</t>
        </is>
      </c>
      <c r="H16" s="9" t="inlineStr">
        <is>
          <t>Examiner une situation nouvelle afin de comprendre précisément ce qui s’y passe.</t>
        </is>
      </c>
      <c r="I16" s="9" t="inlineStr">
        <is>
          <t>Face à une situation inhabituelle, prendre le temps d’examiner les faits avant d’avancer une explication.</t>
        </is>
      </c>
      <c r="J16" s="9" t="inlineStr">
        <is>
          <t>Examiner les faits d’une situation inhabituelle avant d’avancer une explication.</t>
        </is>
      </c>
      <c r="K16" s="9" t="inlineStr">
        <is>
          <t>Reformulation centrée sur l’intérêt pour une activité professionnelle observable ; formulation compatible avec une échelle « J’aimerais… », sans présumer compétence, expérience ni métier actuel.</t>
        </is>
      </c>
      <c r="L16" s="9" t="inlineStr">
        <is>
          <t>RETENU</t>
        </is>
      </c>
      <c r="M16" s="9" t="inlineStr">
        <is>
          <t>Couverture de facette + activité observable ; priorité ACT, complétée par SIT à faible risque.</t>
        </is>
      </c>
      <c r="N16" s="9" t="inlineStr">
        <is>
          <t>FAIBLE</t>
        </is>
      </c>
      <c r="O16" s="9" t="inlineStr">
        <is>
          <t>FAIBLE</t>
        </is>
      </c>
      <c r="P16" s="9" t="inlineStr">
        <is>
          <t>FAIBLE</t>
        </is>
      </c>
    </row>
    <row r="17">
      <c r="A17" s="9" t="n">
        <v>16</v>
      </c>
      <c r="B17" s="9" t="inlineStr">
        <is>
          <t>PIP-ACT-I-I2-005</t>
        </is>
      </c>
      <c r="C17" s="9" t="inlineStr">
        <is>
          <t>0.6</t>
        </is>
      </c>
      <c r="D17" s="9" t="inlineStr">
        <is>
          <t>PIP-BANK-0.5</t>
        </is>
      </c>
      <c r="E17" s="9" t="inlineStr">
        <is>
          <t>I</t>
        </is>
      </c>
      <c r="F17" s="9" t="inlineStr">
        <is>
          <t>I2</t>
        </is>
      </c>
      <c r="G17" s="9" t="inlineStr">
        <is>
          <t>ACT</t>
        </is>
      </c>
      <c r="H17" s="9" t="inlineStr">
        <is>
          <t>Analyser plusieurs informations pour comprendre les liens entre elles.</t>
        </is>
      </c>
      <c r="I17" s="9" t="inlineStr">
        <is>
          <t>Analyser plusieurs données pour comprendre comment elles sont liées et ce qu’elles expliquent.</t>
        </is>
      </c>
      <c r="J17" s="9" t="inlineStr">
        <is>
          <t>Analyser plusieurs informations pour comprendre les liens entre elles et ce qu’elles permettent d’expliquer.</t>
        </is>
      </c>
      <c r="K17" s="9" t="inlineStr">
        <is>
          <t>Reformulation centrée sur l’intérêt pour une activité professionnelle observable ; formulation compatible avec une échelle « J’aimerais… », sans présumer compétence, expérience ni métier actuel.</t>
        </is>
      </c>
      <c r="L17" s="9" t="inlineStr">
        <is>
          <t>RETENU</t>
        </is>
      </c>
      <c r="M17" s="9" t="inlineStr">
        <is>
          <t>Couverture de facette + activité observable ; priorité ACT, complétée par SIT à faible risque.</t>
        </is>
      </c>
      <c r="N17" s="9" t="inlineStr">
        <is>
          <t>FAIBLE</t>
        </is>
      </c>
      <c r="O17" s="9" t="inlineStr">
        <is>
          <t>FAIBLE</t>
        </is>
      </c>
      <c r="P17" s="9" t="inlineStr">
        <is>
          <t>FAIBLE</t>
        </is>
      </c>
    </row>
    <row r="18">
      <c r="A18" s="9" t="n">
        <v>17</v>
      </c>
      <c r="B18" s="9" t="inlineStr">
        <is>
          <t>PIP-ACT-I-I2-006</t>
        </is>
      </c>
      <c r="C18" s="9" t="inlineStr">
        <is>
          <t>0.6</t>
        </is>
      </c>
      <c r="D18" s="9" t="inlineStr">
        <is>
          <t>PIP-BANK-0.5</t>
        </is>
      </c>
      <c r="E18" s="9" t="inlineStr">
        <is>
          <t>I</t>
        </is>
      </c>
      <c r="F18" s="9" t="inlineStr">
        <is>
          <t>I2</t>
        </is>
      </c>
      <c r="G18" s="9" t="inlineStr">
        <is>
          <t>ACT</t>
        </is>
      </c>
      <c r="H18" s="9" t="inlineStr">
        <is>
          <t>Décomposer un problème complexe en plusieurs éléments pour mieux le comprendre.</t>
        </is>
      </c>
      <c r="I18" s="9" t="inlineStr">
        <is>
          <t>Découper un problème complexe en plusieurs questions plus simples afin d’en comprendre la logique.</t>
        </is>
      </c>
      <c r="J18" s="9" t="inlineStr">
        <is>
          <t>Décomposer un problème complexe en plusieurs questions plus simples afin d’en comprendre la logique.</t>
        </is>
      </c>
      <c r="K18" s="9" t="inlineStr">
        <is>
          <t>Reformulation centrée sur l’intérêt pour une activité professionnelle observable ; formulation compatible avec une échelle « J’aimerais… », sans présumer compétence, expérience ni métier actuel.</t>
        </is>
      </c>
      <c r="L18" s="9" t="inlineStr">
        <is>
          <t>RETENU</t>
        </is>
      </c>
      <c r="M18" s="9" t="inlineStr">
        <is>
          <t>Couverture de facette + activité observable ; priorité ACT, complétée par SIT à faible risque.</t>
        </is>
      </c>
      <c r="N18" s="9" t="inlineStr">
        <is>
          <t>FAIBLE</t>
        </is>
      </c>
      <c r="O18" s="9" t="inlineStr">
        <is>
          <t>FAIBLE</t>
        </is>
      </c>
      <c r="P18" s="9" t="inlineStr">
        <is>
          <t>FAIBLE</t>
        </is>
      </c>
    </row>
    <row r="19">
      <c r="A19" s="9" t="n">
        <v>18</v>
      </c>
      <c r="B19" s="9" t="inlineStr">
        <is>
          <t>PIP-SIT-I-I2-007</t>
        </is>
      </c>
      <c r="C19" s="9" t="inlineStr">
        <is>
          <t>0.6</t>
        </is>
      </c>
      <c r="D19" s="9" t="inlineStr">
        <is>
          <t>PIP-BANK-0.5</t>
        </is>
      </c>
      <c r="E19" s="9" t="inlineStr">
        <is>
          <t>I</t>
        </is>
      </c>
      <c r="F19" s="9" t="inlineStr">
        <is>
          <t>I2</t>
        </is>
      </c>
      <c r="G19" s="9" t="inlineStr">
        <is>
          <t>SIT</t>
        </is>
      </c>
      <c r="H19" s="9" t="inlineStr">
        <is>
          <t>Faire face à un problème où il faut raisonner étape par étape avant de trouver une explication.</t>
        </is>
      </c>
      <c r="I19" s="9" t="inlineStr">
        <is>
          <t>Un problème n’a pas de réponse évidente : raisonner étape par étape pour comprendre ce qui se passe.</t>
        </is>
      </c>
      <c r="J19" s="9" t="inlineStr">
        <is>
          <t>Réfléchir étape par étape à un problème sans réponse évidente pour comprendre ce qui se passe.</t>
        </is>
      </c>
      <c r="K19" s="9" t="inlineStr">
        <is>
          <t>Reformulation centrée sur l’intérêt pour une activité professionnelle observable ; formulation compatible avec une échelle « J’aimerais… », sans présumer compétence, expérience ni métier actuel.</t>
        </is>
      </c>
      <c r="L19" s="9" t="inlineStr">
        <is>
          <t>RETENU</t>
        </is>
      </c>
      <c r="M19" s="9" t="inlineStr">
        <is>
          <t>Couverture de facette + activité observable ; priorité ACT, complétée par SIT à faible risque.</t>
        </is>
      </c>
      <c r="N19" s="9" t="inlineStr">
        <is>
          <t>FAIBLE</t>
        </is>
      </c>
      <c r="O19" s="9" t="inlineStr">
        <is>
          <t>FAIBLE</t>
        </is>
      </c>
      <c r="P19" s="9" t="inlineStr">
        <is>
          <t>FAIBLE</t>
        </is>
      </c>
    </row>
    <row r="20">
      <c r="A20" s="9" t="n">
        <v>19</v>
      </c>
      <c r="B20" s="9" t="inlineStr">
        <is>
          <t>PIP-ACT-I-I3-009</t>
        </is>
      </c>
      <c r="C20" s="9" t="inlineStr">
        <is>
          <t>0.6</t>
        </is>
      </c>
      <c r="D20" s="9" t="inlineStr">
        <is>
          <t>PIP-BANK-0.5</t>
        </is>
      </c>
      <c r="E20" s="9" t="inlineStr">
        <is>
          <t>I</t>
        </is>
      </c>
      <c r="F20" s="9" t="inlineStr">
        <is>
          <t>I3</t>
        </is>
      </c>
      <c r="G20" s="9" t="inlineStr">
        <is>
          <t>ACT</t>
        </is>
      </c>
      <c r="H20" s="9" t="inlineStr">
        <is>
          <t>Rechercher des informations provenant de plusieurs sources pour répondre à une question.</t>
        </is>
      </c>
      <c r="I20" s="9" t="inlineStr">
        <is>
          <t>Chercher des informations dans plusieurs sources fiables pour répondre à une question précise.</t>
        </is>
      </c>
      <c r="J20" s="9" t="inlineStr">
        <is>
          <t>Rechercher des informations dans plusieurs sources pour répondre à une question précise.</t>
        </is>
      </c>
      <c r="K20" s="9" t="inlineStr">
        <is>
          <t>Reformulation centrée sur l’intérêt pour une activité professionnelle observable ; formulation compatible avec une échelle « J’aimerais… », sans présumer compétence, expérience ni métier actuel.</t>
        </is>
      </c>
      <c r="L20" s="9" t="inlineStr">
        <is>
          <t>RETENU</t>
        </is>
      </c>
      <c r="M20" s="9" t="inlineStr">
        <is>
          <t>Couverture de facette + activité observable ; priorité ACT, complétée par SIT à faible risque.</t>
        </is>
      </c>
      <c r="N20" s="9" t="inlineStr">
        <is>
          <t>FAIBLE</t>
        </is>
      </c>
      <c r="O20" s="9" t="inlineStr">
        <is>
          <t>FAIBLE</t>
        </is>
      </c>
      <c r="P20" s="9" t="inlineStr">
        <is>
          <t>FAIBLE</t>
        </is>
      </c>
    </row>
    <row r="21">
      <c r="A21" s="9" t="n">
        <v>20</v>
      </c>
      <c r="B21" s="9" t="inlineStr">
        <is>
          <t>PIP-ACT-I-I3-010</t>
        </is>
      </c>
      <c r="C21" s="9" t="inlineStr">
        <is>
          <t>0.6</t>
        </is>
      </c>
      <c r="D21" s="9" t="inlineStr">
        <is>
          <t>PIP-BANK-0.5</t>
        </is>
      </c>
      <c r="E21" s="9" t="inlineStr">
        <is>
          <t>I</t>
        </is>
      </c>
      <c r="F21" s="9" t="inlineStr">
        <is>
          <t>I3</t>
        </is>
      </c>
      <c r="G21" s="9" t="inlineStr">
        <is>
          <t>ACT</t>
        </is>
      </c>
      <c r="H21" s="9" t="inlineStr">
        <is>
          <t>Enquêter pour vérifier ce qui est exact lorsqu’une situation reste incertaine.</t>
        </is>
      </c>
      <c r="I21" s="9" t="inlineStr">
        <is>
          <t>Vérifier une information incertaine en recoupant des sources et en recherchant des éléments de preuve.</t>
        </is>
      </c>
      <c r="J21" s="9" t="inlineStr">
        <is>
          <t>Vérifier une information incertaine en recoupant plusieurs sources et éléments de preuve.</t>
        </is>
      </c>
      <c r="K21" s="9" t="inlineStr">
        <is>
          <t>Reformulation centrée sur l’intérêt pour une activité professionnelle observable ; formulation compatible avec une échelle « J’aimerais… », sans présumer compétence, expérience ni métier actuel.</t>
        </is>
      </c>
      <c r="L21" s="9" t="inlineStr">
        <is>
          <t>RETENU</t>
        </is>
      </c>
      <c r="M21" s="9" t="inlineStr">
        <is>
          <t>Couverture de facette + activité observable ; priorité ACT, complétée par SIT à faible risque.</t>
        </is>
      </c>
      <c r="N21" s="9" t="inlineStr">
        <is>
          <t>FAIBLE</t>
        </is>
      </c>
      <c r="O21" s="9" t="inlineStr">
        <is>
          <t>FAIBLE</t>
        </is>
      </c>
      <c r="P21" s="9" t="inlineStr">
        <is>
          <t>FAIBLE</t>
        </is>
      </c>
    </row>
    <row r="22">
      <c r="A22" s="9" t="n">
        <v>21</v>
      </c>
      <c r="B22" s="9" t="inlineStr">
        <is>
          <t>PIP-ACT-I-I4-013</t>
        </is>
      </c>
      <c r="C22" s="9" t="inlineStr">
        <is>
          <t>0.6</t>
        </is>
      </c>
      <c r="D22" s="9" t="inlineStr">
        <is>
          <t>PIP-BANK-0.5</t>
        </is>
      </c>
      <c r="E22" s="9" t="inlineStr">
        <is>
          <t>I</t>
        </is>
      </c>
      <c r="F22" s="9" t="inlineStr">
        <is>
          <t>I4</t>
        </is>
      </c>
      <c r="G22" s="9" t="inlineStr">
        <is>
          <t>ACT</t>
        </is>
      </c>
      <c r="H22" s="9" t="inlineStr">
        <is>
          <t>Tester une hypothèse pour voir si elle se vérifie.</t>
        </is>
      </c>
      <c r="I22" s="9" t="inlineStr">
        <is>
          <t>Tester une hypothèse en définissant une manière simple de vérifier si elle se confirme.</t>
        </is>
      </c>
      <c r="J22" s="9" t="inlineStr">
        <is>
          <t>Tester une hypothèse en choisissant une manière concrète de vérifier si elle se confirme.</t>
        </is>
      </c>
      <c r="K22" s="9" t="inlineStr">
        <is>
          <t>Reformulation centrée sur l’intérêt pour une activité professionnelle observable ; formulation compatible avec une échelle « J’aimerais… », sans présumer compétence, expérience ni métier actuel.</t>
        </is>
      </c>
      <c r="L22" s="9" t="inlineStr">
        <is>
          <t>RETENU</t>
        </is>
      </c>
      <c r="M22" s="9" t="inlineStr">
        <is>
          <t>Couverture de facette + activité observable ; priorité ACT, complétée par SIT à faible risque.</t>
        </is>
      </c>
      <c r="N22" s="9" t="inlineStr">
        <is>
          <t>FAIBLE</t>
        </is>
      </c>
      <c r="O22" s="9" t="inlineStr">
        <is>
          <t>FAIBLE</t>
        </is>
      </c>
      <c r="P22" s="9" t="inlineStr">
        <is>
          <t>FAIBLE</t>
        </is>
      </c>
    </row>
    <row r="23">
      <c r="A23" s="9" t="n">
        <v>22</v>
      </c>
      <c r="B23" s="9" t="inlineStr">
        <is>
          <t>PIP-ACT-I-I4-014</t>
        </is>
      </c>
      <c r="C23" s="9" t="inlineStr">
        <is>
          <t>0.6</t>
        </is>
      </c>
      <c r="D23" s="9" t="inlineStr">
        <is>
          <t>PIP-BANK-0.5</t>
        </is>
      </c>
      <c r="E23" s="9" t="inlineStr">
        <is>
          <t>I</t>
        </is>
      </c>
      <c r="F23" s="9" t="inlineStr">
        <is>
          <t>I4</t>
        </is>
      </c>
      <c r="G23" s="9" t="inlineStr">
        <is>
          <t>ACT</t>
        </is>
      </c>
      <c r="H23" s="9" t="inlineStr">
        <is>
          <t>Comparer plusieurs essais pour comprendre ce qui produit un résultat différent.</t>
        </is>
      </c>
      <c r="I23" s="9" t="inlineStr">
        <is>
          <t>Réaliser plusieurs essais en modifiant un paramètre pour comprendre ce qui change le résultat.</t>
        </is>
      </c>
      <c r="J23" s="9" t="inlineStr">
        <is>
          <t>Réaliser plusieurs essais en ne modifiant qu’un élément à la fois pour comprendre son effet sur le résultat.</t>
        </is>
      </c>
      <c r="K23" s="9" t="inlineStr">
        <is>
          <t>Reformulation centrée sur l’intérêt pour une activité professionnelle observable ; formulation compatible avec une échelle « J’aimerais… », sans présumer compétence, expérience ni métier actuel.</t>
        </is>
      </c>
      <c r="L23" s="9" t="inlineStr">
        <is>
          <t>RETENU</t>
        </is>
      </c>
      <c r="M23" s="9" t="inlineStr">
        <is>
          <t>Couverture de facette + activité observable ; priorité ACT, complétée par SIT à faible risque.</t>
        </is>
      </c>
      <c r="N23" s="9" t="inlineStr">
        <is>
          <t>FAIBLE</t>
        </is>
      </c>
      <c r="O23" s="9" t="inlineStr">
        <is>
          <t>FAIBLE</t>
        </is>
      </c>
      <c r="P23" s="9" t="inlineStr">
        <is>
          <t>FAIBLE</t>
        </is>
      </c>
    </row>
    <row r="24">
      <c r="A24" s="9" t="n">
        <v>23</v>
      </c>
      <c r="B24" s="9" t="inlineStr">
        <is>
          <t>PIP-ACT-I-I5-017</t>
        </is>
      </c>
      <c r="C24" s="9" t="inlineStr">
        <is>
          <t>0.6</t>
        </is>
      </c>
      <c r="D24" s="9" t="inlineStr">
        <is>
          <t>PIP-BANK-0.5</t>
        </is>
      </c>
      <c r="E24" s="9" t="inlineStr">
        <is>
          <t>I</t>
        </is>
      </c>
      <c r="F24" s="9" t="inlineStr">
        <is>
          <t>I5</t>
        </is>
      </c>
      <c r="G24" s="9" t="inlineStr">
        <is>
          <t>ACT</t>
        </is>
      </c>
      <c r="H24" s="9" t="inlineStr">
        <is>
          <t>Chercher la cause d’un problème pour pouvoir l’expliquer.</t>
        </is>
      </c>
      <c r="I24" s="9" t="inlineStr">
        <is>
          <t>Rechercher la cause d’un dysfonctionnement ou d’un phénomène avant de proposer une explication.</t>
        </is>
      </c>
      <c r="J24" s="9" t="inlineStr">
        <is>
          <t>Rechercher la cause d’un phénomène ou d’un dysfonctionnement pour pouvoir l’expliquer.</t>
        </is>
      </c>
      <c r="K24" s="9" t="inlineStr">
        <is>
          <t>Reformulation centrée sur l’intérêt pour une activité professionnelle observable ; formulation compatible avec une échelle « J’aimerais… », sans présumer compétence, expérience ni métier actuel.</t>
        </is>
      </c>
      <c r="L24" s="9" t="inlineStr">
        <is>
          <t>RETENU</t>
        </is>
      </c>
      <c r="M24" s="9" t="inlineStr">
        <is>
          <t>Couverture de facette + activité observable ; priorité ACT, complétée par SIT à faible risque.</t>
        </is>
      </c>
      <c r="N24" s="9" t="inlineStr">
        <is>
          <t>FAIBLE</t>
        </is>
      </c>
      <c r="O24" s="9" t="inlineStr">
        <is>
          <t>FAIBLE</t>
        </is>
      </c>
      <c r="P24" s="9" t="inlineStr">
        <is>
          <t>FAIBLE</t>
        </is>
      </c>
    </row>
    <row r="25">
      <c r="A25" s="9" t="n">
        <v>24</v>
      </c>
      <c r="B25" s="9" t="inlineStr">
        <is>
          <t>PIP-ACT-I-I5-018</t>
        </is>
      </c>
      <c r="C25" s="9" t="inlineStr">
        <is>
          <t>0.6</t>
        </is>
      </c>
      <c r="D25" s="9" t="inlineStr">
        <is>
          <t>PIP-BANK-0.5</t>
        </is>
      </c>
      <c r="E25" s="9" t="inlineStr">
        <is>
          <t>I</t>
        </is>
      </c>
      <c r="F25" s="9" t="inlineStr">
        <is>
          <t>I5</t>
        </is>
      </c>
      <c r="G25" s="9" t="inlineStr">
        <is>
          <t>ACT</t>
        </is>
      </c>
      <c r="H25" s="9" t="inlineStr">
        <is>
          <t>Résoudre un problème nouveau en construisant une solution fondée sur les informations disponibles.</t>
        </is>
      </c>
      <c r="I25" s="9" t="inlineStr">
        <is>
          <t>Résoudre un problème nouveau en utilisant les informations disponibles pour construire une solution raisonnée.</t>
        </is>
      </c>
      <c r="J25" s="9" t="inlineStr">
        <is>
          <t>Résoudre un problème nouveau en construisant une explication ou une solution fondée sur les informations disponibles.</t>
        </is>
      </c>
      <c r="K25" s="9" t="inlineStr">
        <is>
          <t>Reformulation centrée sur l’intérêt pour une activité professionnelle observable ; formulation compatible avec une échelle « J’aimerais… », sans présumer compétence, expérience ni métier actuel.</t>
        </is>
      </c>
      <c r="L25" s="9" t="inlineStr">
        <is>
          <t>RETENU</t>
        </is>
      </c>
      <c r="M25" s="9" t="inlineStr">
        <is>
          <t>Couverture de facette + activité observable ; priorité ACT, complétée par SIT à faible risque.</t>
        </is>
      </c>
      <c r="N25" s="9" t="inlineStr">
        <is>
          <t>FAIBLE</t>
        </is>
      </c>
      <c r="O25" s="9" t="inlineStr">
        <is>
          <t>FAIBLE</t>
        </is>
      </c>
      <c r="P25" s="9" t="inlineStr">
        <is>
          <t>FAIBLE</t>
        </is>
      </c>
    </row>
    <row r="26">
      <c r="A26" s="9" t="n">
        <v>25</v>
      </c>
      <c r="B26" s="9" t="inlineStr">
        <is>
          <t>PIP-ACT-A-A1-001</t>
        </is>
      </c>
      <c r="C26" s="9" t="inlineStr">
        <is>
          <t>0.6</t>
        </is>
      </c>
      <c r="D26" s="9" t="inlineStr">
        <is>
          <t>PIP-BANK-0.5</t>
        </is>
      </c>
      <c r="E26" s="9" t="inlineStr">
        <is>
          <t>A</t>
        </is>
      </c>
      <c r="F26" s="9" t="inlineStr">
        <is>
          <t>A1</t>
        </is>
      </c>
      <c r="G26" s="9" t="inlineStr">
        <is>
          <t>ACT</t>
        </is>
      </c>
      <c r="H26" s="9" t="inlineStr">
        <is>
          <t>Imaginer plusieurs idées nouvelles à partir d’un même sujet.</t>
        </is>
      </c>
      <c r="I26" s="9" t="inlineStr">
        <is>
          <t>Imaginer plusieurs concepts différents pour répondre à un même thème ou à une même demande.</t>
        </is>
      </c>
      <c r="J26" s="9" t="inlineStr">
        <is>
          <t>Imaginer plusieurs idées différentes pour répondre à un même thème ou à une même demande.</t>
        </is>
      </c>
      <c r="K26" s="9" t="inlineStr">
        <is>
          <t>Reformulation centrée sur l’intérêt pour une activité professionnelle observable ; formulation compatible avec une échelle « J’aimerais… », sans présumer compétence, expérience ni métier actuel.</t>
        </is>
      </c>
      <c r="L26" s="9" t="inlineStr">
        <is>
          <t>RETENU</t>
        </is>
      </c>
      <c r="M26" s="9" t="inlineStr">
        <is>
          <t>Couverture de facette + activité observable ; priorité ACT, complétée par SIT à faible risque.</t>
        </is>
      </c>
      <c r="N26" s="9" t="inlineStr">
        <is>
          <t>FAIBLE</t>
        </is>
      </c>
      <c r="O26" s="9" t="inlineStr">
        <is>
          <t>FAIBLE</t>
        </is>
      </c>
      <c r="P26" s="9" t="inlineStr">
        <is>
          <t>FAIBLE</t>
        </is>
      </c>
    </row>
    <row r="27">
      <c r="A27" s="9" t="n">
        <v>26</v>
      </c>
      <c r="B27" s="9" t="inlineStr">
        <is>
          <t>PIP-ACT-A-A1-002</t>
        </is>
      </c>
      <c r="C27" s="9" t="inlineStr">
        <is>
          <t>0.6</t>
        </is>
      </c>
      <c r="D27" s="9" t="inlineStr">
        <is>
          <t>PIP-BANK-0.5</t>
        </is>
      </c>
      <c r="E27" s="9" t="inlineStr">
        <is>
          <t>A</t>
        </is>
      </c>
      <c r="F27" s="9" t="inlineStr">
        <is>
          <t>A1</t>
        </is>
      </c>
      <c r="G27" s="9" t="inlineStr">
        <is>
          <t>ACT</t>
        </is>
      </c>
      <c r="H27" s="9" t="inlineStr">
        <is>
          <t>Inventer une manière originale de présenter ou de réaliser quelque chose.</t>
        </is>
      </c>
      <c r="I27" s="9" t="inlineStr">
        <is>
          <t>Inventer une manière originale de présenter un message, un objet ou une expérience.</t>
        </is>
      </c>
      <c r="J27" s="9" t="inlineStr">
        <is>
          <t>Inventer une manière originale de présenter un message, un objet ou une expérience.</t>
        </is>
      </c>
      <c r="K27" s="9" t="inlineStr">
        <is>
          <t>Reformulation centrée sur l’intérêt pour une activité professionnelle observable ; formulation compatible avec une échelle « J’aimerais… », sans présumer compétence, expérience ni métier actuel.</t>
        </is>
      </c>
      <c r="L27" s="9" t="inlineStr">
        <is>
          <t>RETENU</t>
        </is>
      </c>
      <c r="M27" s="9" t="inlineStr">
        <is>
          <t>Couverture de facette + activité observable ; priorité ACT, complétée par SIT à faible risque.</t>
        </is>
      </c>
      <c r="N27" s="9" t="inlineStr">
        <is>
          <t>FAIBLE</t>
        </is>
      </c>
      <c r="O27" s="9" t="inlineStr">
        <is>
          <t>FAIBLE</t>
        </is>
      </c>
      <c r="P27" s="9" t="inlineStr">
        <is>
          <t>FAIBLE</t>
        </is>
      </c>
    </row>
    <row r="28">
      <c r="A28" s="9" t="n">
        <v>27</v>
      </c>
      <c r="B28" s="9" t="inlineStr">
        <is>
          <t>PIP-SIT-A-A1-003</t>
        </is>
      </c>
      <c r="C28" s="9" t="inlineStr">
        <is>
          <t>0.6</t>
        </is>
      </c>
      <c r="D28" s="9" t="inlineStr">
        <is>
          <t>PIP-BANK-0.5</t>
        </is>
      </c>
      <c r="E28" s="9" t="inlineStr">
        <is>
          <t>A</t>
        </is>
      </c>
      <c r="F28" s="9" t="inlineStr">
        <is>
          <t>A1</t>
        </is>
      </c>
      <c r="G28" s="9" t="inlineStr">
        <is>
          <t>SIT</t>
        </is>
      </c>
      <c r="H28" s="9" t="inlineStr">
        <is>
          <t>Faire face à une demande pour laquelle aucune solution n’est imposée et imaginer une proposition nouvelle.</t>
        </is>
      </c>
      <c r="I28" s="9" t="inlineStr">
        <is>
          <t>Une demande est ouverte et aucune solution n’est imposée : imaginer une proposition nouvelle et personnelle.</t>
        </is>
      </c>
      <c r="J28" s="9" t="inlineStr">
        <is>
          <t>Imaginer une proposition personnelle lorsqu’une demande est ouverte et qu’aucune solution n’est imposée.</t>
        </is>
      </c>
      <c r="K28" s="9" t="inlineStr">
        <is>
          <t>Reformulation centrée sur l’intérêt pour une activité professionnelle observable ; formulation compatible avec une échelle « J’aimerais… », sans présumer compétence, expérience ni métier actuel.</t>
        </is>
      </c>
      <c r="L28" s="9" t="inlineStr">
        <is>
          <t>RETENU</t>
        </is>
      </c>
      <c r="M28" s="9" t="inlineStr">
        <is>
          <t>Couverture de facette + activité observable ; priorité ACT, complétée par SIT à faible risque.</t>
        </is>
      </c>
      <c r="N28" s="9" t="inlineStr">
        <is>
          <t>FAIBLE</t>
        </is>
      </c>
      <c r="O28" s="9" t="inlineStr">
        <is>
          <t>FAIBLE</t>
        </is>
      </c>
      <c r="P28" s="9" t="inlineStr">
        <is>
          <t>FAIBLE</t>
        </is>
      </c>
    </row>
    <row r="29">
      <c r="A29" s="9" t="n">
        <v>28</v>
      </c>
      <c r="B29" s="9" t="inlineStr">
        <is>
          <t>PIP-ACT-A-A2-005</t>
        </is>
      </c>
      <c r="C29" s="9" t="inlineStr">
        <is>
          <t>0.6</t>
        </is>
      </c>
      <c r="D29" s="9" t="inlineStr">
        <is>
          <t>PIP-BANK-0.5</t>
        </is>
      </c>
      <c r="E29" s="9" t="inlineStr">
        <is>
          <t>A</t>
        </is>
      </c>
      <c r="F29" s="9" t="inlineStr">
        <is>
          <t>A2</t>
        </is>
      </c>
      <c r="G29" s="9" t="inlineStr">
        <is>
          <t>ACT</t>
        </is>
      </c>
      <c r="H29" s="9" t="inlineStr">
        <is>
          <t>Concevoir l’organisation visuelle ou la forme d’un support pour qu’il exprime une intention.</t>
        </is>
      </c>
      <c r="I29" s="9" t="inlineStr">
        <is>
          <t>Concevoir librement la mise en page d’une affiche, d’une brochure ou d’un support visuel pour transmettre une intention.</t>
        </is>
      </c>
      <c r="J29" s="9" t="inlineStr">
        <is>
          <t>Concevoir librement l’organisation visuelle d’un support pour transmettre une intention.</t>
        </is>
      </c>
      <c r="K29" s="9" t="inlineStr">
        <is>
          <t>Reformulation centrée sur l’intérêt pour une activité professionnelle observable ; formulation compatible avec une échelle « J’aimerais… », sans présumer compétence, expérience ni métier actuel.</t>
        </is>
      </c>
      <c r="L29" s="9" t="inlineStr">
        <is>
          <t>RETENU</t>
        </is>
      </c>
      <c r="M29" s="9" t="inlineStr">
        <is>
          <t>Couverture de facette + activité observable ; priorité ACT, complétée par SIT à faible risque.</t>
        </is>
      </c>
      <c r="N29" s="9" t="inlineStr">
        <is>
          <t>MOYEN</t>
        </is>
      </c>
      <c r="O29" s="9" t="inlineStr">
        <is>
          <t>FAIBLE</t>
        </is>
      </c>
      <c r="P29" s="9" t="inlineStr">
        <is>
          <t>FAIBLE</t>
        </is>
      </c>
    </row>
    <row r="30">
      <c r="A30" s="9" t="n">
        <v>29</v>
      </c>
      <c r="B30" s="9" t="inlineStr">
        <is>
          <t>PIP-ACT-A-A2-006</t>
        </is>
      </c>
      <c r="C30" s="9" t="inlineStr">
        <is>
          <t>0.6</t>
        </is>
      </c>
      <c r="D30" s="9" t="inlineStr">
        <is>
          <t>PIP-BANK-0.5</t>
        </is>
      </c>
      <c r="E30" s="9" t="inlineStr">
        <is>
          <t>A</t>
        </is>
      </c>
      <c r="F30" s="9" t="inlineStr">
        <is>
          <t>A2</t>
        </is>
      </c>
      <c r="G30" s="9" t="inlineStr">
        <is>
          <t>ACT</t>
        </is>
      </c>
      <c r="H30" s="9" t="inlineStr">
        <is>
          <t>Composer différents éléments pour créer un ensemble cohérent et personnel.</t>
        </is>
      </c>
      <c r="I30" s="9" t="inlineStr">
        <is>
          <t>Composer un ensemble en choisissant personnellement la disposition des formes, textes, images, sons ou autres éléments.</t>
        </is>
      </c>
      <c r="J30" s="9" t="inlineStr">
        <is>
          <t>Composer un ensemble en choisissant comment agencer des formes, des textes, des images, des sons ou d’autres éléments.</t>
        </is>
      </c>
      <c r="K30" s="9" t="inlineStr">
        <is>
          <t>Reformulation centrée sur l’intérêt pour une activité professionnelle observable ; formulation compatible avec une échelle « J’aimerais… », sans présumer compétence, expérience ni métier actuel.</t>
        </is>
      </c>
      <c r="L30" s="9" t="inlineStr">
        <is>
          <t>RETENU</t>
        </is>
      </c>
      <c r="M30" s="9" t="inlineStr">
        <is>
          <t>Couverture de facette + activité observable ; priorité ACT, complétée par SIT à faible risque.</t>
        </is>
      </c>
      <c r="N30" s="9" t="inlineStr">
        <is>
          <t>FAIBLE</t>
        </is>
      </c>
      <c r="O30" s="9" t="inlineStr">
        <is>
          <t>FAIBLE</t>
        </is>
      </c>
      <c r="P30" s="9" t="inlineStr">
        <is>
          <t>FAIBLE</t>
        </is>
      </c>
    </row>
    <row r="31">
      <c r="A31" s="9" t="n">
        <v>30</v>
      </c>
      <c r="B31" s="9" t="inlineStr">
        <is>
          <t>PIP-SIT-A-A2-007</t>
        </is>
      </c>
      <c r="C31" s="9" t="inlineStr">
        <is>
          <t>0.6</t>
        </is>
      </c>
      <c r="D31" s="9" t="inlineStr">
        <is>
          <t>PIP-BANK-0.5</t>
        </is>
      </c>
      <c r="E31" s="9" t="inlineStr">
        <is>
          <t>A</t>
        </is>
      </c>
      <c r="F31" s="9" t="inlineStr">
        <is>
          <t>A2</t>
        </is>
      </c>
      <c r="G31" s="9" t="inlineStr">
        <is>
          <t>SIT</t>
        </is>
      </c>
      <c r="H31" s="9" t="inlineStr">
        <is>
          <t>Créer une proposition en choisissant librement la manière d’agencer plusieurs éléments.</t>
        </is>
      </c>
      <c r="I31" s="9" t="inlineStr">
        <is>
          <t>Créer une proposition en décidant librement comment agencer les éléments d’un support visuel, d’un espace ou d’une présentation créative.</t>
        </is>
      </c>
      <c r="J31" s="9" t="inlineStr">
        <is>
          <t>Créer une proposition en décidant librement comment organiser les éléments d’un support, d’un espace ou d’une présentation.</t>
        </is>
      </c>
      <c r="K31" s="9" t="inlineStr">
        <is>
          <t>Reformulation centrée sur l’intérêt pour une activité professionnelle observable ; formulation compatible avec une échelle « J’aimerais… », sans présumer compétence, expérience ni métier actuel.</t>
        </is>
      </c>
      <c r="L31" s="9" t="inlineStr">
        <is>
          <t>RETENU</t>
        </is>
      </c>
      <c r="M31" s="9" t="inlineStr">
        <is>
          <t>Couverture de facette + activité observable ; priorité ACT, complétée par SIT à faible risque.</t>
        </is>
      </c>
      <c r="N31" s="9" t="inlineStr">
        <is>
          <t>FAIBLE</t>
        </is>
      </c>
      <c r="O31" s="9" t="inlineStr">
        <is>
          <t>FAIBLE</t>
        </is>
      </c>
      <c r="P31" s="9" t="inlineStr">
        <is>
          <t>FAIBLE</t>
        </is>
      </c>
    </row>
    <row r="32">
      <c r="A32" s="9" t="n">
        <v>31</v>
      </c>
      <c r="B32" s="9" t="inlineStr">
        <is>
          <t>PIP-ACT-A-A3-009</t>
        </is>
      </c>
      <c r="C32" s="9" t="inlineStr">
        <is>
          <t>0.6</t>
        </is>
      </c>
      <c r="D32" s="9" t="inlineStr">
        <is>
          <t>PIP-BANK-0.5</t>
        </is>
      </c>
      <c r="E32" s="9" t="inlineStr">
        <is>
          <t>A</t>
        </is>
      </c>
      <c r="F32" s="9" t="inlineStr">
        <is>
          <t>A3</t>
        </is>
      </c>
      <c r="G32" s="9" t="inlineStr">
        <is>
          <t>ACT</t>
        </is>
      </c>
      <c r="H32" s="9" t="inlineStr">
        <is>
          <t>Écrire un texte pour transmettre une idée, une émotion ou un point de vue.</t>
        </is>
      </c>
      <c r="I32" s="9" t="inlineStr">
        <is>
          <t>Écrire un texte, un récit ou un message destiné à faire ressentir une idée, une émotion ou un point de vue.</t>
        </is>
      </c>
      <c r="J32" s="9" t="inlineStr">
        <is>
          <t>Écrire un texte ou un récit pour faire passer une idée, une émotion ou un point de vue.</t>
        </is>
      </c>
      <c r="K32" s="9" t="inlineStr">
        <is>
          <t>Reformulation centrée sur l’intérêt pour une activité professionnelle observable ; formulation compatible avec une échelle « J’aimerais… », sans présumer compétence, expérience ni métier actuel.</t>
        </is>
      </c>
      <c r="L32" s="9" t="inlineStr">
        <is>
          <t>RETENU</t>
        </is>
      </c>
      <c r="M32" s="9" t="inlineStr">
        <is>
          <t>Couverture de facette + activité observable ; priorité ACT, complétée par SIT à faible risque.</t>
        </is>
      </c>
      <c r="N32" s="9" t="inlineStr">
        <is>
          <t>FAIBLE</t>
        </is>
      </c>
      <c r="O32" s="9" t="inlineStr">
        <is>
          <t>FAIBLE</t>
        </is>
      </c>
      <c r="P32" s="9" t="inlineStr">
        <is>
          <t>FAIBLE</t>
        </is>
      </c>
    </row>
    <row r="33">
      <c r="A33" s="9" t="n">
        <v>32</v>
      </c>
      <c r="B33" s="9" t="inlineStr">
        <is>
          <t>PIP-ACT-A-A3-010</t>
        </is>
      </c>
      <c r="C33" s="9" t="inlineStr">
        <is>
          <t>0.6</t>
        </is>
      </c>
      <c r="D33" s="9" t="inlineStr">
        <is>
          <t>PIP-BANK-0.5</t>
        </is>
      </c>
      <c r="E33" s="9" t="inlineStr">
        <is>
          <t>A</t>
        </is>
      </c>
      <c r="F33" s="9" t="inlineStr">
        <is>
          <t>A3</t>
        </is>
      </c>
      <c r="G33" s="9" t="inlineStr">
        <is>
          <t>ACT</t>
        </is>
      </c>
      <c r="H33" s="9" t="inlineStr">
        <is>
          <t>Mettre en récit un sujet pour le rendre vivant et expressif.</t>
        </is>
      </c>
      <c r="I33" s="9" t="inlineStr">
        <is>
          <t>Transformer un sujet factuel en récit vivant pour capter l’attention d’un public.</t>
        </is>
      </c>
      <c r="J33" s="9" t="inlineStr">
        <is>
          <t>Transformer un sujet factuel en récit vivant pour capter l’attention d’un public.</t>
        </is>
      </c>
      <c r="K33" s="9" t="inlineStr">
        <is>
          <t>Reformulation centrée sur l’intérêt pour une activité professionnelle observable ; formulation compatible avec une échelle « J’aimerais… », sans présumer compétence, expérience ni métier actuel.</t>
        </is>
      </c>
      <c r="L33" s="9" t="inlineStr">
        <is>
          <t>RETENU</t>
        </is>
      </c>
      <c r="M33" s="9" t="inlineStr">
        <is>
          <t>Couverture de facette + activité observable ; priorité ACT, complétée par SIT à faible risque.</t>
        </is>
      </c>
      <c r="N33" s="9" t="inlineStr">
        <is>
          <t>FAIBLE</t>
        </is>
      </c>
      <c r="O33" s="9" t="inlineStr">
        <is>
          <t>FAIBLE</t>
        </is>
      </c>
      <c r="P33" s="9" t="inlineStr">
        <is>
          <t>FAIBLE</t>
        </is>
      </c>
    </row>
    <row r="34">
      <c r="A34" s="9" t="n">
        <v>33</v>
      </c>
      <c r="B34" s="9" t="inlineStr">
        <is>
          <t>PIP-ACT-A-A4-013</t>
        </is>
      </c>
      <c r="C34" s="9" t="inlineStr">
        <is>
          <t>0.6</t>
        </is>
      </c>
      <c r="D34" s="9" t="inlineStr">
        <is>
          <t>PIP-BANK-0.5</t>
        </is>
      </c>
      <c r="E34" s="9" t="inlineStr">
        <is>
          <t>A</t>
        </is>
      </c>
      <c r="F34" s="9" t="inlineStr">
        <is>
          <t>A4</t>
        </is>
      </c>
      <c r="G34" s="9" t="inlineStr">
        <is>
          <t>ACT</t>
        </is>
      </c>
      <c r="H34" s="9" t="inlineStr">
        <is>
          <t>Créer une composition visuelle en jouant sur les formes, les images ou les couleurs.</t>
        </is>
      </c>
      <c r="I34" s="9" t="inlineStr">
        <is>
          <t>Créer une affiche, une illustration ou une composition visuelle en jouant librement sur les formes et les couleurs.</t>
        </is>
      </c>
      <c r="J34" s="9" t="inlineStr">
        <is>
          <t>Créer une composition visuelle en jouant sur les formes, les images et les couleurs.</t>
        </is>
      </c>
      <c r="K34" s="9" t="inlineStr">
        <is>
          <t>Reformulation centrée sur l’intérêt pour une activité professionnelle observable ; formulation compatible avec une échelle « J’aimerais… », sans présumer compétence, expérience ni métier actuel.</t>
        </is>
      </c>
      <c r="L34" s="9" t="inlineStr">
        <is>
          <t>RETENU</t>
        </is>
      </c>
      <c r="M34" s="9" t="inlineStr">
        <is>
          <t>Couverture de facette + activité observable ; priorité ACT, complétée par SIT à faible risque.</t>
        </is>
      </c>
      <c r="N34" s="9" t="inlineStr">
        <is>
          <t>FAIBLE</t>
        </is>
      </c>
      <c r="O34" s="9" t="inlineStr">
        <is>
          <t>FAIBLE</t>
        </is>
      </c>
      <c r="P34" s="9" t="inlineStr">
        <is>
          <t>FAIBLE</t>
        </is>
      </c>
    </row>
    <row r="35">
      <c r="A35" s="9" t="n">
        <v>34</v>
      </c>
      <c r="B35" s="9" t="inlineStr">
        <is>
          <t>PIP-ACT-A-A4-014</t>
        </is>
      </c>
      <c r="C35" s="9" t="inlineStr">
        <is>
          <t>0.6</t>
        </is>
      </c>
      <c r="D35" s="9" t="inlineStr">
        <is>
          <t>PIP-BANK-0.5</t>
        </is>
      </c>
      <c r="E35" s="9" t="inlineStr">
        <is>
          <t>A</t>
        </is>
      </c>
      <c r="F35" s="9" t="inlineStr">
        <is>
          <t>A4</t>
        </is>
      </c>
      <c r="G35" s="9" t="inlineStr">
        <is>
          <t>ACT</t>
        </is>
      </c>
      <c r="H35" s="9" t="inlineStr">
        <is>
          <t>Imaginer une ambiance à partir de sons, d’images, de matières ou d’un espace.</t>
        </is>
      </c>
      <c r="I35" s="9" t="inlineStr">
        <is>
          <t>Imaginer l’ambiance d’un espace, d’un événement ou d’un contenu à partir de sons, d’images, de matières ou de lumière.</t>
        </is>
      </c>
      <c r="J35" s="9" t="inlineStr">
        <is>
          <t>Imaginer l’ambiance d’un espace, d’un événement ou d’un contenu à partir de sons, d’images, de matières ou de lumière.</t>
        </is>
      </c>
      <c r="K35" s="9" t="inlineStr">
        <is>
          <t>Reformulation centrée sur l’intérêt pour une activité professionnelle observable ; formulation compatible avec une échelle « J’aimerais… », sans présumer compétence, expérience ni métier actuel.</t>
        </is>
      </c>
      <c r="L35" s="9" t="inlineStr">
        <is>
          <t>RETENU</t>
        </is>
      </c>
      <c r="M35" s="9" t="inlineStr">
        <is>
          <t>Couverture de facette + activité observable ; priorité ACT, complétée par SIT à faible risque.</t>
        </is>
      </c>
      <c r="N35" s="9" t="inlineStr">
        <is>
          <t>FAIBLE</t>
        </is>
      </c>
      <c r="O35" s="9" t="inlineStr">
        <is>
          <t>FAIBLE</t>
        </is>
      </c>
      <c r="P35" s="9" t="inlineStr">
        <is>
          <t>FAIBLE</t>
        </is>
      </c>
    </row>
    <row r="36">
      <c r="A36" s="9" t="n">
        <v>35</v>
      </c>
      <c r="B36" s="9" t="inlineStr">
        <is>
          <t>PIP-ACT-A-A5-017</t>
        </is>
      </c>
      <c r="C36" s="9" t="inlineStr">
        <is>
          <t>0.6</t>
        </is>
      </c>
      <c r="D36" s="9" t="inlineStr">
        <is>
          <t>PIP-BANK-0.5</t>
        </is>
      </c>
      <c r="E36" s="9" t="inlineStr">
        <is>
          <t>A</t>
        </is>
      </c>
      <c r="F36" s="9" t="inlineStr">
        <is>
          <t>A5</t>
        </is>
      </c>
      <c r="G36" s="9" t="inlineStr">
        <is>
          <t>ACT</t>
        </is>
      </c>
      <c r="H36" s="9" t="inlineStr">
        <is>
          <t>Explorer plusieurs pistes créatives avant de choisir celle qui convient le mieux.</t>
        </is>
      </c>
      <c r="I36" s="9" t="inlineStr">
        <is>
          <t>Explorer plusieurs pistes créatives pour un même projet avant de retenir celle qui exprime le mieux l’intention recherchée.</t>
        </is>
      </c>
      <c r="J36" s="9" t="inlineStr">
        <is>
          <t>Explorer plusieurs pistes créatives pour un même projet avant de choisir celle qui correspond le mieux à l’intention recherchée.</t>
        </is>
      </c>
      <c r="K36" s="9" t="inlineStr">
        <is>
          <t>Reformulation centrée sur l’intérêt pour une activité professionnelle observable ; formulation compatible avec une échelle « J’aimerais… », sans présumer compétence, expérience ni métier actuel.</t>
        </is>
      </c>
      <c r="L36" s="9" t="inlineStr">
        <is>
          <t>RETENU</t>
        </is>
      </c>
      <c r="M36" s="9" t="inlineStr">
        <is>
          <t>Couverture de facette + activité observable ; priorité ACT, complétée par SIT à faible risque.</t>
        </is>
      </c>
      <c r="N36" s="9" t="inlineStr">
        <is>
          <t>FAIBLE</t>
        </is>
      </c>
      <c r="O36" s="9" t="inlineStr">
        <is>
          <t>FAIBLE</t>
        </is>
      </c>
      <c r="P36" s="9" t="inlineStr">
        <is>
          <t>FAIBLE</t>
        </is>
      </c>
    </row>
    <row r="37">
      <c r="A37" s="9" t="n">
        <v>36</v>
      </c>
      <c r="B37" s="9" t="inlineStr">
        <is>
          <t>PIP-ACT-A-A5-018</t>
        </is>
      </c>
      <c r="C37" s="9" t="inlineStr">
        <is>
          <t>0.6</t>
        </is>
      </c>
      <c r="D37" s="9" t="inlineStr">
        <is>
          <t>PIP-BANK-0.5</t>
        </is>
      </c>
      <c r="E37" s="9" t="inlineStr">
        <is>
          <t>A</t>
        </is>
      </c>
      <c r="F37" s="9" t="inlineStr">
        <is>
          <t>A5</t>
        </is>
      </c>
      <c r="G37" s="9" t="inlineStr">
        <is>
          <t>ACT</t>
        </is>
      </c>
      <c r="H37" s="9" t="inlineStr">
        <is>
          <t>Réinventer une manière habituelle de faire pour proposer une approche originale.</t>
        </is>
      </c>
      <c r="I37" s="9" t="inlineStr">
        <is>
          <t>Repenser une manière habituelle de présenter ou de réaliser quelque chose afin de proposer une approche originale.</t>
        </is>
      </c>
      <c r="J37" s="9" t="inlineStr">
        <is>
          <t>Repenser une manière habituelle de faire afin de proposer une approche plus originale.</t>
        </is>
      </c>
      <c r="K37" s="9" t="inlineStr">
        <is>
          <t>Reformulation centrée sur l’intérêt pour une activité professionnelle observable ; formulation compatible avec une échelle « J’aimerais… », sans présumer compétence, expérience ni métier actuel.</t>
        </is>
      </c>
      <c r="L37" s="9" t="inlineStr">
        <is>
          <t>RETENU</t>
        </is>
      </c>
      <c r="M37" s="9" t="inlineStr">
        <is>
          <t>Couverture de facette + activité observable ; priorité ACT, complétée par SIT à faible risque.</t>
        </is>
      </c>
      <c r="N37" s="9" t="inlineStr">
        <is>
          <t>FAIBLE</t>
        </is>
      </c>
      <c r="O37" s="9" t="inlineStr">
        <is>
          <t>FAIBLE</t>
        </is>
      </c>
      <c r="P37" s="9" t="inlineStr">
        <is>
          <t>FAIBLE</t>
        </is>
      </c>
    </row>
    <row r="38">
      <c r="A38" s="9" t="n">
        <v>37</v>
      </c>
      <c r="B38" s="9" t="inlineStr">
        <is>
          <t>PIP-ACT-S-S1-001</t>
        </is>
      </c>
      <c r="C38" s="9" t="inlineStr">
        <is>
          <t>0.6</t>
        </is>
      </c>
      <c r="D38" s="9" t="inlineStr">
        <is>
          <t>PIP-BANK-0.5</t>
        </is>
      </c>
      <c r="E38" s="9" t="inlineStr">
        <is>
          <t>S</t>
        </is>
      </c>
      <c r="F38" s="9" t="inlineStr">
        <is>
          <t>S1</t>
        </is>
      </c>
      <c r="G38" s="9" t="inlineStr">
        <is>
          <t>ACT</t>
        </is>
      </c>
      <c r="H38" s="9" t="inlineStr">
        <is>
          <t>Expliquer un sujet à une personne pour l’aider à le comprendre.</t>
        </is>
      </c>
      <c r="I38" s="9" t="inlineStr">
        <is>
          <t>Expliquer une notion à une personne jusqu’à ce qu’elle puisse la comprendre par elle-même.</t>
        </is>
      </c>
      <c r="J38" s="9" t="inlineStr">
        <is>
          <t>Expliquer une notion à une personne jusqu’à ce qu’elle puisse la comprendre par elle-même.</t>
        </is>
      </c>
      <c r="K38" s="9" t="inlineStr">
        <is>
          <t>Reformulation centrée sur l’intérêt pour une activité professionnelle observable ; formulation compatible avec une échelle « J’aimerais… », sans présumer compétence, expérience ni métier actuel.</t>
        </is>
      </c>
      <c r="L38" s="9" t="inlineStr">
        <is>
          <t>RETENU</t>
        </is>
      </c>
      <c r="M38" s="9" t="inlineStr">
        <is>
          <t>Couverture de facette + activité observable ; priorité ACT, complétée par SIT à faible risque.</t>
        </is>
      </c>
      <c r="N38" s="9" t="inlineStr">
        <is>
          <t>FAIBLE</t>
        </is>
      </c>
      <c r="O38" s="9" t="inlineStr">
        <is>
          <t>MOYEN</t>
        </is>
      </c>
      <c r="P38" s="9" t="inlineStr">
        <is>
          <t>FAIBLE</t>
        </is>
      </c>
    </row>
    <row r="39">
      <c r="A39" s="9" t="n">
        <v>38</v>
      </c>
      <c r="B39" s="9" t="inlineStr">
        <is>
          <t>PIP-ACT-S-S1-002</t>
        </is>
      </c>
      <c r="C39" s="9" t="inlineStr">
        <is>
          <t>0.6</t>
        </is>
      </c>
      <c r="D39" s="9" t="inlineStr">
        <is>
          <t>PIP-BANK-0.5</t>
        </is>
      </c>
      <c r="E39" s="9" t="inlineStr">
        <is>
          <t>S</t>
        </is>
      </c>
      <c r="F39" s="9" t="inlineStr">
        <is>
          <t>S1</t>
        </is>
      </c>
      <c r="G39" s="9" t="inlineStr">
        <is>
          <t>ACT</t>
        </is>
      </c>
      <c r="H39" s="9" t="inlineStr">
        <is>
          <t>Montrer à quelqu’un comment réaliser une tâche afin qu’il puisse ensuite la faire seul.</t>
        </is>
      </c>
      <c r="I39" s="9" t="inlineStr">
        <is>
          <t>Montrer étape par étape à quelqu’un comment réaliser une tâche pour qu’il puisse ensuite la refaire seul.</t>
        </is>
      </c>
      <c r="J39" s="9" t="inlineStr">
        <is>
          <t>Montrer étape par étape à quelqu’un comment réaliser une tâche pour qu’il puisse ensuite la refaire seul.</t>
        </is>
      </c>
      <c r="K39" s="9" t="inlineStr">
        <is>
          <t>Reformulation centrée sur l’intérêt pour une activité professionnelle observable ; formulation compatible avec une échelle « J’aimerais… », sans présumer compétence, expérience ni métier actuel.</t>
        </is>
      </c>
      <c r="L39" s="9" t="inlineStr">
        <is>
          <t>RETENU</t>
        </is>
      </c>
      <c r="M39" s="9" t="inlineStr">
        <is>
          <t>Couverture de facette + activité observable ; priorité ACT, complétée par SIT à faible risque.</t>
        </is>
      </c>
      <c r="N39" s="9" t="inlineStr">
        <is>
          <t>FAIBLE</t>
        </is>
      </c>
      <c r="O39" s="9" t="inlineStr">
        <is>
          <t>MOYEN</t>
        </is>
      </c>
      <c r="P39" s="9" t="inlineStr">
        <is>
          <t>FAIBLE</t>
        </is>
      </c>
    </row>
    <row r="40">
      <c r="A40" s="9" t="n">
        <v>39</v>
      </c>
      <c r="B40" s="9" t="inlineStr">
        <is>
          <t>PIP-SIT-S-S1-003</t>
        </is>
      </c>
      <c r="C40" s="9" t="inlineStr">
        <is>
          <t>0.6</t>
        </is>
      </c>
      <c r="D40" s="9" t="inlineStr">
        <is>
          <t>PIP-BANK-0.5</t>
        </is>
      </c>
      <c r="E40" s="9" t="inlineStr">
        <is>
          <t>S</t>
        </is>
      </c>
      <c r="F40" s="9" t="inlineStr">
        <is>
          <t>S1</t>
        </is>
      </c>
      <c r="G40" s="9" t="inlineStr">
        <is>
          <t>SIT</t>
        </is>
      </c>
      <c r="H40" s="9" t="inlineStr">
        <is>
          <t>Adapter sa manière d’expliquer lorsqu’une personne ne comprend pas du premier coup.</t>
        </is>
      </c>
      <c r="I40" s="9" t="inlineStr">
        <is>
          <t>Une personne ne comprend pas une première explication : chercher une autre manière de lui présenter les choses.</t>
        </is>
      </c>
      <c r="J40" s="9" t="inlineStr">
        <is>
          <t>Chercher une autre manière d’expliquer lorsqu’une personne ne comprend pas du premier coup.</t>
        </is>
      </c>
      <c r="K40" s="9" t="inlineStr">
        <is>
          <t>Reformulation centrée sur l’intérêt pour une activité professionnelle observable ; formulation compatible avec une échelle « J’aimerais… », sans présumer compétence, expérience ni métier actuel.</t>
        </is>
      </c>
      <c r="L40" s="9" t="inlineStr">
        <is>
          <t>RETENU</t>
        </is>
      </c>
      <c r="M40" s="9" t="inlineStr">
        <is>
          <t>Couverture de facette + activité observable ; priorité ACT, complétée par SIT à faible risque.</t>
        </is>
      </c>
      <c r="N40" s="9" t="inlineStr">
        <is>
          <t>FAIBLE</t>
        </is>
      </c>
      <c r="O40" s="9" t="inlineStr">
        <is>
          <t>MOYEN</t>
        </is>
      </c>
      <c r="P40" s="9" t="inlineStr">
        <is>
          <t>FAIBLE</t>
        </is>
      </c>
    </row>
    <row r="41">
      <c r="A41" s="9" t="n">
        <v>40</v>
      </c>
      <c r="B41" s="9" t="inlineStr">
        <is>
          <t>PIP-ACT-S-S2-005</t>
        </is>
      </c>
      <c r="C41" s="9" t="inlineStr">
        <is>
          <t>0.6</t>
        </is>
      </c>
      <c r="D41" s="9" t="inlineStr">
        <is>
          <t>PIP-BANK-0.5</t>
        </is>
      </c>
      <c r="E41" s="9" t="inlineStr">
        <is>
          <t>S</t>
        </is>
      </c>
      <c r="F41" s="9" t="inlineStr">
        <is>
          <t>S2</t>
        </is>
      </c>
      <c r="G41" s="9" t="inlineStr">
        <is>
          <t>ACT</t>
        </is>
      </c>
      <c r="H41" s="9" t="inlineStr">
        <is>
          <t>Accompagner une personne dans la réalisation d’un objectif qui compte pour elle.</t>
        </is>
      </c>
      <c r="I41" s="9" t="inlineStr">
        <is>
          <t>Accompagner une personne dans les étapes nécessaires pour atteindre un objectif qui compte pour elle.</t>
        </is>
      </c>
      <c r="J41" s="9" t="inlineStr">
        <is>
          <t>Accompagner une personne dans les étapes nécessaires pour atteindre un objectif important pour elle.</t>
        </is>
      </c>
      <c r="K41" s="9" t="inlineStr">
        <is>
          <t>Reformulation centrée sur l’intérêt pour une activité professionnelle observable ; formulation compatible avec une échelle « J’aimerais… », sans présumer compétence, expérience ni métier actuel.</t>
        </is>
      </c>
      <c r="L41" s="9" t="inlineStr">
        <is>
          <t>RETENU</t>
        </is>
      </c>
      <c r="M41" s="9" t="inlineStr">
        <is>
          <t>Couverture de facette + activité observable ; priorité ACT, complétée par SIT à faible risque.</t>
        </is>
      </c>
      <c r="N41" s="9" t="inlineStr">
        <is>
          <t>FAIBLE</t>
        </is>
      </c>
      <c r="O41" s="9" t="inlineStr">
        <is>
          <t>MOYEN</t>
        </is>
      </c>
      <c r="P41" s="9" t="inlineStr">
        <is>
          <t>FAIBLE</t>
        </is>
      </c>
    </row>
    <row r="42">
      <c r="A42" s="9" t="n">
        <v>41</v>
      </c>
      <c r="B42" s="9" t="inlineStr">
        <is>
          <t>PIP-ACT-S-S2-006</t>
        </is>
      </c>
      <c r="C42" s="9" t="inlineStr">
        <is>
          <t>0.6</t>
        </is>
      </c>
      <c r="D42" s="9" t="inlineStr">
        <is>
          <t>PIP-BANK-0.5</t>
        </is>
      </c>
      <c r="E42" s="9" t="inlineStr">
        <is>
          <t>S</t>
        </is>
      </c>
      <c r="F42" s="9" t="inlineStr">
        <is>
          <t>S2</t>
        </is>
      </c>
      <c r="G42" s="9" t="inlineStr">
        <is>
          <t>ACT</t>
        </is>
      </c>
      <c r="H42" s="9" t="inlineStr">
        <is>
          <t>Soutenir quelqu’un qui rencontre une difficulté dans son parcours.</t>
        </is>
      </c>
      <c r="I42" s="9" t="inlineStr">
        <is>
          <t>Soutenir quelqu’un qui traverse une difficulté professionnelle ou personnelle liée à son parcours.</t>
        </is>
      </c>
      <c r="J42" s="9" t="inlineStr">
        <is>
          <t>Soutenir une personne qui rencontre une difficulté dans son parcours.</t>
        </is>
      </c>
      <c r="K42" s="9" t="inlineStr">
        <is>
          <t>Reformulation centrée sur l’intérêt pour une activité professionnelle observable ; formulation compatible avec une échelle « J’aimerais… », sans présumer compétence, expérience ni métier actuel.</t>
        </is>
      </c>
      <c r="L42" s="9" t="inlineStr">
        <is>
          <t>RETENU</t>
        </is>
      </c>
      <c r="M42" s="9" t="inlineStr">
        <is>
          <t>Couverture de facette + activité observable ; priorité ACT, complétée par SIT à faible risque.</t>
        </is>
      </c>
      <c r="N42" s="9" t="inlineStr">
        <is>
          <t>FAIBLE</t>
        </is>
      </c>
      <c r="O42" s="9" t="inlineStr">
        <is>
          <t>MOYEN</t>
        </is>
      </c>
      <c r="P42" s="9" t="inlineStr">
        <is>
          <t>FAIBLE</t>
        </is>
      </c>
    </row>
    <row r="43">
      <c r="A43" s="9" t="n">
        <v>42</v>
      </c>
      <c r="B43" s="9" t="inlineStr">
        <is>
          <t>PIP-SIT-S-S2-007</t>
        </is>
      </c>
      <c r="C43" s="9" t="inlineStr">
        <is>
          <t>0.6</t>
        </is>
      </c>
      <c r="D43" s="9" t="inlineStr">
        <is>
          <t>PIP-BANK-0.5</t>
        </is>
      </c>
      <c r="E43" s="9" t="inlineStr">
        <is>
          <t>S</t>
        </is>
      </c>
      <c r="F43" s="9" t="inlineStr">
        <is>
          <t>S2</t>
        </is>
      </c>
      <c r="G43" s="9" t="inlineStr">
        <is>
          <t>SIT</t>
        </is>
      </c>
      <c r="H43" s="9" t="inlineStr">
        <is>
          <t>Être aux côtés d’une personne pendant une période de changement et l’aider à avancer.</t>
        </is>
      </c>
      <c r="I43" s="9" t="inlineStr">
        <is>
          <t>Être présent auprès d’une personne pendant un changement important et l’aider à avancer progressivement.</t>
        </is>
      </c>
      <c r="J43" s="9" t="inlineStr">
        <is>
          <t>Être présent auprès d’une personne pendant une période de changement et l’aider à avancer progressivement.</t>
        </is>
      </c>
      <c r="K43" s="9" t="inlineStr">
        <is>
          <t>Reformulation centrée sur l’intérêt pour une activité professionnelle observable ; formulation compatible avec une échelle « J’aimerais… », sans présumer compétence, expérience ni métier actuel.</t>
        </is>
      </c>
      <c r="L43" s="9" t="inlineStr">
        <is>
          <t>RETENU</t>
        </is>
      </c>
      <c r="M43" s="9" t="inlineStr">
        <is>
          <t>Couverture de facette + activité observable ; priorité ACT, complétée par SIT à faible risque.</t>
        </is>
      </c>
      <c r="N43" s="9" t="inlineStr">
        <is>
          <t>FAIBLE</t>
        </is>
      </c>
      <c r="O43" s="9" t="inlineStr">
        <is>
          <t>MOYEN</t>
        </is>
      </c>
      <c r="P43" s="9" t="inlineStr">
        <is>
          <t>FAIBLE</t>
        </is>
      </c>
    </row>
    <row r="44">
      <c r="A44" s="9" t="n">
        <v>43</v>
      </c>
      <c r="B44" s="9" t="inlineStr">
        <is>
          <t>PIP-ACT-S-S3-009</t>
        </is>
      </c>
      <c r="C44" s="9" t="inlineStr">
        <is>
          <t>0.6</t>
        </is>
      </c>
      <c r="D44" s="9" t="inlineStr">
        <is>
          <t>PIP-BANK-0.5</t>
        </is>
      </c>
      <c r="E44" s="9" t="inlineStr">
        <is>
          <t>S</t>
        </is>
      </c>
      <c r="F44" s="9" t="inlineStr">
        <is>
          <t>S3</t>
        </is>
      </c>
      <c r="G44" s="9" t="inlineStr">
        <is>
          <t>ACT</t>
        </is>
      </c>
      <c r="H44" s="9" t="inlineStr">
        <is>
          <t>Écouter la situation d’une personne puis l’aider à identifier les options qui s’offrent à elle.</t>
        </is>
      </c>
      <c r="I44" s="9" t="inlineStr">
        <is>
          <t>Écouter la situation d’une personne puis l’aider à repérer les différentes options possibles.</t>
        </is>
      </c>
      <c r="J44" s="9" t="inlineStr">
        <is>
          <t>Écouter la situation d’une personne puis l’aider à repérer les différentes options possibles.</t>
        </is>
      </c>
      <c r="K44" s="9" t="inlineStr">
        <is>
          <t>Reformulation centrée sur l’intérêt pour une activité professionnelle observable ; formulation compatible avec une échelle « J’aimerais… », sans présumer compétence, expérience ni métier actuel.</t>
        </is>
      </c>
      <c r="L44" s="9" t="inlineStr">
        <is>
          <t>RETENU</t>
        </is>
      </c>
      <c r="M44" s="9" t="inlineStr">
        <is>
          <t>Couverture de facette + activité observable ; priorité ACT, complétée par SIT à faible risque.</t>
        </is>
      </c>
      <c r="N44" s="9" t="inlineStr">
        <is>
          <t>MOYEN</t>
        </is>
      </c>
      <c r="O44" s="9" t="inlineStr">
        <is>
          <t>MOYEN</t>
        </is>
      </c>
      <c r="P44" s="9" t="inlineStr">
        <is>
          <t>FAIBLE</t>
        </is>
      </c>
    </row>
    <row r="45">
      <c r="A45" s="9" t="n">
        <v>44</v>
      </c>
      <c r="B45" s="9" t="inlineStr">
        <is>
          <t>PIP-ACT-S-S3-010</t>
        </is>
      </c>
      <c r="C45" s="9" t="inlineStr">
        <is>
          <t>0.6</t>
        </is>
      </c>
      <c r="D45" s="9" t="inlineStr">
        <is>
          <t>PIP-BANK-0.5</t>
        </is>
      </c>
      <c r="E45" s="9" t="inlineStr">
        <is>
          <t>S</t>
        </is>
      </c>
      <c r="F45" s="9" t="inlineStr">
        <is>
          <t>S3</t>
        </is>
      </c>
      <c r="G45" s="9" t="inlineStr">
        <is>
          <t>ACT</t>
        </is>
      </c>
      <c r="H45" s="9" t="inlineStr">
        <is>
          <t>Donner des informations utiles pour aider quelqu’un à faire un choix.</t>
        </is>
      </c>
      <c r="I45" s="9" t="inlineStr">
        <is>
          <t>Donner à quelqu’un les informations utiles pour qu’il puisse prendre lui-même une décision éclairée.</t>
        </is>
      </c>
      <c r="J45" s="9" t="inlineStr">
        <is>
          <t>Donner à quelqu’un les informations utiles pour qu’il puisse prendre lui-même une décision éclairée.</t>
        </is>
      </c>
      <c r="K45" s="9" t="inlineStr">
        <is>
          <t>Reformulation centrée sur l’intérêt pour une activité professionnelle observable ; formulation compatible avec une échelle « J’aimerais… », sans présumer compétence, expérience ni métier actuel.</t>
        </is>
      </c>
      <c r="L45" s="9" t="inlineStr">
        <is>
          <t>RETENU</t>
        </is>
      </c>
      <c r="M45" s="9" t="inlineStr">
        <is>
          <t>Couverture de facette + activité observable ; priorité ACT, complétée par SIT à faible risque.</t>
        </is>
      </c>
      <c r="N45" s="9" t="inlineStr">
        <is>
          <t>FAIBLE</t>
        </is>
      </c>
      <c r="O45" s="9" t="inlineStr">
        <is>
          <t>MOYEN</t>
        </is>
      </c>
      <c r="P45" s="9" t="inlineStr">
        <is>
          <t>FAIBLE</t>
        </is>
      </c>
    </row>
    <row r="46">
      <c r="A46" s="9" t="n">
        <v>45</v>
      </c>
      <c r="B46" s="9" t="inlineStr">
        <is>
          <t>PIP-ACT-S-S4-013</t>
        </is>
      </c>
      <c r="C46" s="9" t="inlineStr">
        <is>
          <t>0.6</t>
        </is>
      </c>
      <c r="D46" s="9" t="inlineStr">
        <is>
          <t>PIP-BANK-0.5</t>
        </is>
      </c>
      <c r="E46" s="9" t="inlineStr">
        <is>
          <t>S</t>
        </is>
      </c>
      <c r="F46" s="9" t="inlineStr">
        <is>
          <t>S4</t>
        </is>
      </c>
      <c r="G46" s="9" t="inlineStr">
        <is>
          <t>ACT</t>
        </is>
      </c>
      <c r="H46" s="9" t="inlineStr">
        <is>
          <t>Prendre soin d’une personne qui a besoin d’aide pour préserver ou retrouver son bien-être.</t>
        </is>
      </c>
      <c r="I46" s="9" t="inlineStr">
        <is>
          <t>Aider concrètement une personne fragilisée à préserver ou retrouver son confort, sa santé ou son autonomie.</t>
        </is>
      </c>
      <c r="J46" s="9" t="inlineStr">
        <is>
          <t>Aider concrètement une personne fragilisée à préserver ou retrouver son confort, sa santé ou son autonomie.</t>
        </is>
      </c>
      <c r="K46" s="9" t="inlineStr">
        <is>
          <t>Reformulation centrée sur l’intérêt pour une activité professionnelle observable ; formulation compatible avec une échelle « J’aimerais… », sans présumer compétence, expérience ni métier actuel.</t>
        </is>
      </c>
      <c r="L46" s="9" t="inlineStr">
        <is>
          <t>RETENU</t>
        </is>
      </c>
      <c r="M46" s="9" t="inlineStr">
        <is>
          <t>Couverture de facette + activité observable ; priorité ACT, complétée par SIT à faible risque.</t>
        </is>
      </c>
      <c r="N46" s="9" t="inlineStr">
        <is>
          <t>FAIBLE</t>
        </is>
      </c>
      <c r="O46" s="9" t="inlineStr">
        <is>
          <t>MOYEN</t>
        </is>
      </c>
      <c r="P46" s="9" t="inlineStr">
        <is>
          <t>FAIBLE</t>
        </is>
      </c>
    </row>
    <row r="47">
      <c r="A47" s="9" t="n">
        <v>46</v>
      </c>
      <c r="B47" s="9" t="inlineStr">
        <is>
          <t>PIP-ACT-S-S4-014</t>
        </is>
      </c>
      <c r="C47" s="9" t="inlineStr">
        <is>
          <t>0.6</t>
        </is>
      </c>
      <c r="D47" s="9" t="inlineStr">
        <is>
          <t>PIP-BANK-0.5</t>
        </is>
      </c>
      <c r="E47" s="9" t="inlineStr">
        <is>
          <t>S</t>
        </is>
      </c>
      <c r="F47" s="9" t="inlineStr">
        <is>
          <t>S4</t>
        </is>
      </c>
      <c r="G47" s="9" t="inlineStr">
        <is>
          <t>ACT</t>
        </is>
      </c>
      <c r="H47" s="9" t="inlineStr">
        <is>
          <t>Réaliser des gestes d’assistance destinés à protéger la santé ou la sécurité d’une personne.</t>
        </is>
      </c>
      <c r="I47" s="9" t="inlineStr">
        <is>
          <t>Réaliser des gestes d’assistance ou de prévention destinés à protéger la santé ou la sécurité d’une personne.</t>
        </is>
      </c>
      <c r="J47" s="9" t="inlineStr">
        <is>
          <t>Réaliser des gestes d’assistance ou de prévention destinés à protéger la santé ou la sécurité d’une personne.</t>
        </is>
      </c>
      <c r="K47" s="9" t="inlineStr">
        <is>
          <t>Reformulation centrée sur l’intérêt pour une activité professionnelle observable ; formulation compatible avec une échelle « J’aimerais… », sans présumer compétence, expérience ni métier actuel.</t>
        </is>
      </c>
      <c r="L47" s="9" t="inlineStr">
        <is>
          <t>RETENU</t>
        </is>
      </c>
      <c r="M47" s="9" t="inlineStr">
        <is>
          <t>Couverture de facette + activité observable ; priorité ACT, complétée par SIT à faible risque.</t>
        </is>
      </c>
      <c r="N47" s="9" t="inlineStr">
        <is>
          <t>FAIBLE</t>
        </is>
      </c>
      <c r="O47" s="9" t="inlineStr">
        <is>
          <t>MOYEN</t>
        </is>
      </c>
      <c r="P47" s="9" t="inlineStr">
        <is>
          <t>MOYEN</t>
        </is>
      </c>
    </row>
    <row r="48">
      <c r="A48" s="9" t="n">
        <v>47</v>
      </c>
      <c r="B48" s="9" t="inlineStr">
        <is>
          <t>PIP-ACT-S-S5-017</t>
        </is>
      </c>
      <c r="C48" s="9" t="inlineStr">
        <is>
          <t>0.6</t>
        </is>
      </c>
      <c r="D48" s="9" t="inlineStr">
        <is>
          <t>PIP-BANK-0.5</t>
        </is>
      </c>
      <c r="E48" s="9" t="inlineStr">
        <is>
          <t>S</t>
        </is>
      </c>
      <c r="F48" s="9" t="inlineStr">
        <is>
          <t>S5</t>
        </is>
      </c>
      <c r="G48" s="9" t="inlineStr">
        <is>
          <t>ACT</t>
        </is>
      </c>
      <c r="H48" s="9" t="inlineStr">
        <is>
          <t>Accueillir une personne et l’aider à obtenir le service dont elle a besoin.</t>
        </is>
      </c>
      <c r="I48" s="9" t="inlineStr">
        <is>
          <t>Accueillir une personne, comprendre ce dont elle a besoin et l’aider à obtenir le service recherché.</t>
        </is>
      </c>
      <c r="J48" s="9" t="inlineStr">
        <is>
          <t>Accueillir une personne, comprendre sa demande et l’orienter vers le service ou la solution adaptée.</t>
        </is>
      </c>
      <c r="K48" s="9" t="inlineStr">
        <is>
          <t>Reformulation centrée sur l’intérêt pour une activité professionnelle observable ; formulation compatible avec une échelle « J’aimerais… », sans présumer compétence, expérience ni métier actuel.</t>
        </is>
      </c>
      <c r="L48" s="9" t="inlineStr">
        <is>
          <t>RETENU</t>
        </is>
      </c>
      <c r="M48" s="9" t="inlineStr">
        <is>
          <t>Couverture de facette + activité observable ; priorité ACT, complétée par SIT à faible risque.</t>
        </is>
      </c>
      <c r="N48" s="9" t="inlineStr">
        <is>
          <t>FAIBLE</t>
        </is>
      </c>
      <c r="O48" s="9" t="inlineStr">
        <is>
          <t>MOYEN</t>
        </is>
      </c>
      <c r="P48" s="9" t="inlineStr">
        <is>
          <t>FAIBLE</t>
        </is>
      </c>
    </row>
    <row r="49">
      <c r="A49" s="9" t="n">
        <v>48</v>
      </c>
      <c r="B49" s="9" t="inlineStr">
        <is>
          <t>PIP-ACT-S-S5-018</t>
        </is>
      </c>
      <c r="C49" s="9" t="inlineStr">
        <is>
          <t>0.6</t>
        </is>
      </c>
      <c r="D49" s="9" t="inlineStr">
        <is>
          <t>PIP-BANK-0.5</t>
        </is>
      </c>
      <c r="E49" s="9" t="inlineStr">
        <is>
          <t>S</t>
        </is>
      </c>
      <c r="F49" s="9" t="inlineStr">
        <is>
          <t>S5</t>
        </is>
      </c>
      <c r="G49" s="9" t="inlineStr">
        <is>
          <t>ACT</t>
        </is>
      </c>
      <c r="H49" s="9" t="inlineStr">
        <is>
          <t>Répondre concrètement à une demande afin de faciliter la démarche d’une personne.</t>
        </is>
      </c>
      <c r="I49" s="9" t="inlineStr">
        <is>
          <t>Répondre concrètement à la demande d’un usager ou d’un client afin de lui faciliter une démarche.</t>
        </is>
      </c>
      <c r="J49" s="9" t="inlineStr">
        <is>
          <t>Répondre concrètement à la demande d’un usager ou d’un client afin de lui faciliter une démarche.</t>
        </is>
      </c>
      <c r="K49" s="9" t="inlineStr">
        <is>
          <t>Reformulation centrée sur l’intérêt pour une activité professionnelle observable ; formulation compatible avec une échelle « J’aimerais… », sans présumer compétence, expérience ni métier actuel.</t>
        </is>
      </c>
      <c r="L49" s="9" t="inlineStr">
        <is>
          <t>RETENU</t>
        </is>
      </c>
      <c r="M49" s="9" t="inlineStr">
        <is>
          <t>Couverture de facette + activité observable ; priorité ACT, complétée par SIT à faible risque.</t>
        </is>
      </c>
      <c r="N49" s="9" t="inlineStr">
        <is>
          <t>FAIBLE</t>
        </is>
      </c>
      <c r="O49" s="9" t="inlineStr">
        <is>
          <t>MOYEN</t>
        </is>
      </c>
      <c r="P49" s="9" t="inlineStr">
        <is>
          <t>FAIBLE</t>
        </is>
      </c>
    </row>
    <row r="50">
      <c r="A50" s="9" t="n">
        <v>49</v>
      </c>
      <c r="B50" s="9" t="inlineStr">
        <is>
          <t>PIP-ACT-E-E1-001</t>
        </is>
      </c>
      <c r="C50" s="9" t="inlineStr">
        <is>
          <t>0.6</t>
        </is>
      </c>
      <c r="D50" s="9" t="inlineStr">
        <is>
          <t>PIP-BANK-0.5</t>
        </is>
      </c>
      <c r="E50" s="9" t="inlineStr">
        <is>
          <t>E</t>
        </is>
      </c>
      <c r="F50" s="9" t="inlineStr">
        <is>
          <t>E1</t>
        </is>
      </c>
      <c r="G50" s="9" t="inlineStr">
        <is>
          <t>ACT</t>
        </is>
      </c>
      <c r="H50" s="9" t="inlineStr">
        <is>
          <t>Lancer un nouveau projet à partir d’une idée ou d’une opportunité.</t>
        </is>
      </c>
      <c r="I50" s="9" t="inlineStr">
        <is>
          <t>Lancer un nouveau service, une activité ou un projet à partir d’une idée ou d’une opportunité identifiée.</t>
        </is>
      </c>
      <c r="J50" s="9" t="inlineStr">
        <is>
          <t>Lancer un nouveau service, une activité ou un projet à partir d’une idée ou d’une opportunité.</t>
        </is>
      </c>
      <c r="K50" s="9" t="inlineStr">
        <is>
          <t>Reformulation centrée sur l’intérêt pour une activité professionnelle observable ; formulation compatible avec une échelle « J’aimerais… », sans présumer compétence, expérience ni métier actuel.</t>
        </is>
      </c>
      <c r="L50" s="9" t="inlineStr">
        <is>
          <t>RETENU</t>
        </is>
      </c>
      <c r="M50" s="9" t="inlineStr">
        <is>
          <t>Couverture de facette + activité observable ; priorité ACT, complétée par SIT à faible risque.</t>
        </is>
      </c>
      <c r="N50" s="9" t="inlineStr">
        <is>
          <t>FAIBLE</t>
        </is>
      </c>
      <c r="O50" s="9" t="inlineStr">
        <is>
          <t>MOYEN</t>
        </is>
      </c>
      <c r="P50" s="9" t="inlineStr">
        <is>
          <t>FAIBLE</t>
        </is>
      </c>
    </row>
    <row r="51">
      <c r="A51" s="9" t="n">
        <v>50</v>
      </c>
      <c r="B51" s="9" t="inlineStr">
        <is>
          <t>PIP-ACT-E-E1-002</t>
        </is>
      </c>
      <c r="C51" s="9" t="inlineStr">
        <is>
          <t>0.6</t>
        </is>
      </c>
      <c r="D51" s="9" t="inlineStr">
        <is>
          <t>PIP-BANK-0.5</t>
        </is>
      </c>
      <c r="E51" s="9" t="inlineStr">
        <is>
          <t>E</t>
        </is>
      </c>
      <c r="F51" s="9" t="inlineStr">
        <is>
          <t>E1</t>
        </is>
      </c>
      <c r="G51" s="9" t="inlineStr">
        <is>
          <t>ACT</t>
        </is>
      </c>
      <c r="H51" s="9" t="inlineStr">
        <is>
          <t>Faire progresser un projet en identifiant de nouvelles possibilités de développement.</t>
        </is>
      </c>
      <c r="I51" s="9" t="inlineStr">
        <is>
          <t>Chercher de nouvelles possibilités pour développer un projet, une activité ou une offre existante.</t>
        </is>
      </c>
      <c r="J51" s="9" t="inlineStr">
        <is>
          <t>Rechercher de nouvelles possibilités pour développer un projet, une activité ou une offre existante.</t>
        </is>
      </c>
      <c r="K51" s="9" t="inlineStr">
        <is>
          <t>Reformulation centrée sur l’intérêt pour une activité professionnelle observable ; formulation compatible avec une échelle « J’aimerais… », sans présumer compétence, expérience ni métier actuel.</t>
        </is>
      </c>
      <c r="L51" s="9" t="inlineStr">
        <is>
          <t>RETENU</t>
        </is>
      </c>
      <c r="M51" s="9" t="inlineStr">
        <is>
          <t>Couverture de facette + activité observable ; priorité ACT, complétée par SIT à faible risque.</t>
        </is>
      </c>
      <c r="N51" s="9" t="inlineStr">
        <is>
          <t>FAIBLE</t>
        </is>
      </c>
      <c r="O51" s="9" t="inlineStr">
        <is>
          <t>MOYEN</t>
        </is>
      </c>
      <c r="P51" s="9" t="inlineStr">
        <is>
          <t>FAIBLE</t>
        </is>
      </c>
    </row>
    <row r="52">
      <c r="A52" s="9" t="n">
        <v>51</v>
      </c>
      <c r="B52" s="9" t="inlineStr">
        <is>
          <t>PIP-SIT-E-E1-003</t>
        </is>
      </c>
      <c r="C52" s="9" t="inlineStr">
        <is>
          <t>0.6</t>
        </is>
      </c>
      <c r="D52" s="9" t="inlineStr">
        <is>
          <t>PIP-BANK-0.5</t>
        </is>
      </c>
      <c r="E52" s="9" t="inlineStr">
        <is>
          <t>E</t>
        </is>
      </c>
      <c r="F52" s="9" t="inlineStr">
        <is>
          <t>E1</t>
        </is>
      </c>
      <c r="G52" s="9" t="inlineStr">
        <is>
          <t>SIT</t>
        </is>
      </c>
      <c r="H52" s="9" t="inlineStr">
        <is>
          <t>Voir une opportunité et prendre l’initiative de la transformer en projet concret.</t>
        </is>
      </c>
      <c r="I52" s="9" t="inlineStr">
        <is>
          <t>Repérer une opportunité et prendre l’initiative de réunir les moyens nécessaires pour en faire un projet concret.</t>
        </is>
      </c>
      <c r="J52" s="9" t="inlineStr">
        <is>
          <t>Repérer une opportunité et prendre l’initiative de réunir les moyens nécessaires pour en faire un projet concret.</t>
        </is>
      </c>
      <c r="K52" s="9" t="inlineStr">
        <is>
          <t>Reformulation centrée sur l’intérêt pour une activité professionnelle observable ; formulation compatible avec une échelle « J’aimerais… », sans présumer compétence, expérience ni métier actuel.</t>
        </is>
      </c>
      <c r="L52" s="9" t="inlineStr">
        <is>
          <t>RETENU</t>
        </is>
      </c>
      <c r="M52" s="9" t="inlineStr">
        <is>
          <t>Couverture de facette + activité observable ; priorité ACT, complétée par SIT à faible risque.</t>
        </is>
      </c>
      <c r="N52" s="9" t="inlineStr">
        <is>
          <t>FAIBLE</t>
        </is>
      </c>
      <c r="O52" s="9" t="inlineStr">
        <is>
          <t>MOYEN</t>
        </is>
      </c>
      <c r="P52" s="9" t="inlineStr">
        <is>
          <t>FAIBLE</t>
        </is>
      </c>
    </row>
    <row r="53">
      <c r="A53" s="9" t="n">
        <v>52</v>
      </c>
      <c r="B53" s="9" t="inlineStr">
        <is>
          <t>PIP-ACT-E-E2-005</t>
        </is>
      </c>
      <c r="C53" s="9" t="inlineStr">
        <is>
          <t>0.6</t>
        </is>
      </c>
      <c r="D53" s="9" t="inlineStr">
        <is>
          <t>PIP-BANK-0.5</t>
        </is>
      </c>
      <c r="E53" s="9" t="inlineStr">
        <is>
          <t>E</t>
        </is>
      </c>
      <c r="F53" s="9" t="inlineStr">
        <is>
          <t>E2</t>
        </is>
      </c>
      <c r="G53" s="9" t="inlineStr">
        <is>
          <t>ACT</t>
        </is>
      </c>
      <c r="H53" s="9" t="inlineStr">
        <is>
          <t>Présenter une proposition de façon à donner envie d’y adhérer.</t>
        </is>
      </c>
      <c r="I53" s="9" t="inlineStr">
        <is>
          <t>Présenter une proposition à un client, une équipe ou un partenaire de façon à susciter son adhésion.</t>
        </is>
      </c>
      <c r="J53" s="9" t="inlineStr">
        <is>
          <t>Présenter une proposition à un client, une équipe ou un partenaire de manière à susciter son adhésion.</t>
        </is>
      </c>
      <c r="K53" s="9" t="inlineStr">
        <is>
          <t>Reformulation centrée sur l’intérêt pour une activité professionnelle observable ; formulation compatible avec une échelle « J’aimerais… », sans présumer compétence, expérience ni métier actuel.</t>
        </is>
      </c>
      <c r="L53" s="9" t="inlineStr">
        <is>
          <t>RETENU</t>
        </is>
      </c>
      <c r="M53" s="9" t="inlineStr">
        <is>
          <t>Couverture de facette + activité observable ; priorité ACT, complétée par SIT à faible risque.</t>
        </is>
      </c>
      <c r="N53" s="9" t="inlineStr">
        <is>
          <t>FAIBLE</t>
        </is>
      </c>
      <c r="O53" s="9" t="inlineStr">
        <is>
          <t>MOYEN</t>
        </is>
      </c>
      <c r="P53" s="9" t="inlineStr">
        <is>
          <t>FAIBLE</t>
        </is>
      </c>
    </row>
    <row r="54">
      <c r="A54" s="9" t="n">
        <v>53</v>
      </c>
      <c r="B54" s="9" t="inlineStr">
        <is>
          <t>PIP-ACT-E-E2-006</t>
        </is>
      </c>
      <c r="C54" s="9" t="inlineStr">
        <is>
          <t>0.6</t>
        </is>
      </c>
      <c r="D54" s="9" t="inlineStr">
        <is>
          <t>PIP-BANK-0.5</t>
        </is>
      </c>
      <c r="E54" s="9" t="inlineStr">
        <is>
          <t>E</t>
        </is>
      </c>
      <c r="F54" s="9" t="inlineStr">
        <is>
          <t>E2</t>
        </is>
      </c>
      <c r="G54" s="9" t="inlineStr">
        <is>
          <t>ACT</t>
        </is>
      </c>
      <c r="H54" s="9" t="inlineStr">
        <is>
          <t>Promouvoir un produit, un service ou une idée auprès d’un public.</t>
        </is>
      </c>
      <c r="I54" s="9" t="inlineStr">
        <is>
          <t>Promouvoir un produit, un service, un projet ou une idée auprès d’un public susceptible d’être intéressé.</t>
        </is>
      </c>
      <c r="J54" s="9" t="inlineStr">
        <is>
          <t>Promouvoir un produit, un service, un projet ou une idée auprès d’un public susceptible d’être intéressé.</t>
        </is>
      </c>
      <c r="K54" s="9" t="inlineStr">
        <is>
          <t>Reformulation centrée sur l’intérêt pour une activité professionnelle observable ; formulation compatible avec une échelle « J’aimerais… », sans présumer compétence, expérience ni métier actuel.</t>
        </is>
      </c>
      <c r="L54" s="9" t="inlineStr">
        <is>
          <t>RETENU</t>
        </is>
      </c>
      <c r="M54" s="9" t="inlineStr">
        <is>
          <t>Couverture de facette + activité observable ; priorité ACT, complétée par SIT à faible risque.</t>
        </is>
      </c>
      <c r="N54" s="9" t="inlineStr">
        <is>
          <t>FAIBLE</t>
        </is>
      </c>
      <c r="O54" s="9" t="inlineStr">
        <is>
          <t>MOYEN</t>
        </is>
      </c>
      <c r="P54" s="9" t="inlineStr">
        <is>
          <t>FAIBLE</t>
        </is>
      </c>
    </row>
    <row r="55">
      <c r="A55" s="9" t="n">
        <v>54</v>
      </c>
      <c r="B55" s="9" t="inlineStr">
        <is>
          <t>PIP-SIT-E-E2-007</t>
        </is>
      </c>
      <c r="C55" s="9" t="inlineStr">
        <is>
          <t>0.6</t>
        </is>
      </c>
      <c r="D55" s="9" t="inlineStr">
        <is>
          <t>PIP-BANK-0.5</t>
        </is>
      </c>
      <c r="E55" s="9" t="inlineStr">
        <is>
          <t>E</t>
        </is>
      </c>
      <c r="F55" s="9" t="inlineStr">
        <is>
          <t>E2</t>
        </is>
      </c>
      <c r="G55" s="9" t="inlineStr">
        <is>
          <t>SIT</t>
        </is>
      </c>
      <c r="H55" s="9" t="inlineStr">
        <is>
          <t>Défendre une proposition devant des personnes qui hésitent afin d’obtenir leur adhésion.</t>
        </is>
      </c>
      <c r="I55" s="9" t="inlineStr">
        <is>
          <t>Défendre une proposition devant des personnes hésitantes afin de les convaincre de la retenir.</t>
        </is>
      </c>
      <c r="J55" s="9" t="inlineStr">
        <is>
          <t>Défendre une proposition devant des personnes hésitantes afin de les convaincre de la retenir.</t>
        </is>
      </c>
      <c r="K55" s="9" t="inlineStr">
        <is>
          <t>Reformulation centrée sur l’intérêt pour une activité professionnelle observable ; formulation compatible avec une échelle « J’aimerais… », sans présumer compétence, expérience ni métier actuel.</t>
        </is>
      </c>
      <c r="L55" s="9" t="inlineStr">
        <is>
          <t>RETENU</t>
        </is>
      </c>
      <c r="M55" s="9" t="inlineStr">
        <is>
          <t>Couverture de facette + activité observable ; priorité ACT, complétée par SIT à faible risque.</t>
        </is>
      </c>
      <c r="N55" s="9" t="inlineStr">
        <is>
          <t>FAIBLE</t>
        </is>
      </c>
      <c r="O55" s="9" t="inlineStr">
        <is>
          <t>MOYEN</t>
        </is>
      </c>
      <c r="P55" s="9" t="inlineStr">
        <is>
          <t>FAIBLE</t>
        </is>
      </c>
    </row>
    <row r="56">
      <c r="A56" s="9" t="n">
        <v>55</v>
      </c>
      <c r="B56" s="9" t="inlineStr">
        <is>
          <t>PIP-ACT-E-E3-009</t>
        </is>
      </c>
      <c r="C56" s="9" t="inlineStr">
        <is>
          <t>0.6</t>
        </is>
      </c>
      <c r="D56" s="9" t="inlineStr">
        <is>
          <t>PIP-BANK-0.5</t>
        </is>
      </c>
      <c r="E56" s="9" t="inlineStr">
        <is>
          <t>E</t>
        </is>
      </c>
      <c r="F56" s="9" t="inlineStr">
        <is>
          <t>E3</t>
        </is>
      </c>
      <c r="G56" s="9" t="inlineStr">
        <is>
          <t>ACT</t>
        </is>
      </c>
      <c r="H56" s="9" t="inlineStr">
        <is>
          <t>Négocier les conditions d’un accord entre plusieurs parties.</t>
        </is>
      </c>
      <c r="I56" s="9" t="inlineStr">
        <is>
          <t>Négocier avec plusieurs parties les conditions d’un accord afin de parvenir à une solution acceptable.</t>
        </is>
      </c>
      <c r="J56" s="9" t="inlineStr">
        <is>
          <t>Négocier les conditions d’un accord entre plusieurs parties pour parvenir à une solution acceptable.</t>
        </is>
      </c>
      <c r="K56" s="9" t="inlineStr">
        <is>
          <t>Reformulation centrée sur l’intérêt pour une activité professionnelle observable ; formulation compatible avec une échelle « J’aimerais… », sans présumer compétence, expérience ni métier actuel.</t>
        </is>
      </c>
      <c r="L56" s="9" t="inlineStr">
        <is>
          <t>RETENU</t>
        </is>
      </c>
      <c r="M56" s="9" t="inlineStr">
        <is>
          <t>Couverture de facette + activité observable ; priorité ACT, complétée par SIT à faible risque.</t>
        </is>
      </c>
      <c r="N56" s="9" t="inlineStr">
        <is>
          <t>FAIBLE</t>
        </is>
      </c>
      <c r="O56" s="9" t="inlineStr">
        <is>
          <t>MOYEN</t>
        </is>
      </c>
      <c r="P56" s="9" t="inlineStr">
        <is>
          <t>MOYEN</t>
        </is>
      </c>
    </row>
    <row r="57">
      <c r="A57" s="9" t="n">
        <v>56</v>
      </c>
      <c r="B57" s="9" t="inlineStr">
        <is>
          <t>PIP-ACT-E-E3-010</t>
        </is>
      </c>
      <c r="C57" s="9" t="inlineStr">
        <is>
          <t>0.6</t>
        </is>
      </c>
      <c r="D57" s="9" t="inlineStr">
        <is>
          <t>PIP-BANK-0.5</t>
        </is>
      </c>
      <c r="E57" s="9" t="inlineStr">
        <is>
          <t>E</t>
        </is>
      </c>
      <c r="F57" s="9" t="inlineStr">
        <is>
          <t>E3</t>
        </is>
      </c>
      <c r="G57" s="9" t="inlineStr">
        <is>
          <t>ACT</t>
        </is>
      </c>
      <c r="H57" s="9" t="inlineStr">
        <is>
          <t>Chercher un compromis lorsque des personnes défendent des intérêts différents.</t>
        </is>
      </c>
      <c r="I57" s="9" t="inlineStr">
        <is>
          <t>Rechercher un compromis lorsque deux personnes ou organisations défendent des intérêts différents.</t>
        </is>
      </c>
      <c r="J57" s="9" t="inlineStr">
        <is>
          <t>Rechercher un compromis lorsque plusieurs personnes ou organisations défendent des intérêts différents.</t>
        </is>
      </c>
      <c r="K57" s="9" t="inlineStr">
        <is>
          <t>Reformulation centrée sur l’intérêt pour une activité professionnelle observable ; formulation compatible avec une échelle « J’aimerais… », sans présumer compétence, expérience ni métier actuel.</t>
        </is>
      </c>
      <c r="L57" s="9" t="inlineStr">
        <is>
          <t>RETENU</t>
        </is>
      </c>
      <c r="M57" s="9" t="inlineStr">
        <is>
          <t>Couverture de facette + activité observable ; priorité ACT, complétée par SIT à faible risque.</t>
        </is>
      </c>
      <c r="N57" s="9" t="inlineStr">
        <is>
          <t>MOYEN</t>
        </is>
      </c>
      <c r="O57" s="9" t="inlineStr">
        <is>
          <t>MOYEN</t>
        </is>
      </c>
      <c r="P57" s="9" t="inlineStr">
        <is>
          <t>FAIBLE</t>
        </is>
      </c>
    </row>
    <row r="58">
      <c r="A58" s="9" t="n">
        <v>57</v>
      </c>
      <c r="B58" s="9" t="inlineStr">
        <is>
          <t>PIP-ACT-E-E4-013</t>
        </is>
      </c>
      <c r="C58" s="9" t="inlineStr">
        <is>
          <t>0.6</t>
        </is>
      </c>
      <c r="D58" s="9" t="inlineStr">
        <is>
          <t>PIP-BANK-0.5</t>
        </is>
      </c>
      <c r="E58" s="9" t="inlineStr">
        <is>
          <t>E</t>
        </is>
      </c>
      <c r="F58" s="9" t="inlineStr">
        <is>
          <t>E4</t>
        </is>
      </c>
      <c r="G58" s="9" t="inlineStr">
        <is>
          <t>ACT</t>
        </is>
      </c>
      <c r="H58" s="9" t="inlineStr">
        <is>
          <t>Coordonner le travail de plusieurs personnes pour faire avancer un projet.</t>
        </is>
      </c>
      <c r="I58" s="9" t="inlineStr">
        <is>
          <t>Coordonner plusieurs personnes, répartir les responsabilités et suivre l’avancement d’un projet.</t>
        </is>
      </c>
      <c r="J58" s="9" t="inlineStr">
        <is>
          <t>Coordonner plusieurs personnes, répartir les responsabilités et suivre l’avancement d’un projet.</t>
        </is>
      </c>
      <c r="K58" s="9" t="inlineStr">
        <is>
          <t>Reformulation centrée sur l’intérêt pour une activité professionnelle observable ; formulation compatible avec une échelle « J’aimerais… », sans présumer compétence, expérience ni métier actuel.</t>
        </is>
      </c>
      <c r="L58" s="9" t="inlineStr">
        <is>
          <t>RETENU</t>
        </is>
      </c>
      <c r="M58" s="9" t="inlineStr">
        <is>
          <t>Couverture de facette + activité observable ; priorité ACT, complétée par SIT à faible risque.</t>
        </is>
      </c>
      <c r="N58" s="9" t="inlineStr">
        <is>
          <t>MOYEN</t>
        </is>
      </c>
      <c r="O58" s="9" t="inlineStr">
        <is>
          <t>MOYEN</t>
        </is>
      </c>
      <c r="P58" s="9" t="inlineStr">
        <is>
          <t>FAIBLE</t>
        </is>
      </c>
    </row>
    <row r="59">
      <c r="A59" s="9" t="n">
        <v>58</v>
      </c>
      <c r="B59" s="9" t="inlineStr">
        <is>
          <t>PIP-ACT-E-E4-014</t>
        </is>
      </c>
      <c r="C59" s="9" t="inlineStr">
        <is>
          <t>0.6</t>
        </is>
      </c>
      <c r="D59" s="9" t="inlineStr">
        <is>
          <t>PIP-BANK-0.5</t>
        </is>
      </c>
      <c r="E59" s="9" t="inlineStr">
        <is>
          <t>E</t>
        </is>
      </c>
      <c r="F59" s="9" t="inlineStr">
        <is>
          <t>E4</t>
        </is>
      </c>
      <c r="G59" s="9" t="inlineStr">
        <is>
          <t>ACT</t>
        </is>
      </c>
      <c r="H59" s="9" t="inlineStr">
        <is>
          <t>Prendre des décisions qui orientent l’action d’une équipe ou d’un projet.</t>
        </is>
      </c>
      <c r="I59" s="9" t="inlineStr">
        <is>
          <t>Prendre une décision qui donne une direction claire à une équipe ou à un projet.</t>
        </is>
      </c>
      <c r="J59" s="9" t="inlineStr">
        <is>
          <t>Prendre une décision qui donne une direction claire à une équipe ou à un projet.</t>
        </is>
      </c>
      <c r="K59" s="9" t="inlineStr">
        <is>
          <t>Reformulation centrée sur l’intérêt pour une activité professionnelle observable ; formulation compatible avec une échelle « J’aimerais… », sans présumer compétence, expérience ni métier actuel.</t>
        </is>
      </c>
      <c r="L59" s="9" t="inlineStr">
        <is>
          <t>RETENU</t>
        </is>
      </c>
      <c r="M59" s="9" t="inlineStr">
        <is>
          <t>Couverture de facette + activité observable ; priorité ACT, complétée par SIT à faible risque.</t>
        </is>
      </c>
      <c r="N59" s="9" t="inlineStr">
        <is>
          <t>FAIBLE</t>
        </is>
      </c>
      <c r="O59" s="9" t="inlineStr">
        <is>
          <t>MOYEN</t>
        </is>
      </c>
      <c r="P59" s="9" t="inlineStr">
        <is>
          <t>FAIBLE</t>
        </is>
      </c>
    </row>
    <row r="60">
      <c r="A60" s="9" t="n">
        <v>59</v>
      </c>
      <c r="B60" s="9" t="inlineStr">
        <is>
          <t>PIP-ACT-E-E5-017</t>
        </is>
      </c>
      <c r="C60" s="9" t="inlineStr">
        <is>
          <t>0.6</t>
        </is>
      </c>
      <c r="D60" s="9" t="inlineStr">
        <is>
          <t>PIP-BANK-0.5</t>
        </is>
      </c>
      <c r="E60" s="9" t="inlineStr">
        <is>
          <t>E</t>
        </is>
      </c>
      <c r="F60" s="9" t="inlineStr">
        <is>
          <t>E5</t>
        </is>
      </c>
      <c r="G60" s="9" t="inlineStr">
        <is>
          <t>ACT</t>
        </is>
      </c>
      <c r="H60" s="9" t="inlineStr">
        <is>
          <t>Prendre la parole pour représenter une organisation, un projet ou une cause.</t>
        </is>
      </c>
      <c r="I60" s="9" t="inlineStr">
        <is>
          <t>Prendre la parole au nom d’une organisation, d’un projet ou d’une cause devant des interlocuteurs externes.</t>
        </is>
      </c>
      <c r="J60" s="9" t="inlineStr">
        <is>
          <t>Prendre la parole au nom d’une organisation, d’un projet ou d’une cause devant des interlocuteurs externes.</t>
        </is>
      </c>
      <c r="K60" s="9" t="inlineStr">
        <is>
          <t>Reformulation centrée sur l’intérêt pour une activité professionnelle observable ; formulation compatible avec une échelle « J’aimerais… », sans présumer compétence, expérience ni métier actuel.</t>
        </is>
      </c>
      <c r="L60" s="9" t="inlineStr">
        <is>
          <t>RETENU</t>
        </is>
      </c>
      <c r="M60" s="9" t="inlineStr">
        <is>
          <t>Couverture de facette + activité observable ; priorité ACT, complétée par SIT à faible risque.</t>
        </is>
      </c>
      <c r="N60" s="9" t="inlineStr">
        <is>
          <t>FAIBLE</t>
        </is>
      </c>
      <c r="O60" s="9" t="inlineStr">
        <is>
          <t>MOYEN</t>
        </is>
      </c>
      <c r="P60" s="9" t="inlineStr">
        <is>
          <t>FAIBLE</t>
        </is>
      </c>
    </row>
    <row r="61">
      <c r="A61" s="9" t="n">
        <v>60</v>
      </c>
      <c r="B61" s="9" t="inlineStr">
        <is>
          <t>PIP-ACT-E-E5-018</t>
        </is>
      </c>
      <c r="C61" s="9" t="inlineStr">
        <is>
          <t>0.6</t>
        </is>
      </c>
      <c r="D61" s="9" t="inlineStr">
        <is>
          <t>PIP-BANK-0.5</t>
        </is>
      </c>
      <c r="E61" s="9" t="inlineStr">
        <is>
          <t>E</t>
        </is>
      </c>
      <c r="F61" s="9" t="inlineStr">
        <is>
          <t>E5</t>
        </is>
      </c>
      <c r="G61" s="9" t="inlineStr">
        <is>
          <t>ACT</t>
        </is>
      </c>
      <c r="H61" s="9" t="inlineStr">
        <is>
          <t>Mobiliser plusieurs personnes autour d’un objectif commun.</t>
        </is>
      </c>
      <c r="I61" s="9" t="inlineStr">
        <is>
          <t>Mobiliser plusieurs personnes autour d’un objectif et leur donner envie de contribuer.</t>
        </is>
      </c>
      <c r="J61" s="9" t="inlineStr">
        <is>
          <t>Mobiliser plusieurs personnes autour d’un objectif et leur donner envie de contribuer.</t>
        </is>
      </c>
      <c r="K61" s="9" t="inlineStr">
        <is>
          <t>Reformulation centrée sur l’intérêt pour une activité professionnelle observable ; formulation compatible avec une échelle « J’aimerais… », sans présumer compétence, expérience ni métier actuel.</t>
        </is>
      </c>
      <c r="L61" s="9" t="inlineStr">
        <is>
          <t>RETENU</t>
        </is>
      </c>
      <c r="M61" s="9" t="inlineStr">
        <is>
          <t>Couverture de facette + activité observable ; priorité ACT, complétée par SIT à faible risque.</t>
        </is>
      </c>
      <c r="N61" s="9" t="inlineStr">
        <is>
          <t>FAIBLE</t>
        </is>
      </c>
      <c r="O61" s="9" t="inlineStr">
        <is>
          <t>MOYEN</t>
        </is>
      </c>
      <c r="P61" s="9" t="inlineStr">
        <is>
          <t>FAIBLE</t>
        </is>
      </c>
    </row>
    <row r="62">
      <c r="A62" s="9" t="n">
        <v>61</v>
      </c>
      <c r="B62" s="9" t="inlineStr">
        <is>
          <t>PIP-ACT-C-C1-001</t>
        </is>
      </c>
      <c r="C62" s="9" t="inlineStr">
        <is>
          <t>0.6</t>
        </is>
      </c>
      <c r="D62" s="9" t="inlineStr">
        <is>
          <t>PIP-BANK-0.5</t>
        </is>
      </c>
      <c r="E62" s="9" t="inlineStr">
        <is>
          <t>C</t>
        </is>
      </c>
      <c r="F62" s="9" t="inlineStr">
        <is>
          <t>C1</t>
        </is>
      </c>
      <c r="G62" s="9" t="inlineStr">
        <is>
          <t>ACT</t>
        </is>
      </c>
      <c r="H62" s="9" t="inlineStr">
        <is>
          <t>Organiser des informations pour qu’elles soient faciles à retrouver et à utiliser.</t>
        </is>
      </c>
      <c r="I62" s="9" t="inlineStr">
        <is>
          <t>Organiser des dossiers ou informations dans une arborescence claire afin qu’ils soient rapidement retrouvés.</t>
        </is>
      </c>
      <c r="J62" s="9" t="inlineStr">
        <is>
          <t>Organiser des dossiers ou des informations de manière à pouvoir les retrouver rapidement.</t>
        </is>
      </c>
      <c r="K62" s="9" t="inlineStr">
        <is>
          <t>Reformulation centrée sur l’intérêt pour une activité professionnelle observable ; formulation compatible avec une échelle « J’aimerais… », sans présumer compétence, expérience ni métier actuel.</t>
        </is>
      </c>
      <c r="L62" s="9" t="inlineStr">
        <is>
          <t>RETENU</t>
        </is>
      </c>
      <c r="M62" s="9" t="inlineStr">
        <is>
          <t>Couverture de facette + activité observable ; priorité ACT, complétée par SIT à faible risque.</t>
        </is>
      </c>
      <c r="N62" s="9" t="inlineStr">
        <is>
          <t>FAIBLE</t>
        </is>
      </c>
      <c r="O62" s="9" t="inlineStr">
        <is>
          <t>MOYEN</t>
        </is>
      </c>
      <c r="P62" s="9" t="inlineStr">
        <is>
          <t>FAIBLE</t>
        </is>
      </c>
    </row>
    <row r="63">
      <c r="A63" s="9" t="n">
        <v>62</v>
      </c>
      <c r="B63" s="9" t="inlineStr">
        <is>
          <t>PIP-ACT-C-C1-002</t>
        </is>
      </c>
      <c r="C63" s="9" t="inlineStr">
        <is>
          <t>0.6</t>
        </is>
      </c>
      <c r="D63" s="9" t="inlineStr">
        <is>
          <t>PIP-BANK-0.5</t>
        </is>
      </c>
      <c r="E63" s="9" t="inlineStr">
        <is>
          <t>C</t>
        </is>
      </c>
      <c r="F63" s="9" t="inlineStr">
        <is>
          <t>C1</t>
        </is>
      </c>
      <c r="G63" s="9" t="inlineStr">
        <is>
          <t>ACT</t>
        </is>
      </c>
      <c r="H63" s="9" t="inlineStr">
        <is>
          <t>Classer des documents ou des données selon une structure claire.</t>
        </is>
      </c>
      <c r="I63" s="9" t="inlineStr">
        <is>
          <t>Classer des documents ou des données selon des catégories et des règles définies.</t>
        </is>
      </c>
      <c r="J63" s="9" t="inlineStr">
        <is>
          <t>Classer des documents ou des données selon des catégories et des règles définies.</t>
        </is>
      </c>
      <c r="K63" s="9" t="inlineStr">
        <is>
          <t>Reformulation centrée sur l’intérêt pour une activité professionnelle observable ; formulation compatible avec une échelle « J’aimerais… », sans présumer compétence, expérience ni métier actuel.</t>
        </is>
      </c>
      <c r="L63" s="9" t="inlineStr">
        <is>
          <t>RETENU</t>
        </is>
      </c>
      <c r="M63" s="9" t="inlineStr">
        <is>
          <t>Couverture de facette + activité observable ; priorité ACT, complétée par SIT à faible risque.</t>
        </is>
      </c>
      <c r="N63" s="9" t="inlineStr">
        <is>
          <t>FAIBLE</t>
        </is>
      </c>
      <c r="O63" s="9" t="inlineStr">
        <is>
          <t>MOYEN</t>
        </is>
      </c>
      <c r="P63" s="9" t="inlineStr">
        <is>
          <t>FAIBLE</t>
        </is>
      </c>
    </row>
    <row r="64">
      <c r="A64" s="9" t="n">
        <v>63</v>
      </c>
      <c r="B64" s="9" t="inlineStr">
        <is>
          <t>PIP-SIT-C-C1-003</t>
        </is>
      </c>
      <c r="C64" s="9" t="inlineStr">
        <is>
          <t>0.6</t>
        </is>
      </c>
      <c r="D64" s="9" t="inlineStr">
        <is>
          <t>PIP-BANK-0.5</t>
        </is>
      </c>
      <c r="E64" s="9" t="inlineStr">
        <is>
          <t>C</t>
        </is>
      </c>
      <c r="F64" s="9" t="inlineStr">
        <is>
          <t>C1</t>
        </is>
      </c>
      <c r="G64" s="9" t="inlineStr">
        <is>
          <t>SIT</t>
        </is>
      </c>
      <c r="H64" s="9" t="inlineStr">
        <is>
          <t>Remettre de l’ordre dans un ensemble d’informations dispersées afin qu’il devienne exploitable.</t>
        </is>
      </c>
      <c r="I64" s="9" t="inlineStr">
        <is>
          <t>Reprendre un ensemble de fichiers ou d’informations dispersés et les réorganiser pour qu’ils deviennent faciles à utiliser.</t>
        </is>
      </c>
      <c r="J64" s="9" t="inlineStr">
        <is>
          <t>Réorganiser un ensemble de fichiers ou d’informations dispersés pour les rendre faciles à utiliser.</t>
        </is>
      </c>
      <c r="K64" s="9" t="inlineStr">
        <is>
          <t>Reformulation centrée sur l’intérêt pour une activité professionnelle observable ; formulation compatible avec une échelle « J’aimerais… », sans présumer compétence, expérience ni métier actuel.</t>
        </is>
      </c>
      <c r="L64" s="9" t="inlineStr">
        <is>
          <t>RETENU</t>
        </is>
      </c>
      <c r="M64" s="9" t="inlineStr">
        <is>
          <t>Couverture de facette + activité observable ; priorité ACT, complétée par SIT à faible risque.</t>
        </is>
      </c>
      <c r="N64" s="9" t="inlineStr">
        <is>
          <t>FAIBLE</t>
        </is>
      </c>
      <c r="O64" s="9" t="inlineStr">
        <is>
          <t>MOYEN</t>
        </is>
      </c>
      <c r="P64" s="9" t="inlineStr">
        <is>
          <t>FAIBLE</t>
        </is>
      </c>
    </row>
    <row r="65">
      <c r="A65" s="9" t="n">
        <v>64</v>
      </c>
      <c r="B65" s="9" t="inlineStr">
        <is>
          <t>PIP-ACT-C-C2-005</t>
        </is>
      </c>
      <c r="C65" s="9" t="inlineStr">
        <is>
          <t>0.6</t>
        </is>
      </c>
      <c r="D65" s="9" t="inlineStr">
        <is>
          <t>PIP-BANK-0.5</t>
        </is>
      </c>
      <c r="E65" s="9" t="inlineStr">
        <is>
          <t>C</t>
        </is>
      </c>
      <c r="F65" s="9" t="inlineStr">
        <is>
          <t>C2</t>
        </is>
      </c>
      <c r="G65" s="9" t="inlineStr">
        <is>
          <t>ACT</t>
        </is>
      </c>
      <c r="H65" s="9" t="inlineStr">
        <is>
          <t>Enregistrer avec précision des informations dans un dossier ou un système.</t>
        </is>
      </c>
      <c r="I65" s="9" t="inlineStr">
        <is>
          <t>Saisir avec précision des informations dans un dossier, une base ou un système de suivi.</t>
        </is>
      </c>
      <c r="J65" s="9" t="inlineStr">
        <is>
          <t>Saisir avec précision des informations dans un dossier, une base ou un système de suivi.</t>
        </is>
      </c>
      <c r="K65" s="9" t="inlineStr">
        <is>
          <t>Reformulation centrée sur l’intérêt pour une activité professionnelle observable ; formulation compatible avec une échelle « J’aimerais… », sans présumer compétence, expérience ni métier actuel.</t>
        </is>
      </c>
      <c r="L65" s="9" t="inlineStr">
        <is>
          <t>RETENU</t>
        </is>
      </c>
      <c r="M65" s="9" t="inlineStr">
        <is>
          <t>Couverture de facette + activité observable ; priorité ACT, complétée par SIT à faible risque.</t>
        </is>
      </c>
      <c r="N65" s="9" t="inlineStr">
        <is>
          <t>FAIBLE</t>
        </is>
      </c>
      <c r="O65" s="9" t="inlineStr">
        <is>
          <t>MOYEN</t>
        </is>
      </c>
      <c r="P65" s="9" t="inlineStr">
        <is>
          <t>MOYEN</t>
        </is>
      </c>
    </row>
    <row r="66">
      <c r="A66" s="9" t="n">
        <v>65</v>
      </c>
      <c r="B66" s="9" t="inlineStr">
        <is>
          <t>PIP-ACT-C-C2-006</t>
        </is>
      </c>
      <c r="C66" s="9" t="inlineStr">
        <is>
          <t>0.6</t>
        </is>
      </c>
      <c r="D66" s="9" t="inlineStr">
        <is>
          <t>PIP-BANK-0.5</t>
        </is>
      </c>
      <c r="E66" s="9" t="inlineStr">
        <is>
          <t>C</t>
        </is>
      </c>
      <c r="F66" s="9" t="inlineStr">
        <is>
          <t>C2</t>
        </is>
      </c>
      <c r="G66" s="9" t="inlineStr">
        <is>
          <t>ACT</t>
        </is>
      </c>
      <c r="H66" s="9" t="inlineStr">
        <is>
          <t>Mettre régulièrement à jour des données pour qu’elles restent fiables.</t>
        </is>
      </c>
      <c r="I66" s="9" t="inlineStr">
        <is>
          <t>Mettre à jour régulièrement un fichier de suivi afin que les informations restent exactes et actuelles.</t>
        </is>
      </c>
      <c r="J66" s="9" t="inlineStr">
        <is>
          <t>Mettre à jour régulièrement un fichier de suivi afin que les informations restent exactes et actuelles.</t>
        </is>
      </c>
      <c r="K66" s="9" t="inlineStr">
        <is>
          <t>Reformulation centrée sur l’intérêt pour une activité professionnelle observable ; formulation compatible avec une échelle « J’aimerais… », sans présumer compétence, expérience ni métier actuel.</t>
        </is>
      </c>
      <c r="L66" s="9" t="inlineStr">
        <is>
          <t>RETENU</t>
        </is>
      </c>
      <c r="M66" s="9" t="inlineStr">
        <is>
          <t>Couverture de facette + activité observable ; priorité ACT, complétée par SIT à faible risque.</t>
        </is>
      </c>
      <c r="N66" s="9" t="inlineStr">
        <is>
          <t>FAIBLE</t>
        </is>
      </c>
      <c r="O66" s="9" t="inlineStr">
        <is>
          <t>MOYEN</t>
        </is>
      </c>
      <c r="P66" s="9" t="inlineStr">
        <is>
          <t>FAIBLE</t>
        </is>
      </c>
    </row>
    <row r="67">
      <c r="A67" s="9" t="n">
        <v>66</v>
      </c>
      <c r="B67" s="9" t="inlineStr">
        <is>
          <t>PIP-SIT-C-C2-007</t>
        </is>
      </c>
      <c r="C67" s="9" t="inlineStr">
        <is>
          <t>0.6</t>
        </is>
      </c>
      <c r="D67" s="9" t="inlineStr">
        <is>
          <t>PIP-BANK-0.5</t>
        </is>
      </c>
      <c r="E67" s="9" t="inlineStr">
        <is>
          <t>C</t>
        </is>
      </c>
      <c r="F67" s="9" t="inlineStr">
        <is>
          <t>C2</t>
        </is>
      </c>
      <c r="G67" s="9" t="inlineStr">
        <is>
          <t>SIT</t>
        </is>
      </c>
      <c r="H67" s="9" t="inlineStr">
        <is>
          <t>Reprendre un ensemble d’informations incomplètes et les mettre à jour de manière méthodique.</t>
        </is>
      </c>
      <c r="I67" s="9" t="inlineStr">
        <is>
          <t>Reprendre un dossier contenant des informations manquantes, les compléter et vérifier qu’il est à jour.</t>
        </is>
      </c>
      <c r="J67" s="9" t="inlineStr">
        <is>
          <t>Compléter un dossier contenant des informations manquantes puis vérifier qu’il est à jour.</t>
        </is>
      </c>
      <c r="K67" s="9" t="inlineStr">
        <is>
          <t>Reformulation centrée sur l’intérêt pour une activité professionnelle observable ; formulation compatible avec une échelle « J’aimerais… », sans présumer compétence, expérience ni métier actuel.</t>
        </is>
      </c>
      <c r="L67" s="9" t="inlineStr">
        <is>
          <t>RETENU</t>
        </is>
      </c>
      <c r="M67" s="9" t="inlineStr">
        <is>
          <t>Couverture de facette + activité observable ; priorité ACT, complétée par SIT à faible risque.</t>
        </is>
      </c>
      <c r="N67" s="9" t="inlineStr">
        <is>
          <t>FAIBLE</t>
        </is>
      </c>
      <c r="O67" s="9" t="inlineStr">
        <is>
          <t>MOYEN</t>
        </is>
      </c>
      <c r="P67" s="9" t="inlineStr">
        <is>
          <t>FAIBLE</t>
        </is>
      </c>
    </row>
    <row r="68">
      <c r="A68" s="9" t="n">
        <v>67</v>
      </c>
      <c r="B68" s="9" t="inlineStr">
        <is>
          <t>PIP-ACT-C-C3-009</t>
        </is>
      </c>
      <c r="C68" s="9" t="inlineStr">
        <is>
          <t>0.6</t>
        </is>
      </c>
      <c r="D68" s="9" t="inlineStr">
        <is>
          <t>PIP-BANK-0.5</t>
        </is>
      </c>
      <c r="E68" s="9" t="inlineStr">
        <is>
          <t>C</t>
        </is>
      </c>
      <c r="F68" s="9" t="inlineStr">
        <is>
          <t>C3</t>
        </is>
      </c>
      <c r="G68" s="9" t="inlineStr">
        <is>
          <t>ACT</t>
        </is>
      </c>
      <c r="H68" s="9" t="inlineStr">
        <is>
          <t>Vérifier l’exactitude d’informations avant qu’elles soient utilisées.</t>
        </is>
      </c>
      <c r="I68" s="9" t="inlineStr">
        <is>
          <t>Contrôler des informations avant leur utilisation afin de vérifier qu’elles sont exactes et complètes.</t>
        </is>
      </c>
      <c r="J68" s="9" t="inlineStr">
        <is>
          <t>Contrôler des informations avant leur utilisation afin de vérifier qu’elles sont exactes et complètes.</t>
        </is>
      </c>
      <c r="K68" s="9" t="inlineStr">
        <is>
          <t>Reformulation centrée sur l’intérêt pour une activité professionnelle observable ; formulation compatible avec une échelle « J’aimerais… », sans présumer compétence, expérience ni métier actuel.</t>
        </is>
      </c>
      <c r="L68" s="9" t="inlineStr">
        <is>
          <t>RETENU</t>
        </is>
      </c>
      <c r="M68" s="9" t="inlineStr">
        <is>
          <t>Couverture de facette + activité observable ; priorité ACT, complétée par SIT à faible risque.</t>
        </is>
      </c>
      <c r="N68" s="9" t="inlineStr">
        <is>
          <t>FAIBLE</t>
        </is>
      </c>
      <c r="O68" s="9" t="inlineStr">
        <is>
          <t>MOYEN</t>
        </is>
      </c>
      <c r="P68" s="9" t="inlineStr">
        <is>
          <t>FAIBLE</t>
        </is>
      </c>
    </row>
    <row r="69">
      <c r="A69" s="9" t="n">
        <v>68</v>
      </c>
      <c r="B69" s="9" t="inlineStr">
        <is>
          <t>PIP-ACT-C-C3-010</t>
        </is>
      </c>
      <c r="C69" s="9" t="inlineStr">
        <is>
          <t>0.6</t>
        </is>
      </c>
      <c r="D69" s="9" t="inlineStr">
        <is>
          <t>PIP-BANK-0.5</t>
        </is>
      </c>
      <c r="E69" s="9" t="inlineStr">
        <is>
          <t>C</t>
        </is>
      </c>
      <c r="F69" s="9" t="inlineStr">
        <is>
          <t>C3</t>
        </is>
      </c>
      <c r="G69" s="9" t="inlineStr">
        <is>
          <t>ACT</t>
        </is>
      </c>
      <c r="H69" s="9" t="inlineStr">
        <is>
          <t>Comparer plusieurs données pour repérer une erreur ou une incohérence.</t>
        </is>
      </c>
      <c r="I69" s="9" t="inlineStr">
        <is>
          <t>Comparer des données entre plusieurs documents pour repérer une erreur, un écart ou une incohérence.</t>
        </is>
      </c>
      <c r="J69" s="9" t="inlineStr">
        <is>
          <t>Comparer des données entre plusieurs documents pour repérer une erreur, un écart ou une incohérence.</t>
        </is>
      </c>
      <c r="K69" s="9" t="inlineStr">
        <is>
          <t>Reformulation centrée sur l’intérêt pour une activité professionnelle observable ; formulation compatible avec une échelle « J’aimerais… », sans présumer compétence, expérience ni métier actuel.</t>
        </is>
      </c>
      <c r="L69" s="9" t="inlineStr">
        <is>
          <t>RETENU</t>
        </is>
      </c>
      <c r="M69" s="9" t="inlineStr">
        <is>
          <t>Couverture de facette + activité observable ; priorité ACT, complétée par SIT à faible risque.</t>
        </is>
      </c>
      <c r="N69" s="9" t="inlineStr">
        <is>
          <t>MOYEN</t>
        </is>
      </c>
      <c r="O69" s="9" t="inlineStr">
        <is>
          <t>MOYEN</t>
        </is>
      </c>
      <c r="P69" s="9" t="inlineStr">
        <is>
          <t>FAIBLE</t>
        </is>
      </c>
    </row>
    <row r="70">
      <c r="A70" s="9" t="n">
        <v>69</v>
      </c>
      <c r="B70" s="9" t="inlineStr">
        <is>
          <t>PIP-ACT-C-C4-013</t>
        </is>
      </c>
      <c r="C70" s="9" t="inlineStr">
        <is>
          <t>0.6</t>
        </is>
      </c>
      <c r="D70" s="9" t="inlineStr">
        <is>
          <t>PIP-BANK-0.5</t>
        </is>
      </c>
      <c r="E70" s="9" t="inlineStr">
        <is>
          <t>C</t>
        </is>
      </c>
      <c r="F70" s="9" t="inlineStr">
        <is>
          <t>C4</t>
        </is>
      </c>
      <c r="G70" s="9" t="inlineStr">
        <is>
          <t>ACT</t>
        </is>
      </c>
      <c r="H70" s="9" t="inlineStr">
        <is>
          <t>Suivre une procédure définie pour réaliser une opération de façon conforme.</t>
        </is>
      </c>
      <c r="I70" s="9" t="inlineStr">
        <is>
          <t>Réaliser une opération en suivant une procédure précise afin de respecter les règles prévues.</t>
        </is>
      </c>
      <c r="J70" s="9" t="inlineStr">
        <is>
          <t>Réaliser une opération en suivant une procédure précise afin de respecter les règles prévues.</t>
        </is>
      </c>
      <c r="K70" s="9" t="inlineStr">
        <is>
          <t>Reformulation centrée sur l’intérêt pour une activité professionnelle observable ; formulation compatible avec une échelle « J’aimerais… », sans présumer compétence, expérience ni métier actuel.</t>
        </is>
      </c>
      <c r="L70" s="9" t="inlineStr">
        <is>
          <t>RETENU</t>
        </is>
      </c>
      <c r="M70" s="9" t="inlineStr">
        <is>
          <t>Couverture de facette + activité observable ; priorité ACT, complétée par SIT à faible risque.</t>
        </is>
      </c>
      <c r="N70" s="9" t="inlineStr">
        <is>
          <t>FAIBLE</t>
        </is>
      </c>
      <c r="O70" s="9" t="inlineStr">
        <is>
          <t>MOYEN</t>
        </is>
      </c>
      <c r="P70" s="9" t="inlineStr">
        <is>
          <t>MOYEN</t>
        </is>
      </c>
    </row>
    <row r="71">
      <c r="A71" s="9" t="n">
        <v>70</v>
      </c>
      <c r="B71" s="9" t="inlineStr">
        <is>
          <t>PIP-ACT-C-C4-014</t>
        </is>
      </c>
      <c r="C71" s="9" t="inlineStr">
        <is>
          <t>0.6</t>
        </is>
      </c>
      <c r="D71" s="9" t="inlineStr">
        <is>
          <t>PIP-BANK-0.5</t>
        </is>
      </c>
      <c r="E71" s="9" t="inlineStr">
        <is>
          <t>C</t>
        </is>
      </c>
      <c r="F71" s="9" t="inlineStr">
        <is>
          <t>C4</t>
        </is>
      </c>
      <c r="G71" s="9" t="inlineStr">
        <is>
          <t>ACT</t>
        </is>
      </c>
      <c r="H71" s="9" t="inlineStr">
        <is>
          <t>Vérifier qu’une activité respecte des règles ou des critères précis.</t>
        </is>
      </c>
      <c r="I71" s="9" t="inlineStr">
        <is>
          <t>Contrôler qu’une opération, un dossier ou une activité respecte les critères et règles applicables.</t>
        </is>
      </c>
      <c r="J71" s="9" t="inlineStr">
        <is>
          <t>Contrôler qu’une opération, un dossier ou une activité respecte les critères et règles applicables.</t>
        </is>
      </c>
      <c r="K71" s="9" t="inlineStr">
        <is>
          <t>Reformulation centrée sur l’intérêt pour une activité professionnelle observable ; formulation compatible avec une échelle « J’aimerais… », sans présumer compétence, expérience ni métier actuel.</t>
        </is>
      </c>
      <c r="L71" s="9" t="inlineStr">
        <is>
          <t>RETENU</t>
        </is>
      </c>
      <c r="M71" s="9" t="inlineStr">
        <is>
          <t>Couverture de facette + activité observable ; priorité ACT, complétée par SIT à faible risque.</t>
        </is>
      </c>
      <c r="N71" s="9" t="inlineStr">
        <is>
          <t>FAIBLE</t>
        </is>
      </c>
      <c r="O71" s="9" t="inlineStr">
        <is>
          <t>MOYEN</t>
        </is>
      </c>
      <c r="P71" s="9" t="inlineStr">
        <is>
          <t>FAIBLE</t>
        </is>
      </c>
    </row>
    <row r="72">
      <c r="A72" s="9" t="n">
        <v>71</v>
      </c>
      <c r="B72" s="9" t="inlineStr">
        <is>
          <t>PIP-ACT-C-C5-017</t>
        </is>
      </c>
      <c r="C72" s="9" t="inlineStr">
        <is>
          <t>0.6</t>
        </is>
      </c>
      <c r="D72" s="9" t="inlineStr">
        <is>
          <t>PIP-BANK-0.5</t>
        </is>
      </c>
      <c r="E72" s="9" t="inlineStr">
        <is>
          <t>C</t>
        </is>
      </c>
      <c r="F72" s="9" t="inlineStr">
        <is>
          <t>C5</t>
        </is>
      </c>
      <c r="G72" s="9" t="inlineStr">
        <is>
          <t>ACT</t>
        </is>
      </c>
      <c r="H72" s="9" t="inlineStr">
        <is>
          <t>Suivre l’avancement d’un dossier jusqu’à sa clôture.</t>
        </is>
      </c>
      <c r="I72" s="9" t="inlineStr">
        <is>
          <t>Suivre un dossier depuis son ouverture jusqu’à sa clôture en vérifiant que chaque étape est réalisée.</t>
        </is>
      </c>
      <c r="J72" s="9" t="inlineStr">
        <is>
          <t>Suivre un dossier depuis son ouverture jusqu’à sa clôture en vérifiant que chaque étape est réalisée.</t>
        </is>
      </c>
      <c r="K72" s="9" t="inlineStr">
        <is>
          <t>Reformulation centrée sur l’intérêt pour une activité professionnelle observable ; formulation compatible avec une échelle « J’aimerais… », sans présumer compétence, expérience ni métier actuel.</t>
        </is>
      </c>
      <c r="L72" s="9" t="inlineStr">
        <is>
          <t>RETENU</t>
        </is>
      </c>
      <c r="M72" s="9" t="inlineStr">
        <is>
          <t>Couverture de facette + activité observable ; priorité ACT, complétée par SIT à faible risque.</t>
        </is>
      </c>
      <c r="N72" s="9" t="inlineStr">
        <is>
          <t>FAIBLE</t>
        </is>
      </c>
      <c r="O72" s="9" t="inlineStr">
        <is>
          <t>MOYEN</t>
        </is>
      </c>
      <c r="P72" s="9" t="inlineStr">
        <is>
          <t>MOYEN</t>
        </is>
      </c>
    </row>
    <row r="73">
      <c r="A73" s="9" t="n">
        <v>72</v>
      </c>
      <c r="B73" s="9" t="inlineStr">
        <is>
          <t>PIP-ACT-C-C5-018</t>
        </is>
      </c>
      <c r="C73" s="9" t="inlineStr">
        <is>
          <t>0.6</t>
        </is>
      </c>
      <c r="D73" s="9" t="inlineStr">
        <is>
          <t>PIP-BANK-0.5</t>
        </is>
      </c>
      <c r="E73" s="9" t="inlineStr">
        <is>
          <t>C</t>
        </is>
      </c>
      <c r="F73" s="9" t="inlineStr">
        <is>
          <t>C5</t>
        </is>
      </c>
      <c r="G73" s="9" t="inlineStr">
        <is>
          <t>ACT</t>
        </is>
      </c>
      <c r="H73" s="9" t="inlineStr">
        <is>
          <t>Planifier et suivre des échéances pour que plusieurs opérations soient réalisées au bon moment.</t>
        </is>
      </c>
      <c r="I73" s="9" t="inlineStr">
        <is>
          <t>Planifier plusieurs échéances et vérifier régulièrement que les opérations prévues sont réalisées au bon moment.</t>
        </is>
      </c>
      <c r="J73" s="9" t="inlineStr">
        <is>
          <t>Planifier plusieurs échéances et vérifier régulièrement que les opérations prévues sont réalisées au bon moment.</t>
        </is>
      </c>
      <c r="K73" s="9" t="inlineStr">
        <is>
          <t>Reformulation centrée sur l’intérêt pour une activité professionnelle observable ; formulation compatible avec une échelle « J’aimerais… », sans présumer compétence, expérience ni métier actuel.</t>
        </is>
      </c>
      <c r="L73" s="9" t="inlineStr">
        <is>
          <t>RETENU</t>
        </is>
      </c>
      <c r="M73" s="9" t="inlineStr">
        <is>
          <t>Couverture de facette + activité observable ; priorité ACT, complétée par SIT à faible risque.</t>
        </is>
      </c>
      <c r="N73" s="9" t="inlineStr">
        <is>
          <t>MOYEN</t>
        </is>
      </c>
      <c r="O73" s="9" t="inlineStr">
        <is>
          <t>MOYEN</t>
        </is>
      </c>
      <c r="P73" s="9" t="inlineStr">
        <is>
          <t>FAIBLE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Clarté360</dc:creator>
  <dc:title xmlns:dc="http://purl.org/dc/elements/1.1/">Clarté360 PIP RIASEC — Tableur maître V0.6 ACTIF — Jalon A1</dc:title>
  <dc:description xmlns:dc="http://purl.org/dc/elements/1.1/">Source métier unique du Jalon A1. Les onglets historiques sont conservés mais masqués.</dc:description>
  <dc:subject xmlns:dc="http://purl.org/dc/elements/1.1/">Banque active 72 items et protocole de réponse</dc:subject>
  <dcterms:created xmlns:dcterms="http://purl.org/dc/terms/" xmlns:xsi="http://www.w3.org/2001/XMLSchema-instance" xsi:type="dcterms:W3CDTF">2026-09-08T06:40:16Z</dcterms:created>
  <dcterms:modified xmlns:dcterms="http://purl.org/dc/terms/" xmlns:xsi="http://www.w3.org/2001/XMLSchema-instance" xsi:type="dcterms:W3CDTF">2026-09-18T19:22:31Z</dcterms:modified>
  <cp:lastModifiedBy>Dominique BRIET</cp:lastModifiedBy>
</cp:coreProperties>
</file>