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4513621f56c824f/000000GITHUB/clarte360-outils/clarte360-moteurs_pro/data/"/>
    </mc:Choice>
  </mc:AlternateContent>
  <xr:revisionPtr revIDLastSave="1" documentId="11_E9CBBE25DF5A94F3C0E299572691BFDE5E8719D3" xr6:coauthVersionLast="47" xr6:coauthVersionMax="47" xr10:uidLastSave="{F0C78B3A-CB50-4762-8BAE-91B991322561}"/>
  <bookViews>
    <workbookView xWindow="-108" yWindow="-108" windowWidth="23256" windowHeight="12456" activeTab="2" xr2:uid="{00000000-000D-0000-FFFF-FFFF00000000}"/>
  </bookViews>
  <sheets>
    <sheet name="README" sheetId="1" r:id="rId1"/>
    <sheet name="Dimensions" sheetId="2" r:id="rId2"/>
    <sheet name="Curseurs" sheetId="3" r:id="rId3"/>
    <sheet name="Calculs" sheetId="4" r:id="rId4"/>
    <sheet name="PARAMETR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4" l="1"/>
  <c r="G15" i="4"/>
  <c r="I15" i="4" s="1"/>
  <c r="H14" i="4"/>
  <c r="G14" i="4"/>
  <c r="I14" i="4" s="1"/>
  <c r="H13" i="4"/>
  <c r="I13" i="4" s="1"/>
  <c r="G13" i="4"/>
  <c r="H12" i="4"/>
  <c r="G12" i="4"/>
  <c r="I12" i="4" s="1"/>
  <c r="H11" i="4"/>
  <c r="G11" i="4"/>
  <c r="I11" i="4" s="1"/>
  <c r="H10" i="4"/>
  <c r="I10" i="4" s="1"/>
  <c r="G10" i="4"/>
  <c r="H9" i="4"/>
  <c r="G9" i="4"/>
  <c r="I9" i="4" s="1"/>
  <c r="H8" i="4"/>
  <c r="G8" i="4"/>
  <c r="I8" i="4" s="1"/>
  <c r="I7" i="4"/>
  <c r="H7" i="4"/>
  <c r="G7" i="4"/>
  <c r="H6" i="4"/>
  <c r="I6" i="4" s="1"/>
  <c r="G6" i="4"/>
  <c r="H3" i="4"/>
  <c r="G3" i="4"/>
  <c r="H2" i="4"/>
  <c r="G2" i="4"/>
</calcChain>
</file>

<file path=xl/sharedStrings.xml><?xml version="1.0" encoding="utf-8"?>
<sst xmlns="http://schemas.openxmlformats.org/spreadsheetml/2006/main" count="702" uniqueCount="384">
  <si>
    <t>Clarté360 – Moteurs professionnels</t>
  </si>
  <si>
    <t>Version</t>
  </si>
  <si>
    <t>0.1 – base de conception</t>
  </si>
  <si>
    <t>Finalité</t>
  </si>
  <si>
    <t>Explorer les sources d’énergie professionnelle déclarées du bénéficiaire.</t>
  </si>
  <si>
    <t>Principe</t>
  </si>
  <si>
    <t>Le bénéficiaire déplace un curseur entre deux propositions positives. Il ne voit aucune cotation.</t>
  </si>
  <si>
    <t>Échelle interne</t>
  </si>
  <si>
    <t>11 positions discrètes : 0 à 10. Position 5 = équilibre 50/50.</t>
  </si>
  <si>
    <t>Calcul</t>
  </si>
  <si>
    <t>Le moteur de gauche reçoit 100, 90, 80...0 points ; le moteur de droite reçoit le complément.</t>
  </si>
  <si>
    <t>Administration</t>
  </si>
  <si>
    <t>L’ordre des curseurs pourra être mélangé dans l’application. L’ordre officiel reste documenté ici.</t>
  </si>
  <si>
    <t>RGPD</t>
  </si>
  <si>
    <t>Aucune donnée personnelle n’est stockée dans ce fichier. Les réponses du bénéficiaire seront exportées en JSON uniquement à la fin de l’outil.</t>
  </si>
  <si>
    <t>Qualiopi</t>
  </si>
  <si>
    <t>Outil de réflexion et d’accompagnement, utilisé comme support d’entretien. Il ne produit pas de diagnostic automatique.</t>
  </si>
  <si>
    <t>Mise à jour</t>
  </si>
  <si>
    <t>Pour modifier un item, éditer la feuille Curseurs puis relancer l’injection JSON dans l’application.</t>
  </si>
  <si>
    <t>Code</t>
  </si>
  <si>
    <t>Moteur professionnel</t>
  </si>
  <si>
    <t>Définition bénéficiaire</t>
  </si>
  <si>
    <t>Ce que ce moteur ne mesure pas</t>
  </si>
  <si>
    <t>Lecture basse</t>
  </si>
  <si>
    <t>Lecture moyenne</t>
  </si>
  <si>
    <t>Lecture haute</t>
  </si>
  <si>
    <t>MP1</t>
  </si>
  <si>
    <t>Accomplir</t>
  </si>
  <si>
    <t>Se sentir stimulé par l’atteinte d’objectifs, les résultats visibles, l’achèvement de ce qui est engagé.</t>
  </si>
  <si>
    <t>Ce moteur n’évalue pas la performance réelle ni l’ambition sociale.</t>
  </si>
  <si>
    <t>Accomplir apparaît comme une source d’énergie secondaire ou contextuelle.</t>
  </si>
  <si>
    <t>Accomplir peut contribuer à l’engagement selon les situations.</t>
  </si>
  <si>
    <t>Accomplir apparaît comme une source d’énergie professionnelle importante.</t>
  </si>
  <si>
    <t>MP2</t>
  </si>
  <si>
    <t>Comprendre</t>
  </si>
  <si>
    <t>Se sentir stimulé par l’analyse, l’apprentissage, la compréhension des situations, des mécanismes ou des problèmes.</t>
  </si>
  <si>
    <t>Ce moteur n’évalue pas l’intelligence ni le niveau d’études.</t>
  </si>
  <si>
    <t>Comprendre apparaît comme une source d’énergie secondaire ou contextuelle.</t>
  </si>
  <si>
    <t>Comprendre peut contribuer à l’engagement selon les situations.</t>
  </si>
  <si>
    <t>Comprendre apparaît comme une source d’énergie professionnelle importante.</t>
  </si>
  <si>
    <t>MP3</t>
  </si>
  <si>
    <t>Construire</t>
  </si>
  <si>
    <t>Se sentir stimulé par la structuration, l’organisation, la mise en place de méthodes, de dispositifs ou de solutions durables.</t>
  </si>
  <si>
    <t>Ce moteur n’évalue pas la rigidité ni le besoin de contrôle.</t>
  </si>
  <si>
    <t>Construire apparaît comme une source d’énergie secondaire ou contextuelle.</t>
  </si>
  <si>
    <t>Construire peut contribuer à l’engagement selon les situations.</t>
  </si>
  <si>
    <t>Construire apparaît comme une source d’énergie professionnelle importante.</t>
  </si>
  <si>
    <t>MP4</t>
  </si>
  <si>
    <t>Transmettre</t>
  </si>
  <si>
    <t>Se sentir stimulé par le fait d’expliquer, former, partager ses connaissances et faire progresser les autres.</t>
  </si>
  <si>
    <t>Ce moteur n’est pas confondu avec l’aide ou le soutien affectif.</t>
  </si>
  <si>
    <t>Transmettre apparaît comme une source d’énergie secondaire ou contextuelle.</t>
  </si>
  <si>
    <t>Transmettre peut contribuer à l’engagement selon les situations.</t>
  </si>
  <si>
    <t>Transmettre apparaît comme une source d’énergie professionnelle importante.</t>
  </si>
  <si>
    <t>MP5</t>
  </si>
  <si>
    <t>Être utile</t>
  </si>
  <si>
    <t>Se sentir stimulé par l’aide concrète apportée à une personne, une équipe, un client ou une organisation.</t>
  </si>
  <si>
    <t>Ce moteur n’évalue pas la gentillesse ni l’altruisme personnel.</t>
  </si>
  <si>
    <t>Être utile apparaît comme une source d’énergie secondaire ou contextuelle.</t>
  </si>
  <si>
    <t>Être utile peut contribuer à l’engagement selon les situations.</t>
  </si>
  <si>
    <t>Être utile apparaît comme une source d’énergie professionnelle importante.</t>
  </si>
  <si>
    <t>MP6</t>
  </si>
  <si>
    <t>Influencer</t>
  </si>
  <si>
    <t>Se sentir stimulé par le fait de convaincre, entraîner, porter une idée, faire avancer un groupe ou peser sur les décisions.</t>
  </si>
  <si>
    <t>Ce moteur n’évalue pas l’autoritarisme ni le pouvoir personnel.</t>
  </si>
  <si>
    <t>Influencer apparaît comme une source d’énergie secondaire ou contextuelle.</t>
  </si>
  <si>
    <t>Influencer peut contribuer à l’engagement selon les situations.</t>
  </si>
  <si>
    <t>Influencer apparaît comme une source d’énergie professionnelle importante.</t>
  </si>
  <si>
    <t>MP7</t>
  </si>
  <si>
    <t>Innover</t>
  </si>
  <si>
    <t>Se sentir stimulé par l’expérimentation, la nouveauté, les idées nouvelles, les ruptures ou les façons différentes de faire.</t>
  </si>
  <si>
    <t>Ce moteur n’évalue pas la créativité artistique.</t>
  </si>
  <si>
    <t>Innover apparaît comme une source d’énergie secondaire ou contextuelle.</t>
  </si>
  <si>
    <t>Innover peut contribuer à l’engagement selon les situations.</t>
  </si>
  <si>
    <t>Innover apparaît comme une source d’énergie professionnelle importante.</t>
  </si>
  <si>
    <t>MP8</t>
  </si>
  <si>
    <t>Coopérer</t>
  </si>
  <si>
    <t>Se sentir stimulé par le travail collectif, la co-construction, l’appartenance à une équipe et la dynamique partagée.</t>
  </si>
  <si>
    <t>Ce moteur n’évalue pas la sociabilité générale.</t>
  </si>
  <si>
    <t>Coopérer apparaît comme une source d’énergie secondaire ou contextuelle.</t>
  </si>
  <si>
    <t>Coopérer peut contribuer à l’engagement selon les situations.</t>
  </si>
  <si>
    <t>Coopérer apparaît comme une source d’énergie professionnelle importante.</t>
  </si>
  <si>
    <t>MP9</t>
  </si>
  <si>
    <t>Progresser</t>
  </si>
  <si>
    <t>Se sentir stimulé par le développement personnel et professionnel, les défis, l’évolution et le dépassement de soi.</t>
  </si>
  <si>
    <t>Ce moteur n’évalue pas la compétition avec les autres.</t>
  </si>
  <si>
    <t>Progresser apparaît comme une source d’énergie secondaire ou contextuelle.</t>
  </si>
  <si>
    <t>Progresser peut contribuer à l’engagement selon les situations.</t>
  </si>
  <si>
    <t>Progresser apparaît comme une source d’énergie professionnelle importante.</t>
  </si>
  <si>
    <t>MP10</t>
  </si>
  <si>
    <t>Contribuer</t>
  </si>
  <si>
    <t>Se sentir stimulé par le fait de participer à un projet porteur de sens, utile à plus large échelle ou aligné avec une finalité importante.</t>
  </si>
  <si>
    <t>Ce moteur n’est pas une valeur morale ; il explore une source d’engagement.</t>
  </si>
  <si>
    <t>Contribuer apparaît comme une source d’énergie secondaire ou contextuelle.</t>
  </si>
  <si>
    <t>Contribuer peut contribuer à l’engagement selon les situations.</t>
  </si>
  <si>
    <t>Contribuer apparaît comme une source d’énergie professionnelle importante.</t>
  </si>
  <si>
    <t>ID</t>
  </si>
  <si>
    <t>Situation / consigne</t>
  </si>
  <si>
    <t>Proposition gauche</t>
  </si>
  <si>
    <t>Proposition droite</t>
  </si>
  <si>
    <t>Moteur gauche</t>
  </si>
  <si>
    <t>Moteur droite</t>
  </si>
  <si>
    <t>Position défaut</t>
  </si>
  <si>
    <t>Statut</t>
  </si>
  <si>
    <t>Commentaire concepteur</t>
  </si>
  <si>
    <t>C001</t>
  </si>
  <si>
    <t>Lorsque vous vous investissez dans un projet, qu’est-ce qui vous stimule le plus ?</t>
  </si>
  <si>
    <t>Comprendre en profondeur ce qui se joue</t>
  </si>
  <si>
    <t>Obtenir un résultat concret visible</t>
  </si>
  <si>
    <t>active</t>
  </si>
  <si>
    <t>0.1</t>
  </si>
  <si>
    <t>Deux propositions positives ; aucune bonne réponse.</t>
  </si>
  <si>
    <t>C002</t>
  </si>
  <si>
    <t>À la fin d’une mission réussie, ce qui vous donne le plus d’énergie est plutôt...</t>
  </si>
  <si>
    <t>Avoir atteint l’objectif fixé</t>
  </si>
  <si>
    <t>Avoir fait progresser une personne</t>
  </si>
  <si>
    <t>C003</t>
  </si>
  <si>
    <t>Dans une activité professionnelle, vous vous sentez davantage porté par...</t>
  </si>
  <si>
    <t>Structurer quelque chose qui tient dans le temps</t>
  </si>
  <si>
    <t>Imaginer une approche nouvelle</t>
  </si>
  <si>
    <t>C004</t>
  </si>
  <si>
    <t>Quand vous rejoignez un projet, vous êtes plus stimulé par...</t>
  </si>
  <si>
    <t>Faire avancer le collectif</t>
  </si>
  <si>
    <t>Porter une idée et convaincre</t>
  </si>
  <si>
    <t>C005</t>
  </si>
  <si>
    <t>Ce qui vous donne le plus envie de vous investir est plutôt...</t>
  </si>
  <si>
    <t>Aider concrètement quelqu’un</t>
  </si>
  <si>
    <t>Participer à un projet qui a du sens</t>
  </si>
  <si>
    <t>C006</t>
  </si>
  <si>
    <t>Dans une période de travail intense, ce qui vous motive le plus est...</t>
  </si>
  <si>
    <t>Relever un défi et progresser</t>
  </si>
  <si>
    <t>Terminer ce qui a été engagé</t>
  </si>
  <si>
    <t>C007</t>
  </si>
  <si>
    <t>Lorsque vous disposez d’une journée de travail libre, vous êtes plus attiré par...</t>
  </si>
  <si>
    <t>Explorer un sujet pour mieux le comprendre</t>
  </si>
  <si>
    <t>Construire une méthode ou un support utile</t>
  </si>
  <si>
    <t>C008</t>
  </si>
  <si>
    <t>Dans une équipe, vous vous sentez plus énergisé par...</t>
  </si>
  <si>
    <t>Co-construire avec les autres</t>
  </si>
  <si>
    <t>Aider une personne à résoudre une difficulté</t>
  </si>
  <si>
    <t>C009</t>
  </si>
  <si>
    <t>Quand une situation évolue, vous êtes davantage stimulé par...</t>
  </si>
  <si>
    <t>Expérimenter une nouvelle façon de faire</t>
  </si>
  <si>
    <t>Apprendre quelque chose de nouveau sur vous-même</t>
  </si>
  <si>
    <t>C010</t>
  </si>
  <si>
    <t>Quand vous présentez une idée, ce qui vous motive le plus est...</t>
  </si>
  <si>
    <t>La faire adopter par les autres</t>
  </si>
  <si>
    <t>La rendre claire et transmissible</t>
  </si>
  <si>
    <t>C011</t>
  </si>
  <si>
    <t>Dans un projet à long terme, vous êtes plus porté par...</t>
  </si>
  <si>
    <t>Contribuer à une finalité importante</t>
  </si>
  <si>
    <t>Construire progressivement une solution solide</t>
  </si>
  <si>
    <t>C012</t>
  </si>
  <si>
    <t>Quand un travail devient difficile, ce qui vous aide le plus à continuer est...</t>
  </si>
  <si>
    <t>Le désir de réussir malgré l’obstacle</t>
  </si>
  <si>
    <t>Le sentiment d’apprendre et de progresser</t>
  </si>
  <si>
    <t>C013</t>
  </si>
  <si>
    <t>Dans une nouvelle mission, vous êtes plus stimulé par...</t>
  </si>
  <si>
    <t>Comprendre le fonctionnement du système</t>
  </si>
  <si>
    <t>Trouver une solution utile rapidement</t>
  </si>
  <si>
    <t>C014</t>
  </si>
  <si>
    <t>Dans vos échanges professionnels, ce qui vous donne le plus d’énergie est...</t>
  </si>
  <si>
    <t>Transmettre clairement ce que vous savez</t>
  </si>
  <si>
    <t>Construire une relation de coopération</t>
  </si>
  <si>
    <t>C015</t>
  </si>
  <si>
    <t>Lorsque vous améliorez une situation, vous préférez...</t>
  </si>
  <si>
    <t>Mettre en place un cadre durable</t>
  </si>
  <si>
    <t>Bousculer l’existant avec une idée nouvelle</t>
  </si>
  <si>
    <t>C016</t>
  </si>
  <si>
    <t>Lorsque vous portez un projet, vous êtes plus motivé par...</t>
  </si>
  <si>
    <t>Convaincre les personnes clés</t>
  </si>
  <si>
    <t>Servir une finalité qui dépasse votre rôle</t>
  </si>
  <si>
    <t>C017</t>
  </si>
  <si>
    <t>Quand une personne rencontre une difficulté, vous êtes plus spontanément stimulé par...</t>
  </si>
  <si>
    <t>L’aider à trouver une solution concrète</t>
  </si>
  <si>
    <t>Lui permettre de progresser durablement</t>
  </si>
  <si>
    <t>C018</t>
  </si>
  <si>
    <t>Dans votre évolution professionnelle, ce qui vous attire le plus est...</t>
  </si>
  <si>
    <t>Développer vos capacités</t>
  </si>
  <si>
    <t>Obtenir des résultats plus ambitieux</t>
  </si>
  <si>
    <t>C019</t>
  </si>
  <si>
    <t>Face à un problème complexe, ce qui vous donne envie d’agir est...</t>
  </si>
  <si>
    <t>Comprendre précisément les causes</t>
  </si>
  <si>
    <t>Imaginer une solution différente</t>
  </si>
  <si>
    <t>C020</t>
  </si>
  <si>
    <t>Dans un collectif, vous êtes plus stimulé par...</t>
  </si>
  <si>
    <t>Créer une dynamique commune</t>
  </si>
  <si>
    <t>Faire avancer une décision</t>
  </si>
  <si>
    <t>C021</t>
  </si>
  <si>
    <t>Lorsque vous travaillez sur un sujet important, vous préférez...</t>
  </si>
  <si>
    <t>Construire une solution robuste</t>
  </si>
  <si>
    <t>C022</t>
  </si>
  <si>
    <t>Quand vous vous sentez utile, c’est plutôt parce que...</t>
  </si>
  <si>
    <t>Vous avez apporté une aide concrète</t>
  </si>
  <si>
    <t>Vous avez contribué à quelque chose de significatif</t>
  </si>
  <si>
    <t>C023</t>
  </si>
  <si>
    <t>Ce qui vous pousse à rester engagé dans la durée est plutôt...</t>
  </si>
  <si>
    <t>La possibilité de progresser</t>
  </si>
  <si>
    <t>La possibilité de mieux comprendre</t>
  </si>
  <si>
    <t>C024</t>
  </si>
  <si>
    <t>Lorsque vous avez une idée nouvelle, ce qui vous stimule le plus est...</t>
  </si>
  <si>
    <t>L’expérimenter rapidement</t>
  </si>
  <si>
    <t>Convaincre d’autres personnes de la suivre</t>
  </si>
  <si>
    <t>C025</t>
  </si>
  <si>
    <t>Dans une mission exigeante, vous trouvez plus d’énergie dans...</t>
  </si>
  <si>
    <t>Le fait d’aller au bout</t>
  </si>
  <si>
    <t>Le fait de construire un cadre fiable</t>
  </si>
  <si>
    <t>C026</t>
  </si>
  <si>
    <t>Quand vous accompagnez quelqu’un, vous êtes plus stimulé par...</t>
  </si>
  <si>
    <t>Lui rendre service dans l’immédiat</t>
  </si>
  <si>
    <t>Lui transmettre ce qui lui permettra d’avancer seul</t>
  </si>
  <si>
    <t>C027</t>
  </si>
  <si>
    <t>Dans un projet collectif, vous préférez être porté par...</t>
  </si>
  <si>
    <t>La coopération entre les personnes</t>
  </si>
  <si>
    <t>Le sens global du projet</t>
  </si>
  <si>
    <t>C028</t>
  </si>
  <si>
    <t>Lorsque vous améliorez votre manière de travailler, vous êtes plus motivé par...</t>
  </si>
  <si>
    <t>L’envie de progresser</t>
  </si>
  <si>
    <t>L’envie d’innover</t>
  </si>
  <si>
    <t>C029</t>
  </si>
  <si>
    <t>Quand vous prenez la parole en réunion, vous êtes plus stimulé par...</t>
  </si>
  <si>
    <t>Clarifier un sujet pour les autres</t>
  </si>
  <si>
    <t>Influencer l’orientation des décisions</t>
  </si>
  <si>
    <t>C030</t>
  </si>
  <si>
    <t>Lorsque vous explorez une idée, ce qui vous motive le plus est...</t>
  </si>
  <si>
    <t>Comprendre ce qu’elle implique</t>
  </si>
  <si>
    <t>Voir ce qu’elle peut produire concrètement</t>
  </si>
  <si>
    <t>C031</t>
  </si>
  <si>
    <t>Dans une organisation, vous êtes plus stimulé par...</t>
  </si>
  <si>
    <t>Mettre de l’ordre dans ce qui est dispersé</t>
  </si>
  <si>
    <t>Créer une dynamique de coopération</t>
  </si>
  <si>
    <t>C032</t>
  </si>
  <si>
    <t>Quand une difficulté apparaît, vous trouvez plus d’énergie dans...</t>
  </si>
  <si>
    <t>Aider à la résoudre concrètement</t>
  </si>
  <si>
    <t>Transformer la difficulté en apprentissage</t>
  </si>
  <si>
    <t>C033</t>
  </si>
  <si>
    <t>Dans un environnement professionnel, vous êtes plus porté par...</t>
  </si>
  <si>
    <t>Introduire des idées nouvelles</t>
  </si>
  <si>
    <t>Participer à une mission porteuse de sens</t>
  </si>
  <si>
    <t>C034</t>
  </si>
  <si>
    <t>Quand un objectif doit être atteint, vous êtes plus motivé par...</t>
  </si>
  <si>
    <t>Le résultat à obtenir</t>
  </si>
  <si>
    <t>La capacité à entraîner les autres vers ce résultat</t>
  </si>
  <si>
    <t>C035</t>
  </si>
  <si>
    <t>Lorsque vous avez acquis une expertise, ce qui vous stimule le plus est...</t>
  </si>
  <si>
    <t>La partager avec d’autres</t>
  </si>
  <si>
    <t>La structurer pour en faire une méthode</t>
  </si>
  <si>
    <t>C036</t>
  </si>
  <si>
    <t>Dans un projet utile, vous êtes plus stimulé par...</t>
  </si>
  <si>
    <t>L’aide directe apportée aux personnes</t>
  </si>
  <si>
    <t>L’impact plus large de la contribution</t>
  </si>
  <si>
    <t>C037</t>
  </si>
  <si>
    <t>Dans votre travail, vous aimez davantage...</t>
  </si>
  <si>
    <t>Apprendre pour mieux comprendre</t>
  </si>
  <si>
    <t>Apprendre pour évoluer</t>
  </si>
  <si>
    <t>C038</t>
  </si>
  <si>
    <t>Dans un collectif, vous êtes plus énergisé par...</t>
  </si>
  <si>
    <t>Construire ensemble</t>
  </si>
  <si>
    <t>Convaincre autour d’une direction</t>
  </si>
  <si>
    <t>C039</t>
  </si>
  <si>
    <t>Face à un cadre établi, vous êtes plus stimulé par...</t>
  </si>
  <si>
    <t>L’améliorer progressivement</t>
  </si>
  <si>
    <t>Imaginer une alternative différente</t>
  </si>
  <si>
    <t>C040</t>
  </si>
  <si>
    <t>Lorsque vous vous dépassez, ce qui vous nourrit le plus est...</t>
  </si>
  <si>
    <t>Le défi relevé</t>
  </si>
  <si>
    <t>Le sens de ce à quoi vous contribuez</t>
  </si>
  <si>
    <t>C041</t>
  </si>
  <si>
    <t>Quand vous devez choisir une priorité, vous êtes plus attiré par...</t>
  </si>
  <si>
    <t>Ce qui permet un résultat rapide</t>
  </si>
  <si>
    <t>Ce qui rend service à quelqu’un</t>
  </si>
  <si>
    <t>C042</t>
  </si>
  <si>
    <t>Lorsque vous communiquez une idée, vous préférez...</t>
  </si>
  <si>
    <t>La rendre compréhensible</t>
  </si>
  <si>
    <t>La rendre convaincante</t>
  </si>
  <si>
    <t>C043</t>
  </si>
  <si>
    <t>Dans une période de changement, vous trouvez plus d’énergie dans...</t>
  </si>
  <si>
    <t>Explorer les nouvelles possibilités</t>
  </si>
  <si>
    <t>Comprendre ce qui est en train de changer</t>
  </si>
  <si>
    <t>C044</t>
  </si>
  <si>
    <t>Quand vous participez à un projet, vous êtes plus motivé par...</t>
  </si>
  <si>
    <t>La qualité de la coopération</t>
  </si>
  <si>
    <t>La solidité de ce qui est construit</t>
  </si>
  <si>
    <t>C045</t>
  </si>
  <si>
    <t>Lorsque vous donnez du temps à quelqu’un, ce qui vous stimule le plus est...</t>
  </si>
  <si>
    <t>L’aider concrètement maintenant</t>
  </si>
  <si>
    <t>Lui transmettre quelque chose qui lui servira plus tard</t>
  </si>
  <si>
    <t>C046</t>
  </si>
  <si>
    <t>Dans une mission à fort enjeu, vous êtes plus porté par...</t>
  </si>
  <si>
    <t>La responsabilité de réussir</t>
  </si>
  <si>
    <t>La possibilité de faire évoluer vos compétences</t>
  </si>
  <si>
    <t>C047</t>
  </si>
  <si>
    <t>Quand vous défendez une idée, vous êtes plus stimulé par...</t>
  </si>
  <si>
    <t>L’influence qu’elle peut avoir</t>
  </si>
  <si>
    <t>Le sens qu’elle porte</t>
  </si>
  <si>
    <t>C048</t>
  </si>
  <si>
    <t>Lorsque vous organisez votre travail, vous êtes plus motivé par...</t>
  </si>
  <si>
    <t>Créer une structure claire</t>
  </si>
  <si>
    <t>Tester une manière nouvelle de faire</t>
  </si>
  <si>
    <t>C049</t>
  </si>
  <si>
    <t>Quand vous êtes face à une question difficile, vous préférez...</t>
  </si>
  <si>
    <t>L’analyser en profondeur</t>
  </si>
  <si>
    <t>Chercher l’action qui produira un effet utile</t>
  </si>
  <si>
    <t>C050</t>
  </si>
  <si>
    <t>Dans un projet d’équipe, vous êtes plus stimulé par...</t>
  </si>
  <si>
    <t>Le fait de coopérer au quotidien</t>
  </si>
  <si>
    <t>Le fait de faire avancer le projet vers un résultat</t>
  </si>
  <si>
    <t>C051</t>
  </si>
  <si>
    <t>Lorsque vous développez une solution, ce qui vous anime le plus est...</t>
  </si>
  <si>
    <t>Sa nouveauté</t>
  </si>
  <si>
    <t>Sa capacité à durer</t>
  </si>
  <si>
    <t>C052</t>
  </si>
  <si>
    <t>Lorsque vous transmettez une idée, vous êtes plus motivé par...</t>
  </si>
  <si>
    <t>Le fait qu’elle aide une personne</t>
  </si>
  <si>
    <t>Le fait qu’elle influence une décision</t>
  </si>
  <si>
    <t>C053</t>
  </si>
  <si>
    <t>Dans votre parcours, vous êtes plus porté par...</t>
  </si>
  <si>
    <t>Votre progression personnelle</t>
  </si>
  <si>
    <t>Votre contribution à quelque chose d’important</t>
  </si>
  <si>
    <t>C054</t>
  </si>
  <si>
    <t>Lorsque vous travaillez sur un sujet, vous êtes plus stimulé par...</t>
  </si>
  <si>
    <t>Comprendre avant d’agir</t>
  </si>
  <si>
    <t>Construire en avançant</t>
  </si>
  <si>
    <t>C055</t>
  </si>
  <si>
    <t>Lorsqu’une activité vous passionne, c’est souvent parce qu’elle vous permet de...</t>
  </si>
  <si>
    <t>Créer quelque chose de nouveau</t>
  </si>
  <si>
    <t>Faire progresser quelqu’un</t>
  </si>
  <si>
    <t>C056</t>
  </si>
  <si>
    <t>Dans une situation collective, vous êtes plus stimulé par...</t>
  </si>
  <si>
    <t>La coopération naturelle du groupe</t>
  </si>
  <si>
    <t>La possibilité d’orienter l’action</t>
  </si>
  <si>
    <t>C057</t>
  </si>
  <si>
    <t>Quand vous pensez à votre utilité professionnelle, vous la voyez plutôt dans...</t>
  </si>
  <si>
    <t>L’aide directe apportée</t>
  </si>
  <si>
    <t>La contribution à un projet porteur</t>
  </si>
  <si>
    <t>C058</t>
  </si>
  <si>
    <t>Lorsque vous atteignez un objectif, ce qui compte le plus est...</t>
  </si>
  <si>
    <t>Le résultat obtenu</t>
  </si>
  <si>
    <t>Ce que vous avez appris en chemin</t>
  </si>
  <si>
    <t>C059</t>
  </si>
  <si>
    <t>Dans un projet qui dure, ce qui vous donne envie de rester est...</t>
  </si>
  <si>
    <t>La progression continue</t>
  </si>
  <si>
    <t>La construction d’une solution solide</t>
  </si>
  <si>
    <t>C060</t>
  </si>
  <si>
    <t>Lorsque vous cherchez à faire évoluer une situation, vous êtes plus stimulé par...</t>
  </si>
  <si>
    <t>Convaincre les personnes concernées</t>
  </si>
  <si>
    <t>Imaginer une rupture ou une nouveauté</t>
  </si>
  <si>
    <t>Position curseur</t>
  </si>
  <si>
    <t>Points moteur gauche</t>
  </si>
  <si>
    <t>Points moteur droite</t>
  </si>
  <si>
    <t>Lecture interne</t>
  </si>
  <si>
    <t>Exemple de score</t>
  </si>
  <si>
    <t>Formule</t>
  </si>
  <si>
    <t>Résultat</t>
  </si>
  <si>
    <t>Orientation plus forte vers la proposition gauche</t>
  </si>
  <si>
    <t>Moteur gauche si position en A2</t>
  </si>
  <si>
    <t>Moteur droite si position en A2</t>
  </si>
  <si>
    <t>Contrôle d’équilibre</t>
  </si>
  <si>
    <t>Apparitions gauche</t>
  </si>
  <si>
    <t>Apparitions droite</t>
  </si>
  <si>
    <t>Total apparitions</t>
  </si>
  <si>
    <t>Équilibre entre les deux propositions</t>
  </si>
  <si>
    <t>Orientation plus forte vers la proposition droite</t>
  </si>
  <si>
    <t>Paramètre</t>
  </si>
  <si>
    <t>Valeur</t>
  </si>
  <si>
    <t>outil_nom</t>
  </si>
  <si>
    <t>outil_code</t>
  </si>
  <si>
    <t>clarte360_moteurs_professionnels</t>
  </si>
  <si>
    <t>version_questionnaire</t>
  </si>
  <si>
    <t>date_creation</t>
  </si>
  <si>
    <t>2026-06-29</t>
  </si>
  <si>
    <t>type_reponse</t>
  </si>
  <si>
    <t>Curseur discret à 11 positions</t>
  </si>
  <si>
    <t>positions_internes</t>
  </si>
  <si>
    <t>0 à 10</t>
  </si>
  <si>
    <t>affichage_beneficiaire</t>
  </si>
  <si>
    <t>Aucune cotation visible ; seul le curseur est affiché</t>
  </si>
  <si>
    <t>couleur_officielle</t>
  </si>
  <si>
    <t>#008080</t>
  </si>
  <si>
    <t>nombre_items</t>
  </si>
  <si>
    <t>nombre_moteurs</t>
  </si>
  <si>
    <t>notice</t>
  </si>
  <si>
    <t>Outil déclaratif d’exploration. Ne constitue pas un test psychométrique ni un diagnostic.</t>
  </si>
  <si>
    <t>Transmettre la solution pour qu’elle soit utilisée par d’autres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</si>
</sst>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F2937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DimensionsMP" displayName="TableDimensionsMP" ref="A1:G11">
  <tableColumns count="7">
    <tableColumn id="1" xr3:uid="{00000000-0010-0000-0000-000001000000}" name="Code"/>
    <tableColumn id="2" xr3:uid="{00000000-0010-0000-0000-000002000000}" name="Moteur professionnel"/>
    <tableColumn id="3" xr3:uid="{00000000-0010-0000-0000-000003000000}" name="Définition bénéficiaire"/>
    <tableColumn id="4" xr3:uid="{00000000-0010-0000-0000-000004000000}" name="Ce que ce moteur ne mesure pas"/>
    <tableColumn id="5" xr3:uid="{00000000-0010-0000-0000-000005000000}" name="Lecture basse"/>
    <tableColumn id="6" xr3:uid="{00000000-0010-0000-0000-000006000000}" name="Lecture moyenne"/>
    <tableColumn id="7" xr3:uid="{00000000-0010-0000-0000-000007000000}" name="Lecture hau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CurseursMP" displayName="TableCurseursMP" ref="A1:J61">
  <tableColumns count="10">
    <tableColumn id="1" xr3:uid="{00000000-0010-0000-0100-000001000000}" name="ID"/>
    <tableColumn id="2" xr3:uid="{00000000-0010-0000-0100-000002000000}" name="Situation / consigne"/>
    <tableColumn id="3" xr3:uid="{00000000-0010-0000-0100-000003000000}" name="Proposition gauche"/>
    <tableColumn id="4" xr3:uid="{00000000-0010-0000-0100-000004000000}" name="Proposition droite"/>
    <tableColumn id="5" xr3:uid="{00000000-0010-0000-0100-000005000000}" name="Moteur gauche"/>
    <tableColumn id="6" xr3:uid="{00000000-0010-0000-0100-000006000000}" name="Moteur droite"/>
    <tableColumn id="7" xr3:uid="{00000000-0010-0000-0100-000007000000}" name="Position défaut"/>
    <tableColumn id="8" xr3:uid="{00000000-0010-0000-0100-000008000000}" name="Statut"/>
    <tableColumn id="9" xr3:uid="{00000000-0010-0000-0100-000009000000}" name="Version"/>
    <tableColumn id="10" xr3:uid="{00000000-0010-0000-0100-00000A000000}" name="Commentaire concepteu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CalculCurseur" displayName="TableCalculCurseur" ref="A1:D12">
  <tableColumns count="4">
    <tableColumn id="1" xr3:uid="{00000000-0010-0000-0200-000001000000}" name="Position curseur"/>
    <tableColumn id="2" xr3:uid="{00000000-0010-0000-0200-000002000000}" name="Points moteur gauche"/>
    <tableColumn id="3" xr3:uid="{00000000-0010-0000-0200-000003000000}" name="Points moteur droite"/>
    <tableColumn id="4" xr3:uid="{00000000-0010-0000-0200-000004000000}" name="Lecture intern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ParametresMP" displayName="TableParametresMP" ref="A1:B12">
  <tableColumns count="2">
    <tableColumn id="1" xr3:uid="{00000000-0010-0000-0300-000001000000}" name="Paramètre"/>
    <tableColumn id="2" xr3:uid="{00000000-0010-0000-0300-000002000000}" name="Vale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8.796875" defaultRowHeight="13.8"/>
  <cols>
    <col min="1" max="1" width="30" customWidth="1"/>
    <col min="2" max="2" width="90" customWidth="1"/>
  </cols>
  <sheetData>
    <row r="1" spans="1:2" ht="20.85" customHeight="1">
      <c r="A1" s="2" t="s">
        <v>0</v>
      </c>
      <c r="B1" s="2"/>
    </row>
    <row r="2" spans="1:2" ht="33.6" customHeight="1">
      <c r="A2" s="3" t="s">
        <v>1</v>
      </c>
      <c r="B2" s="4" t="s">
        <v>2</v>
      </c>
    </row>
    <row r="3" spans="1:2" ht="33.6" customHeight="1">
      <c r="A3" s="3" t="s">
        <v>3</v>
      </c>
      <c r="B3" s="4" t="s">
        <v>4</v>
      </c>
    </row>
    <row r="4" spans="1:2" ht="33.6" customHeight="1">
      <c r="A4" s="3" t="s">
        <v>5</v>
      </c>
      <c r="B4" s="4" t="s">
        <v>6</v>
      </c>
    </row>
    <row r="5" spans="1:2" ht="33.6" customHeight="1">
      <c r="A5" s="3" t="s">
        <v>7</v>
      </c>
      <c r="B5" s="4" t="s">
        <v>8</v>
      </c>
    </row>
    <row r="6" spans="1:2" ht="33.6" customHeight="1">
      <c r="A6" s="3" t="s">
        <v>9</v>
      </c>
      <c r="B6" s="4" t="s">
        <v>10</v>
      </c>
    </row>
    <row r="7" spans="1:2" ht="33.6" customHeight="1">
      <c r="A7" s="3" t="s">
        <v>11</v>
      </c>
      <c r="B7" s="4" t="s">
        <v>12</v>
      </c>
    </row>
    <row r="8" spans="1:2" ht="33.6" customHeight="1">
      <c r="A8" s="3" t="s">
        <v>13</v>
      </c>
      <c r="B8" s="4" t="s">
        <v>14</v>
      </c>
    </row>
    <row r="9" spans="1:2" ht="33.6" customHeight="1">
      <c r="A9" s="3" t="s">
        <v>15</v>
      </c>
      <c r="B9" s="4" t="s">
        <v>16</v>
      </c>
    </row>
    <row r="10" spans="1:2" ht="33.6" customHeight="1">
      <c r="A10" s="3" t="s">
        <v>17</v>
      </c>
      <c r="B10" s="4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/>
  </sheetViews>
  <sheetFormatPr baseColWidth="10" defaultColWidth="8.796875" defaultRowHeight="13.8"/>
  <cols>
    <col min="1" max="1" width="10" customWidth="1"/>
    <col min="2" max="2" width="24" customWidth="1"/>
    <col min="3" max="3" width="65" customWidth="1"/>
    <col min="4" max="4" width="55" customWidth="1"/>
    <col min="5" max="7" width="45" customWidth="1"/>
  </cols>
  <sheetData>
    <row r="1" spans="1:7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</row>
    <row r="2" spans="1:7" ht="48" customHeight="1">
      <c r="A2" s="4" t="s">
        <v>26</v>
      </c>
      <c r="B2" s="4" t="s">
        <v>27</v>
      </c>
      <c r="C2" s="4" t="s">
        <v>28</v>
      </c>
      <c r="D2" s="4" t="s">
        <v>29</v>
      </c>
      <c r="E2" s="4" t="s">
        <v>30</v>
      </c>
      <c r="F2" s="4" t="s">
        <v>31</v>
      </c>
      <c r="G2" s="4" t="s">
        <v>32</v>
      </c>
    </row>
    <row r="3" spans="1:7" ht="48" customHeight="1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4" t="s">
        <v>39</v>
      </c>
    </row>
    <row r="4" spans="1:7" ht="48" customHeight="1">
      <c r="A4" s="4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4" t="s">
        <v>46</v>
      </c>
    </row>
    <row r="5" spans="1:7" ht="48" customHeight="1">
      <c r="A5" s="4" t="s">
        <v>47</v>
      </c>
      <c r="B5" s="4" t="s">
        <v>48</v>
      </c>
      <c r="C5" s="4" t="s">
        <v>49</v>
      </c>
      <c r="D5" s="4" t="s">
        <v>50</v>
      </c>
      <c r="E5" s="4" t="s">
        <v>51</v>
      </c>
      <c r="F5" s="4" t="s">
        <v>52</v>
      </c>
      <c r="G5" s="4" t="s">
        <v>53</v>
      </c>
    </row>
    <row r="6" spans="1:7" ht="48" customHeight="1">
      <c r="A6" s="4" t="s">
        <v>54</v>
      </c>
      <c r="B6" s="4" t="s">
        <v>55</v>
      </c>
      <c r="C6" s="4" t="s">
        <v>56</v>
      </c>
      <c r="D6" s="4" t="s">
        <v>57</v>
      </c>
      <c r="E6" s="4" t="s">
        <v>58</v>
      </c>
      <c r="F6" s="4" t="s">
        <v>59</v>
      </c>
      <c r="G6" s="4" t="s">
        <v>60</v>
      </c>
    </row>
    <row r="7" spans="1:7" ht="48" customHeight="1">
      <c r="A7" s="4" t="s">
        <v>61</v>
      </c>
      <c r="B7" s="4" t="s">
        <v>62</v>
      </c>
      <c r="C7" s="4" t="s">
        <v>63</v>
      </c>
      <c r="D7" s="4" t="s">
        <v>64</v>
      </c>
      <c r="E7" s="4" t="s">
        <v>65</v>
      </c>
      <c r="F7" s="4" t="s">
        <v>66</v>
      </c>
      <c r="G7" s="4" t="s">
        <v>67</v>
      </c>
    </row>
    <row r="8" spans="1:7" ht="48" customHeight="1">
      <c r="A8" s="4" t="s">
        <v>68</v>
      </c>
      <c r="B8" s="4" t="s">
        <v>69</v>
      </c>
      <c r="C8" s="4" t="s">
        <v>70</v>
      </c>
      <c r="D8" s="4" t="s">
        <v>71</v>
      </c>
      <c r="E8" s="4" t="s">
        <v>72</v>
      </c>
      <c r="F8" s="4" t="s">
        <v>73</v>
      </c>
      <c r="G8" s="4" t="s">
        <v>74</v>
      </c>
    </row>
    <row r="9" spans="1:7" ht="48" customHeight="1">
      <c r="A9" s="4" t="s">
        <v>75</v>
      </c>
      <c r="B9" s="4" t="s">
        <v>76</v>
      </c>
      <c r="C9" s="4" t="s">
        <v>77</v>
      </c>
      <c r="D9" s="4" t="s">
        <v>78</v>
      </c>
      <c r="E9" s="4" t="s">
        <v>79</v>
      </c>
      <c r="F9" s="4" t="s">
        <v>80</v>
      </c>
      <c r="G9" s="4" t="s">
        <v>81</v>
      </c>
    </row>
    <row r="10" spans="1:7" ht="48" customHeight="1">
      <c r="A10" s="4" t="s">
        <v>82</v>
      </c>
      <c r="B10" s="4" t="s">
        <v>83</v>
      </c>
      <c r="C10" s="4" t="s">
        <v>84</v>
      </c>
      <c r="D10" s="4" t="s">
        <v>85</v>
      </c>
      <c r="E10" s="4" t="s">
        <v>86</v>
      </c>
      <c r="F10" s="4" t="s">
        <v>87</v>
      </c>
      <c r="G10" s="4" t="s">
        <v>88</v>
      </c>
    </row>
    <row r="11" spans="1:7" ht="48" customHeight="1">
      <c r="A11" s="4" t="s">
        <v>89</v>
      </c>
      <c r="B11" s="4" t="s">
        <v>90</v>
      </c>
      <c r="C11" s="4" t="s">
        <v>91</v>
      </c>
      <c r="D11" s="4" t="s">
        <v>92</v>
      </c>
      <c r="E11" s="4" t="s">
        <v>93</v>
      </c>
      <c r="F11" s="4" t="s">
        <v>94</v>
      </c>
      <c r="G11" s="4" t="s">
        <v>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1"/>
  <sheetViews>
    <sheetView tabSelected="1" topLeftCell="A15" workbookViewId="0">
      <selection activeCell="D22" sqref="D22"/>
    </sheetView>
  </sheetViews>
  <sheetFormatPr baseColWidth="10" defaultColWidth="8.796875" defaultRowHeight="13.8"/>
  <cols>
    <col min="1" max="1" width="10" customWidth="1"/>
    <col min="2" max="2" width="60" customWidth="1"/>
    <col min="3" max="4" width="46" customWidth="1"/>
    <col min="5" max="7" width="14" customWidth="1"/>
    <col min="8" max="9" width="12" customWidth="1"/>
    <col min="10" max="10" width="45" customWidth="1"/>
  </cols>
  <sheetData>
    <row r="1" spans="1:10">
      <c r="A1" s="2" t="s">
        <v>96</v>
      </c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  <c r="I1" s="2" t="s">
        <v>1</v>
      </c>
      <c r="J1" s="2" t="s">
        <v>104</v>
      </c>
    </row>
    <row r="2" spans="1:10" ht="46.35" customHeight="1">
      <c r="A2" s="4" t="s">
        <v>105</v>
      </c>
      <c r="B2" s="4" t="s">
        <v>106</v>
      </c>
      <c r="C2" s="4" t="s">
        <v>107</v>
      </c>
      <c r="D2" s="4" t="s">
        <v>108</v>
      </c>
      <c r="E2" s="4" t="s">
        <v>33</v>
      </c>
      <c r="F2" s="4" t="s">
        <v>26</v>
      </c>
      <c r="G2" s="4">
        <v>5</v>
      </c>
      <c r="H2" s="4" t="s">
        <v>109</v>
      </c>
      <c r="I2" s="4" t="s">
        <v>110</v>
      </c>
      <c r="J2" s="4" t="s">
        <v>111</v>
      </c>
    </row>
    <row r="3" spans="1:10" ht="46.35" customHeight="1">
      <c r="A3" s="4" t="s">
        <v>112</v>
      </c>
      <c r="B3" s="4" t="s">
        <v>113</v>
      </c>
      <c r="C3" s="4" t="s">
        <v>114</v>
      </c>
      <c r="D3" s="4" t="s">
        <v>115</v>
      </c>
      <c r="E3" s="4" t="s">
        <v>26</v>
      </c>
      <c r="F3" s="4" t="s">
        <v>47</v>
      </c>
      <c r="G3" s="4">
        <v>5</v>
      </c>
      <c r="H3" s="4" t="s">
        <v>109</v>
      </c>
      <c r="I3" s="4" t="s">
        <v>110</v>
      </c>
      <c r="J3" s="4" t="s">
        <v>111</v>
      </c>
    </row>
    <row r="4" spans="1:10" ht="46.35" customHeight="1">
      <c r="A4" s="4" t="s">
        <v>116</v>
      </c>
      <c r="B4" s="4" t="s">
        <v>117</v>
      </c>
      <c r="C4" s="4" t="s">
        <v>118</v>
      </c>
      <c r="D4" s="4" t="s">
        <v>119</v>
      </c>
      <c r="E4" s="4" t="s">
        <v>40</v>
      </c>
      <c r="F4" s="4" t="s">
        <v>68</v>
      </c>
      <c r="G4" s="4">
        <v>5</v>
      </c>
      <c r="H4" s="4" t="s">
        <v>109</v>
      </c>
      <c r="I4" s="4" t="s">
        <v>110</v>
      </c>
      <c r="J4" s="4" t="s">
        <v>111</v>
      </c>
    </row>
    <row r="5" spans="1:10" ht="46.35" customHeight="1">
      <c r="A5" s="4" t="s">
        <v>120</v>
      </c>
      <c r="B5" s="4" t="s">
        <v>121</v>
      </c>
      <c r="C5" s="4" t="s">
        <v>122</v>
      </c>
      <c r="D5" s="4" t="s">
        <v>123</v>
      </c>
      <c r="E5" s="4" t="s">
        <v>75</v>
      </c>
      <c r="F5" s="4" t="s">
        <v>61</v>
      </c>
      <c r="G5" s="4">
        <v>5</v>
      </c>
      <c r="H5" s="4" t="s">
        <v>109</v>
      </c>
      <c r="I5" s="4" t="s">
        <v>110</v>
      </c>
      <c r="J5" s="4" t="s">
        <v>111</v>
      </c>
    </row>
    <row r="6" spans="1:10" ht="46.35" customHeight="1">
      <c r="A6" s="4" t="s">
        <v>124</v>
      </c>
      <c r="B6" s="4" t="s">
        <v>125</v>
      </c>
      <c r="C6" s="4" t="s">
        <v>126</v>
      </c>
      <c r="D6" s="4" t="s">
        <v>127</v>
      </c>
      <c r="E6" s="4" t="s">
        <v>54</v>
      </c>
      <c r="F6" s="4" t="s">
        <v>89</v>
      </c>
      <c r="G6" s="4">
        <v>5</v>
      </c>
      <c r="H6" s="4" t="s">
        <v>109</v>
      </c>
      <c r="I6" s="4" t="s">
        <v>110</v>
      </c>
      <c r="J6" s="4" t="s">
        <v>111</v>
      </c>
    </row>
    <row r="7" spans="1:10" ht="46.35" customHeight="1">
      <c r="A7" s="4" t="s">
        <v>128</v>
      </c>
      <c r="B7" s="4" t="s">
        <v>129</v>
      </c>
      <c r="C7" s="4" t="s">
        <v>130</v>
      </c>
      <c r="D7" s="4" t="s">
        <v>131</v>
      </c>
      <c r="E7" s="4" t="s">
        <v>82</v>
      </c>
      <c r="F7" s="4" t="s">
        <v>26</v>
      </c>
      <c r="G7" s="4">
        <v>5</v>
      </c>
      <c r="H7" s="4" t="s">
        <v>109</v>
      </c>
      <c r="I7" s="4" t="s">
        <v>110</v>
      </c>
      <c r="J7" s="4" t="s">
        <v>111</v>
      </c>
    </row>
    <row r="8" spans="1:10" ht="46.35" customHeight="1">
      <c r="A8" s="4" t="s">
        <v>132</v>
      </c>
      <c r="B8" s="4" t="s">
        <v>133</v>
      </c>
      <c r="C8" s="4" t="s">
        <v>134</v>
      </c>
      <c r="D8" s="4" t="s">
        <v>135</v>
      </c>
      <c r="E8" s="4" t="s">
        <v>33</v>
      </c>
      <c r="F8" s="4" t="s">
        <v>40</v>
      </c>
      <c r="G8" s="4">
        <v>5</v>
      </c>
      <c r="H8" s="4" t="s">
        <v>109</v>
      </c>
      <c r="I8" s="4" t="s">
        <v>110</v>
      </c>
      <c r="J8" s="4" t="s">
        <v>111</v>
      </c>
    </row>
    <row r="9" spans="1:10" ht="46.35" customHeight="1">
      <c r="A9" s="4" t="s">
        <v>136</v>
      </c>
      <c r="B9" s="4" t="s">
        <v>137</v>
      </c>
      <c r="C9" s="4" t="s">
        <v>138</v>
      </c>
      <c r="D9" s="4" t="s">
        <v>139</v>
      </c>
      <c r="E9" s="4" t="s">
        <v>75</v>
      </c>
      <c r="F9" s="4" t="s">
        <v>54</v>
      </c>
      <c r="G9" s="4">
        <v>5</v>
      </c>
      <c r="H9" s="4" t="s">
        <v>109</v>
      </c>
      <c r="I9" s="4" t="s">
        <v>110</v>
      </c>
      <c r="J9" s="4" t="s">
        <v>111</v>
      </c>
    </row>
    <row r="10" spans="1:10" ht="46.35" customHeight="1">
      <c r="A10" s="4" t="s">
        <v>140</v>
      </c>
      <c r="B10" s="4" t="s">
        <v>141</v>
      </c>
      <c r="C10" s="4" t="s">
        <v>142</v>
      </c>
      <c r="D10" s="4" t="s">
        <v>143</v>
      </c>
      <c r="E10" s="4" t="s">
        <v>68</v>
      </c>
      <c r="F10" s="4" t="s">
        <v>82</v>
      </c>
      <c r="G10" s="4">
        <v>5</v>
      </c>
      <c r="H10" s="4" t="s">
        <v>109</v>
      </c>
      <c r="I10" s="4" t="s">
        <v>110</v>
      </c>
      <c r="J10" s="4" t="s">
        <v>111</v>
      </c>
    </row>
    <row r="11" spans="1:10" ht="46.35" customHeight="1">
      <c r="A11" s="4" t="s">
        <v>144</v>
      </c>
      <c r="B11" s="4" t="s">
        <v>145</v>
      </c>
      <c r="C11" s="4" t="s">
        <v>146</v>
      </c>
      <c r="D11" s="4" t="s">
        <v>147</v>
      </c>
      <c r="E11" s="4" t="s">
        <v>61</v>
      </c>
      <c r="F11" s="4" t="s">
        <v>47</v>
      </c>
      <c r="G11" s="4">
        <v>5</v>
      </c>
      <c r="H11" s="4" t="s">
        <v>109</v>
      </c>
      <c r="I11" s="4" t="s">
        <v>110</v>
      </c>
      <c r="J11" s="4" t="s">
        <v>111</v>
      </c>
    </row>
    <row r="12" spans="1:10" ht="46.35" customHeight="1">
      <c r="A12" s="4" t="s">
        <v>148</v>
      </c>
      <c r="B12" s="4" t="s">
        <v>149</v>
      </c>
      <c r="C12" s="4" t="s">
        <v>150</v>
      </c>
      <c r="D12" s="4" t="s">
        <v>151</v>
      </c>
      <c r="E12" s="4" t="s">
        <v>89</v>
      </c>
      <c r="F12" s="4" t="s">
        <v>40</v>
      </c>
      <c r="G12" s="4">
        <v>5</v>
      </c>
      <c r="H12" s="4" t="s">
        <v>109</v>
      </c>
      <c r="I12" s="4" t="s">
        <v>110</v>
      </c>
      <c r="J12" s="4" t="s">
        <v>111</v>
      </c>
    </row>
    <row r="13" spans="1:10" ht="46.35" customHeight="1">
      <c r="A13" s="4" t="s">
        <v>152</v>
      </c>
      <c r="B13" s="4" t="s">
        <v>153</v>
      </c>
      <c r="C13" s="4" t="s">
        <v>154</v>
      </c>
      <c r="D13" s="4" t="s">
        <v>155</v>
      </c>
      <c r="E13" s="4" t="s">
        <v>26</v>
      </c>
      <c r="F13" s="4" t="s">
        <v>82</v>
      </c>
      <c r="G13" s="4">
        <v>5</v>
      </c>
      <c r="H13" s="4" t="s">
        <v>109</v>
      </c>
      <c r="I13" s="4" t="s">
        <v>110</v>
      </c>
      <c r="J13" s="4" t="s">
        <v>111</v>
      </c>
    </row>
    <row r="14" spans="1:10" ht="46.35" customHeight="1">
      <c r="A14" s="4" t="s">
        <v>156</v>
      </c>
      <c r="B14" s="4" t="s">
        <v>157</v>
      </c>
      <c r="C14" s="4" t="s">
        <v>158</v>
      </c>
      <c r="D14" s="4" t="s">
        <v>159</v>
      </c>
      <c r="E14" s="4" t="s">
        <v>33</v>
      </c>
      <c r="F14" s="4" t="s">
        <v>54</v>
      </c>
      <c r="G14" s="4">
        <v>5</v>
      </c>
      <c r="H14" s="4" t="s">
        <v>109</v>
      </c>
      <c r="I14" s="4" t="s">
        <v>110</v>
      </c>
      <c r="J14" s="4" t="s">
        <v>111</v>
      </c>
    </row>
    <row r="15" spans="1:10" ht="46.35" customHeight="1">
      <c r="A15" s="4" t="s">
        <v>160</v>
      </c>
      <c r="B15" s="4" t="s">
        <v>161</v>
      </c>
      <c r="C15" s="4" t="s">
        <v>162</v>
      </c>
      <c r="D15" s="4" t="s">
        <v>163</v>
      </c>
      <c r="E15" s="4" t="s">
        <v>47</v>
      </c>
      <c r="F15" s="4" t="s">
        <v>75</v>
      </c>
      <c r="G15" s="4">
        <v>5</v>
      </c>
      <c r="H15" s="4" t="s">
        <v>109</v>
      </c>
      <c r="I15" s="4" t="s">
        <v>110</v>
      </c>
      <c r="J15" s="4" t="s">
        <v>111</v>
      </c>
    </row>
    <row r="16" spans="1:10" ht="46.35" customHeight="1">
      <c r="A16" s="4" t="s">
        <v>164</v>
      </c>
      <c r="B16" s="4" t="s">
        <v>165</v>
      </c>
      <c r="C16" s="4" t="s">
        <v>166</v>
      </c>
      <c r="D16" s="4" t="s">
        <v>167</v>
      </c>
      <c r="E16" s="4" t="s">
        <v>40</v>
      </c>
      <c r="F16" s="4" t="s">
        <v>68</v>
      </c>
      <c r="G16" s="4">
        <v>5</v>
      </c>
      <c r="H16" s="4" t="s">
        <v>109</v>
      </c>
      <c r="I16" s="4" t="s">
        <v>110</v>
      </c>
      <c r="J16" s="4" t="s">
        <v>111</v>
      </c>
    </row>
    <row r="17" spans="1:10" ht="46.35" customHeight="1">
      <c r="A17" s="4" t="s">
        <v>168</v>
      </c>
      <c r="B17" s="4" t="s">
        <v>169</v>
      </c>
      <c r="C17" s="4" t="s">
        <v>170</v>
      </c>
      <c r="D17" s="4" t="s">
        <v>171</v>
      </c>
      <c r="E17" s="4" t="s">
        <v>61</v>
      </c>
      <c r="F17" s="4" t="s">
        <v>89</v>
      </c>
      <c r="G17" s="4">
        <v>5</v>
      </c>
      <c r="H17" s="4" t="s">
        <v>109</v>
      </c>
      <c r="I17" s="4" t="s">
        <v>110</v>
      </c>
      <c r="J17" s="4" t="s">
        <v>111</v>
      </c>
    </row>
    <row r="18" spans="1:10" ht="46.35" customHeight="1">
      <c r="A18" s="4" t="s">
        <v>172</v>
      </c>
      <c r="B18" s="4" t="s">
        <v>173</v>
      </c>
      <c r="C18" s="4" t="s">
        <v>174</v>
      </c>
      <c r="D18" s="4" t="s">
        <v>175</v>
      </c>
      <c r="E18" s="4" t="s">
        <v>54</v>
      </c>
      <c r="F18" s="4" t="s">
        <v>47</v>
      </c>
      <c r="G18" s="4">
        <v>5</v>
      </c>
      <c r="H18" s="4" t="s">
        <v>109</v>
      </c>
      <c r="I18" s="4" t="s">
        <v>110</v>
      </c>
      <c r="J18" s="4" t="s">
        <v>111</v>
      </c>
    </row>
    <row r="19" spans="1:10" ht="46.35" customHeight="1">
      <c r="A19" s="4" t="s">
        <v>176</v>
      </c>
      <c r="B19" s="4" t="s">
        <v>177</v>
      </c>
      <c r="C19" s="4" t="s">
        <v>178</v>
      </c>
      <c r="D19" s="4" t="s">
        <v>179</v>
      </c>
      <c r="E19" s="4" t="s">
        <v>82</v>
      </c>
      <c r="F19" s="4" t="s">
        <v>26</v>
      </c>
      <c r="G19" s="4">
        <v>5</v>
      </c>
      <c r="H19" s="4" t="s">
        <v>109</v>
      </c>
      <c r="I19" s="4" t="s">
        <v>110</v>
      </c>
      <c r="J19" s="4" t="s">
        <v>111</v>
      </c>
    </row>
    <row r="20" spans="1:10" ht="46.35" customHeight="1">
      <c r="A20" s="4" t="s">
        <v>180</v>
      </c>
      <c r="B20" s="4" t="s">
        <v>181</v>
      </c>
      <c r="C20" s="4" t="s">
        <v>182</v>
      </c>
      <c r="D20" s="4" t="s">
        <v>183</v>
      </c>
      <c r="E20" s="4" t="s">
        <v>33</v>
      </c>
      <c r="F20" s="4" t="s">
        <v>68</v>
      </c>
      <c r="G20" s="4">
        <v>5</v>
      </c>
      <c r="H20" s="4" t="s">
        <v>109</v>
      </c>
      <c r="I20" s="4" t="s">
        <v>110</v>
      </c>
      <c r="J20" s="4" t="s">
        <v>111</v>
      </c>
    </row>
    <row r="21" spans="1:10" ht="46.35" customHeight="1">
      <c r="A21" s="4" t="s">
        <v>184</v>
      </c>
      <c r="B21" s="4" t="s">
        <v>185</v>
      </c>
      <c r="C21" s="4" t="s">
        <v>186</v>
      </c>
      <c r="D21" s="4" t="s">
        <v>187</v>
      </c>
      <c r="E21" s="4" t="s">
        <v>75</v>
      </c>
      <c r="F21" s="4" t="s">
        <v>61</v>
      </c>
      <c r="G21" s="4">
        <v>5</v>
      </c>
      <c r="H21" s="4" t="s">
        <v>109</v>
      </c>
      <c r="I21" s="4" t="s">
        <v>110</v>
      </c>
      <c r="J21" s="4" t="s">
        <v>111</v>
      </c>
    </row>
    <row r="22" spans="1:10" ht="46.35" customHeight="1">
      <c r="A22" s="4" t="s">
        <v>188</v>
      </c>
      <c r="B22" s="4" t="s">
        <v>189</v>
      </c>
      <c r="C22" s="4" t="s">
        <v>190</v>
      </c>
      <c r="D22" s="4" t="s">
        <v>383</v>
      </c>
      <c r="E22" s="4" t="s">
        <v>40</v>
      </c>
      <c r="F22" s="4" t="s">
        <v>47</v>
      </c>
      <c r="G22" s="4">
        <v>5</v>
      </c>
      <c r="H22" s="4" t="s">
        <v>109</v>
      </c>
      <c r="I22" s="4" t="s">
        <v>110</v>
      </c>
      <c r="J22" s="4" t="s">
        <v>111</v>
      </c>
    </row>
    <row r="23" spans="1:10" ht="46.35" customHeight="1">
      <c r="A23" s="4" t="s">
        <v>191</v>
      </c>
      <c r="B23" s="4" t="s">
        <v>192</v>
      </c>
      <c r="C23" s="4" t="s">
        <v>193</v>
      </c>
      <c r="D23" s="4" t="s">
        <v>194</v>
      </c>
      <c r="E23" s="4" t="s">
        <v>54</v>
      </c>
      <c r="F23" s="4" t="s">
        <v>89</v>
      </c>
      <c r="G23" s="4">
        <v>5</v>
      </c>
      <c r="H23" s="4" t="s">
        <v>109</v>
      </c>
      <c r="I23" s="4" t="s">
        <v>110</v>
      </c>
      <c r="J23" s="4" t="s">
        <v>111</v>
      </c>
    </row>
    <row r="24" spans="1:10" ht="46.35" customHeight="1">
      <c r="A24" s="4" t="s">
        <v>195</v>
      </c>
      <c r="B24" s="4" t="s">
        <v>196</v>
      </c>
      <c r="C24" s="4" t="s">
        <v>197</v>
      </c>
      <c r="D24" s="4" t="s">
        <v>198</v>
      </c>
      <c r="E24" s="4" t="s">
        <v>82</v>
      </c>
      <c r="F24" s="4" t="s">
        <v>33</v>
      </c>
      <c r="G24" s="4">
        <v>5</v>
      </c>
      <c r="H24" s="4" t="s">
        <v>109</v>
      </c>
      <c r="I24" s="4" t="s">
        <v>110</v>
      </c>
      <c r="J24" s="4" t="s">
        <v>111</v>
      </c>
    </row>
    <row r="25" spans="1:10" ht="46.35" customHeight="1">
      <c r="A25" s="4" t="s">
        <v>199</v>
      </c>
      <c r="B25" s="4" t="s">
        <v>200</v>
      </c>
      <c r="C25" s="4" t="s">
        <v>201</v>
      </c>
      <c r="D25" s="4" t="s">
        <v>202</v>
      </c>
      <c r="E25" s="4" t="s">
        <v>68</v>
      </c>
      <c r="F25" s="4" t="s">
        <v>61</v>
      </c>
      <c r="G25" s="4">
        <v>5</v>
      </c>
      <c r="H25" s="4" t="s">
        <v>109</v>
      </c>
      <c r="I25" s="4" t="s">
        <v>110</v>
      </c>
      <c r="J25" s="4" t="s">
        <v>111</v>
      </c>
    </row>
    <row r="26" spans="1:10" ht="46.35" customHeight="1">
      <c r="A26" s="4" t="s">
        <v>203</v>
      </c>
      <c r="B26" s="4" t="s">
        <v>204</v>
      </c>
      <c r="C26" s="4" t="s">
        <v>205</v>
      </c>
      <c r="D26" s="4" t="s">
        <v>206</v>
      </c>
      <c r="E26" s="4" t="s">
        <v>26</v>
      </c>
      <c r="F26" s="4" t="s">
        <v>40</v>
      </c>
      <c r="G26" s="4">
        <v>5</v>
      </c>
      <c r="H26" s="4" t="s">
        <v>109</v>
      </c>
      <c r="I26" s="4" t="s">
        <v>110</v>
      </c>
      <c r="J26" s="4" t="s">
        <v>111</v>
      </c>
    </row>
    <row r="27" spans="1:10" ht="46.35" customHeight="1">
      <c r="A27" s="4" t="s">
        <v>207</v>
      </c>
      <c r="B27" s="4" t="s">
        <v>208</v>
      </c>
      <c r="C27" s="4" t="s">
        <v>209</v>
      </c>
      <c r="D27" s="4" t="s">
        <v>210</v>
      </c>
      <c r="E27" s="4" t="s">
        <v>54</v>
      </c>
      <c r="F27" s="4" t="s">
        <v>47</v>
      </c>
      <c r="G27" s="4">
        <v>5</v>
      </c>
      <c r="H27" s="4" t="s">
        <v>109</v>
      </c>
      <c r="I27" s="4" t="s">
        <v>110</v>
      </c>
      <c r="J27" s="4" t="s">
        <v>111</v>
      </c>
    </row>
    <row r="28" spans="1:10" ht="46.35" customHeight="1">
      <c r="A28" s="4" t="s">
        <v>211</v>
      </c>
      <c r="B28" s="4" t="s">
        <v>212</v>
      </c>
      <c r="C28" s="4" t="s">
        <v>213</v>
      </c>
      <c r="D28" s="4" t="s">
        <v>214</v>
      </c>
      <c r="E28" s="4" t="s">
        <v>75</v>
      </c>
      <c r="F28" s="4" t="s">
        <v>89</v>
      </c>
      <c r="G28" s="4">
        <v>5</v>
      </c>
      <c r="H28" s="4" t="s">
        <v>109</v>
      </c>
      <c r="I28" s="4" t="s">
        <v>110</v>
      </c>
      <c r="J28" s="4" t="s">
        <v>111</v>
      </c>
    </row>
    <row r="29" spans="1:10" ht="46.35" customHeight="1">
      <c r="A29" s="4" t="s">
        <v>215</v>
      </c>
      <c r="B29" s="4" t="s">
        <v>216</v>
      </c>
      <c r="C29" s="4" t="s">
        <v>217</v>
      </c>
      <c r="D29" s="4" t="s">
        <v>218</v>
      </c>
      <c r="E29" s="4" t="s">
        <v>82</v>
      </c>
      <c r="F29" s="4" t="s">
        <v>68</v>
      </c>
      <c r="G29" s="4">
        <v>5</v>
      </c>
      <c r="H29" s="4" t="s">
        <v>109</v>
      </c>
      <c r="I29" s="4" t="s">
        <v>110</v>
      </c>
      <c r="J29" s="4" t="s">
        <v>111</v>
      </c>
    </row>
    <row r="30" spans="1:10" ht="46.35" customHeight="1">
      <c r="A30" s="4" t="s">
        <v>219</v>
      </c>
      <c r="B30" s="4" t="s">
        <v>220</v>
      </c>
      <c r="C30" s="4" t="s">
        <v>221</v>
      </c>
      <c r="D30" s="4" t="s">
        <v>222</v>
      </c>
      <c r="E30" s="4" t="s">
        <v>47</v>
      </c>
      <c r="F30" s="4" t="s">
        <v>61</v>
      </c>
      <c r="G30" s="4">
        <v>5</v>
      </c>
      <c r="H30" s="4" t="s">
        <v>109</v>
      </c>
      <c r="I30" s="4" t="s">
        <v>110</v>
      </c>
      <c r="J30" s="4" t="s">
        <v>111</v>
      </c>
    </row>
    <row r="31" spans="1:10" ht="46.35" customHeight="1">
      <c r="A31" s="4" t="s">
        <v>223</v>
      </c>
      <c r="B31" s="4" t="s">
        <v>224</v>
      </c>
      <c r="C31" s="4" t="s">
        <v>225</v>
      </c>
      <c r="D31" s="4" t="s">
        <v>226</v>
      </c>
      <c r="E31" s="4" t="s">
        <v>33</v>
      </c>
      <c r="F31" s="4" t="s">
        <v>26</v>
      </c>
      <c r="G31" s="4">
        <v>5</v>
      </c>
      <c r="H31" s="4" t="s">
        <v>109</v>
      </c>
      <c r="I31" s="4" t="s">
        <v>110</v>
      </c>
      <c r="J31" s="4" t="s">
        <v>111</v>
      </c>
    </row>
    <row r="32" spans="1:10" ht="46.35" customHeight="1">
      <c r="A32" s="4" t="s">
        <v>227</v>
      </c>
      <c r="B32" s="4" t="s">
        <v>228</v>
      </c>
      <c r="C32" s="4" t="s">
        <v>229</v>
      </c>
      <c r="D32" s="4" t="s">
        <v>230</v>
      </c>
      <c r="E32" s="4" t="s">
        <v>40</v>
      </c>
      <c r="F32" s="4" t="s">
        <v>75</v>
      </c>
      <c r="G32" s="4">
        <v>5</v>
      </c>
      <c r="H32" s="4" t="s">
        <v>109</v>
      </c>
      <c r="I32" s="4" t="s">
        <v>110</v>
      </c>
      <c r="J32" s="4" t="s">
        <v>111</v>
      </c>
    </row>
    <row r="33" spans="1:10" ht="46.35" customHeight="1">
      <c r="A33" s="4" t="s">
        <v>231</v>
      </c>
      <c r="B33" s="4" t="s">
        <v>232</v>
      </c>
      <c r="C33" s="4" t="s">
        <v>233</v>
      </c>
      <c r="D33" s="4" t="s">
        <v>234</v>
      </c>
      <c r="E33" s="4" t="s">
        <v>54</v>
      </c>
      <c r="F33" s="4" t="s">
        <v>82</v>
      </c>
      <c r="G33" s="4">
        <v>5</v>
      </c>
      <c r="H33" s="4" t="s">
        <v>109</v>
      </c>
      <c r="I33" s="4" t="s">
        <v>110</v>
      </c>
      <c r="J33" s="4" t="s">
        <v>111</v>
      </c>
    </row>
    <row r="34" spans="1:10" ht="46.35" customHeight="1">
      <c r="A34" s="4" t="s">
        <v>235</v>
      </c>
      <c r="B34" s="4" t="s">
        <v>236</v>
      </c>
      <c r="C34" s="4" t="s">
        <v>237</v>
      </c>
      <c r="D34" s="4" t="s">
        <v>238</v>
      </c>
      <c r="E34" s="4" t="s">
        <v>68</v>
      </c>
      <c r="F34" s="4" t="s">
        <v>89</v>
      </c>
      <c r="G34" s="4">
        <v>5</v>
      </c>
      <c r="H34" s="4" t="s">
        <v>109</v>
      </c>
      <c r="I34" s="4" t="s">
        <v>110</v>
      </c>
      <c r="J34" s="4" t="s">
        <v>111</v>
      </c>
    </row>
    <row r="35" spans="1:10" ht="46.35" customHeight="1">
      <c r="A35" s="4" t="s">
        <v>239</v>
      </c>
      <c r="B35" s="4" t="s">
        <v>240</v>
      </c>
      <c r="C35" s="4" t="s">
        <v>241</v>
      </c>
      <c r="D35" s="4" t="s">
        <v>242</v>
      </c>
      <c r="E35" s="4" t="s">
        <v>26</v>
      </c>
      <c r="F35" s="4" t="s">
        <v>61</v>
      </c>
      <c r="G35" s="4">
        <v>5</v>
      </c>
      <c r="H35" s="4" t="s">
        <v>109</v>
      </c>
      <c r="I35" s="4" t="s">
        <v>110</v>
      </c>
      <c r="J35" s="4" t="s">
        <v>111</v>
      </c>
    </row>
    <row r="36" spans="1:10" ht="46.35" customHeight="1">
      <c r="A36" s="4" t="s">
        <v>243</v>
      </c>
      <c r="B36" s="4" t="s">
        <v>244</v>
      </c>
      <c r="C36" s="4" t="s">
        <v>245</v>
      </c>
      <c r="D36" s="4" t="s">
        <v>246</v>
      </c>
      <c r="E36" s="4" t="s">
        <v>47</v>
      </c>
      <c r="F36" s="4" t="s">
        <v>40</v>
      </c>
      <c r="G36" s="4">
        <v>5</v>
      </c>
      <c r="H36" s="4" t="s">
        <v>109</v>
      </c>
      <c r="I36" s="4" t="s">
        <v>110</v>
      </c>
      <c r="J36" s="4" t="s">
        <v>111</v>
      </c>
    </row>
    <row r="37" spans="1:10" ht="46.35" customHeight="1">
      <c r="A37" s="4" t="s">
        <v>247</v>
      </c>
      <c r="B37" s="4" t="s">
        <v>248</v>
      </c>
      <c r="C37" s="4" t="s">
        <v>249</v>
      </c>
      <c r="D37" s="4" t="s">
        <v>250</v>
      </c>
      <c r="E37" s="4" t="s">
        <v>54</v>
      </c>
      <c r="F37" s="4" t="s">
        <v>89</v>
      </c>
      <c r="G37" s="4">
        <v>5</v>
      </c>
      <c r="H37" s="4" t="s">
        <v>109</v>
      </c>
      <c r="I37" s="4" t="s">
        <v>110</v>
      </c>
      <c r="J37" s="4" t="s">
        <v>111</v>
      </c>
    </row>
    <row r="38" spans="1:10" ht="46.35" customHeight="1">
      <c r="A38" s="4" t="s">
        <v>251</v>
      </c>
      <c r="B38" s="4" t="s">
        <v>252</v>
      </c>
      <c r="C38" s="4" t="s">
        <v>253</v>
      </c>
      <c r="D38" s="4" t="s">
        <v>254</v>
      </c>
      <c r="E38" s="4" t="s">
        <v>33</v>
      </c>
      <c r="F38" s="4" t="s">
        <v>82</v>
      </c>
      <c r="G38" s="4">
        <v>5</v>
      </c>
      <c r="H38" s="4" t="s">
        <v>109</v>
      </c>
      <c r="I38" s="4" t="s">
        <v>110</v>
      </c>
      <c r="J38" s="4" t="s">
        <v>111</v>
      </c>
    </row>
    <row r="39" spans="1:10" ht="46.35" customHeight="1">
      <c r="A39" s="4" t="s">
        <v>255</v>
      </c>
      <c r="B39" s="4" t="s">
        <v>256</v>
      </c>
      <c r="C39" s="4" t="s">
        <v>257</v>
      </c>
      <c r="D39" s="4" t="s">
        <v>258</v>
      </c>
      <c r="E39" s="4" t="s">
        <v>75</v>
      </c>
      <c r="F39" s="4" t="s">
        <v>61</v>
      </c>
      <c r="G39" s="4">
        <v>5</v>
      </c>
      <c r="H39" s="4" t="s">
        <v>109</v>
      </c>
      <c r="I39" s="4" t="s">
        <v>110</v>
      </c>
      <c r="J39" s="4" t="s">
        <v>111</v>
      </c>
    </row>
    <row r="40" spans="1:10" ht="46.35" customHeight="1">
      <c r="A40" s="4" t="s">
        <v>259</v>
      </c>
      <c r="B40" s="4" t="s">
        <v>260</v>
      </c>
      <c r="C40" s="4" t="s">
        <v>261</v>
      </c>
      <c r="D40" s="4" t="s">
        <v>262</v>
      </c>
      <c r="E40" s="4" t="s">
        <v>40</v>
      </c>
      <c r="F40" s="4" t="s">
        <v>68</v>
      </c>
      <c r="G40" s="4">
        <v>5</v>
      </c>
      <c r="H40" s="4" t="s">
        <v>109</v>
      </c>
      <c r="I40" s="4" t="s">
        <v>110</v>
      </c>
      <c r="J40" s="4" t="s">
        <v>111</v>
      </c>
    </row>
    <row r="41" spans="1:10" ht="46.35" customHeight="1">
      <c r="A41" s="4" t="s">
        <v>263</v>
      </c>
      <c r="B41" s="4" t="s">
        <v>264</v>
      </c>
      <c r="C41" s="4" t="s">
        <v>265</v>
      </c>
      <c r="D41" s="4" t="s">
        <v>266</v>
      </c>
      <c r="E41" s="4" t="s">
        <v>82</v>
      </c>
      <c r="F41" s="4" t="s">
        <v>89</v>
      </c>
      <c r="G41" s="4">
        <v>5</v>
      </c>
      <c r="H41" s="4" t="s">
        <v>109</v>
      </c>
      <c r="I41" s="4" t="s">
        <v>110</v>
      </c>
      <c r="J41" s="4" t="s">
        <v>111</v>
      </c>
    </row>
    <row r="42" spans="1:10" ht="46.35" customHeight="1">
      <c r="A42" s="4" t="s">
        <v>267</v>
      </c>
      <c r="B42" s="4" t="s">
        <v>268</v>
      </c>
      <c r="C42" s="4" t="s">
        <v>269</v>
      </c>
      <c r="D42" s="4" t="s">
        <v>270</v>
      </c>
      <c r="E42" s="4" t="s">
        <v>26</v>
      </c>
      <c r="F42" s="4" t="s">
        <v>54</v>
      </c>
      <c r="G42" s="4">
        <v>5</v>
      </c>
      <c r="H42" s="4" t="s">
        <v>109</v>
      </c>
      <c r="I42" s="4" t="s">
        <v>110</v>
      </c>
      <c r="J42" s="4" t="s">
        <v>111</v>
      </c>
    </row>
    <row r="43" spans="1:10" ht="46.35" customHeight="1">
      <c r="A43" s="4" t="s">
        <v>271</v>
      </c>
      <c r="B43" s="4" t="s">
        <v>272</v>
      </c>
      <c r="C43" s="4" t="s">
        <v>273</v>
      </c>
      <c r="D43" s="4" t="s">
        <v>274</v>
      </c>
      <c r="E43" s="4" t="s">
        <v>47</v>
      </c>
      <c r="F43" s="4" t="s">
        <v>61</v>
      </c>
      <c r="G43" s="4">
        <v>5</v>
      </c>
      <c r="H43" s="4" t="s">
        <v>109</v>
      </c>
      <c r="I43" s="4" t="s">
        <v>110</v>
      </c>
      <c r="J43" s="4" t="s">
        <v>111</v>
      </c>
    </row>
    <row r="44" spans="1:10" ht="46.35" customHeight="1">
      <c r="A44" s="4" t="s">
        <v>275</v>
      </c>
      <c r="B44" s="4" t="s">
        <v>276</v>
      </c>
      <c r="C44" s="4" t="s">
        <v>277</v>
      </c>
      <c r="D44" s="4" t="s">
        <v>278</v>
      </c>
      <c r="E44" s="4" t="s">
        <v>68</v>
      </c>
      <c r="F44" s="4" t="s">
        <v>33</v>
      </c>
      <c r="G44" s="4">
        <v>5</v>
      </c>
      <c r="H44" s="4" t="s">
        <v>109</v>
      </c>
      <c r="I44" s="4" t="s">
        <v>110</v>
      </c>
      <c r="J44" s="4" t="s">
        <v>111</v>
      </c>
    </row>
    <row r="45" spans="1:10" ht="46.35" customHeight="1">
      <c r="A45" s="4" t="s">
        <v>279</v>
      </c>
      <c r="B45" s="4" t="s">
        <v>280</v>
      </c>
      <c r="C45" s="4" t="s">
        <v>281</v>
      </c>
      <c r="D45" s="4" t="s">
        <v>282</v>
      </c>
      <c r="E45" s="4" t="s">
        <v>75</v>
      </c>
      <c r="F45" s="4" t="s">
        <v>40</v>
      </c>
      <c r="G45" s="4">
        <v>5</v>
      </c>
      <c r="H45" s="4" t="s">
        <v>109</v>
      </c>
      <c r="I45" s="4" t="s">
        <v>110</v>
      </c>
      <c r="J45" s="4" t="s">
        <v>111</v>
      </c>
    </row>
    <row r="46" spans="1:10" ht="46.35" customHeight="1">
      <c r="A46" s="4" t="s">
        <v>283</v>
      </c>
      <c r="B46" s="4" t="s">
        <v>284</v>
      </c>
      <c r="C46" s="4" t="s">
        <v>285</v>
      </c>
      <c r="D46" s="4" t="s">
        <v>286</v>
      </c>
      <c r="E46" s="4" t="s">
        <v>54</v>
      </c>
      <c r="F46" s="4" t="s">
        <v>47</v>
      </c>
      <c r="G46" s="4">
        <v>5</v>
      </c>
      <c r="H46" s="4" t="s">
        <v>109</v>
      </c>
      <c r="I46" s="4" t="s">
        <v>110</v>
      </c>
      <c r="J46" s="4" t="s">
        <v>111</v>
      </c>
    </row>
    <row r="47" spans="1:10" ht="46.35" customHeight="1">
      <c r="A47" s="4" t="s">
        <v>287</v>
      </c>
      <c r="B47" s="4" t="s">
        <v>288</v>
      </c>
      <c r="C47" s="4" t="s">
        <v>289</v>
      </c>
      <c r="D47" s="4" t="s">
        <v>290</v>
      </c>
      <c r="E47" s="4" t="s">
        <v>26</v>
      </c>
      <c r="F47" s="4" t="s">
        <v>82</v>
      </c>
      <c r="G47" s="4">
        <v>5</v>
      </c>
      <c r="H47" s="4" t="s">
        <v>109</v>
      </c>
      <c r="I47" s="4" t="s">
        <v>110</v>
      </c>
      <c r="J47" s="4" t="s">
        <v>111</v>
      </c>
    </row>
    <row r="48" spans="1:10" ht="46.35" customHeight="1">
      <c r="A48" s="4" t="s">
        <v>291</v>
      </c>
      <c r="B48" s="4" t="s">
        <v>292</v>
      </c>
      <c r="C48" s="4" t="s">
        <v>293</v>
      </c>
      <c r="D48" s="4" t="s">
        <v>294</v>
      </c>
      <c r="E48" s="4" t="s">
        <v>61</v>
      </c>
      <c r="F48" s="4" t="s">
        <v>89</v>
      </c>
      <c r="G48" s="4">
        <v>5</v>
      </c>
      <c r="H48" s="4" t="s">
        <v>109</v>
      </c>
      <c r="I48" s="4" t="s">
        <v>110</v>
      </c>
      <c r="J48" s="4" t="s">
        <v>111</v>
      </c>
    </row>
    <row r="49" spans="1:10" ht="46.35" customHeight="1">
      <c r="A49" s="4" t="s">
        <v>295</v>
      </c>
      <c r="B49" s="4" t="s">
        <v>296</v>
      </c>
      <c r="C49" s="4" t="s">
        <v>297</v>
      </c>
      <c r="D49" s="4" t="s">
        <v>298</v>
      </c>
      <c r="E49" s="4" t="s">
        <v>40</v>
      </c>
      <c r="F49" s="4" t="s">
        <v>68</v>
      </c>
      <c r="G49" s="4">
        <v>5</v>
      </c>
      <c r="H49" s="4" t="s">
        <v>109</v>
      </c>
      <c r="I49" s="4" t="s">
        <v>110</v>
      </c>
      <c r="J49" s="4" t="s">
        <v>111</v>
      </c>
    </row>
    <row r="50" spans="1:10" ht="46.35" customHeight="1">
      <c r="A50" s="4" t="s">
        <v>299</v>
      </c>
      <c r="B50" s="4" t="s">
        <v>300</v>
      </c>
      <c r="C50" s="4" t="s">
        <v>301</v>
      </c>
      <c r="D50" s="4" t="s">
        <v>302</v>
      </c>
      <c r="E50" s="4" t="s">
        <v>33</v>
      </c>
      <c r="F50" s="4" t="s">
        <v>54</v>
      </c>
      <c r="G50" s="4">
        <v>5</v>
      </c>
      <c r="H50" s="4" t="s">
        <v>109</v>
      </c>
      <c r="I50" s="4" t="s">
        <v>110</v>
      </c>
      <c r="J50" s="4" t="s">
        <v>111</v>
      </c>
    </row>
    <row r="51" spans="1:10" ht="46.35" customHeight="1">
      <c r="A51" s="4" t="s">
        <v>303</v>
      </c>
      <c r="B51" s="4" t="s">
        <v>304</v>
      </c>
      <c r="C51" s="4" t="s">
        <v>305</v>
      </c>
      <c r="D51" s="4" t="s">
        <v>306</v>
      </c>
      <c r="E51" s="4" t="s">
        <v>75</v>
      </c>
      <c r="F51" s="4" t="s">
        <v>26</v>
      </c>
      <c r="G51" s="4">
        <v>5</v>
      </c>
      <c r="H51" s="4" t="s">
        <v>109</v>
      </c>
      <c r="I51" s="4" t="s">
        <v>110</v>
      </c>
      <c r="J51" s="4" t="s">
        <v>111</v>
      </c>
    </row>
    <row r="52" spans="1:10" ht="46.35" customHeight="1">
      <c r="A52" s="4" t="s">
        <v>307</v>
      </c>
      <c r="B52" s="4" t="s">
        <v>308</v>
      </c>
      <c r="C52" s="4" t="s">
        <v>309</v>
      </c>
      <c r="D52" s="4" t="s">
        <v>310</v>
      </c>
      <c r="E52" s="4" t="s">
        <v>68</v>
      </c>
      <c r="F52" s="4" t="s">
        <v>40</v>
      </c>
      <c r="G52" s="4">
        <v>5</v>
      </c>
      <c r="H52" s="4" t="s">
        <v>109</v>
      </c>
      <c r="I52" s="4" t="s">
        <v>110</v>
      </c>
      <c r="J52" s="4" t="s">
        <v>111</v>
      </c>
    </row>
    <row r="53" spans="1:10" ht="46.35" customHeight="1">
      <c r="A53" s="4" t="s">
        <v>311</v>
      </c>
      <c r="B53" s="4" t="s">
        <v>312</v>
      </c>
      <c r="C53" s="4" t="s">
        <v>313</v>
      </c>
      <c r="D53" s="4" t="s">
        <v>314</v>
      </c>
      <c r="E53" s="4" t="s">
        <v>54</v>
      </c>
      <c r="F53" s="4" t="s">
        <v>61</v>
      </c>
      <c r="G53" s="4">
        <v>5</v>
      </c>
      <c r="H53" s="4" t="s">
        <v>109</v>
      </c>
      <c r="I53" s="4" t="s">
        <v>110</v>
      </c>
      <c r="J53" s="4" t="s">
        <v>111</v>
      </c>
    </row>
    <row r="54" spans="1:10" ht="46.35" customHeight="1">
      <c r="A54" s="4" t="s">
        <v>315</v>
      </c>
      <c r="B54" s="4" t="s">
        <v>316</v>
      </c>
      <c r="C54" s="4" t="s">
        <v>317</v>
      </c>
      <c r="D54" s="4" t="s">
        <v>318</v>
      </c>
      <c r="E54" s="4" t="s">
        <v>82</v>
      </c>
      <c r="F54" s="4" t="s">
        <v>89</v>
      </c>
      <c r="G54" s="4">
        <v>5</v>
      </c>
      <c r="H54" s="4" t="s">
        <v>109</v>
      </c>
      <c r="I54" s="4" t="s">
        <v>110</v>
      </c>
      <c r="J54" s="4" t="s">
        <v>111</v>
      </c>
    </row>
    <row r="55" spans="1:10" ht="46.35" customHeight="1">
      <c r="A55" s="4" t="s">
        <v>319</v>
      </c>
      <c r="B55" s="4" t="s">
        <v>320</v>
      </c>
      <c r="C55" s="4" t="s">
        <v>321</v>
      </c>
      <c r="D55" s="4" t="s">
        <v>322</v>
      </c>
      <c r="E55" s="4" t="s">
        <v>33</v>
      </c>
      <c r="F55" s="4" t="s">
        <v>40</v>
      </c>
      <c r="G55" s="4">
        <v>5</v>
      </c>
      <c r="H55" s="4" t="s">
        <v>109</v>
      </c>
      <c r="I55" s="4" t="s">
        <v>110</v>
      </c>
      <c r="J55" s="4" t="s">
        <v>111</v>
      </c>
    </row>
    <row r="56" spans="1:10" ht="46.35" customHeight="1">
      <c r="A56" s="4" t="s">
        <v>323</v>
      </c>
      <c r="B56" s="4" t="s">
        <v>324</v>
      </c>
      <c r="C56" s="4" t="s">
        <v>325</v>
      </c>
      <c r="D56" s="4" t="s">
        <v>326</v>
      </c>
      <c r="E56" s="4" t="s">
        <v>68</v>
      </c>
      <c r="F56" s="4" t="s">
        <v>47</v>
      </c>
      <c r="G56" s="4">
        <v>5</v>
      </c>
      <c r="H56" s="4" t="s">
        <v>109</v>
      </c>
      <c r="I56" s="4" t="s">
        <v>110</v>
      </c>
      <c r="J56" s="4" t="s">
        <v>111</v>
      </c>
    </row>
    <row r="57" spans="1:10" ht="46.35" customHeight="1">
      <c r="A57" s="4" t="s">
        <v>327</v>
      </c>
      <c r="B57" s="4" t="s">
        <v>328</v>
      </c>
      <c r="C57" s="4" t="s">
        <v>329</v>
      </c>
      <c r="D57" s="4" t="s">
        <v>330</v>
      </c>
      <c r="E57" s="4" t="s">
        <v>75</v>
      </c>
      <c r="F57" s="4" t="s">
        <v>61</v>
      </c>
      <c r="G57" s="4">
        <v>5</v>
      </c>
      <c r="H57" s="4" t="s">
        <v>109</v>
      </c>
      <c r="I57" s="4" t="s">
        <v>110</v>
      </c>
      <c r="J57" s="4" t="s">
        <v>111</v>
      </c>
    </row>
    <row r="58" spans="1:10" ht="46.35" customHeight="1">
      <c r="A58" s="4" t="s">
        <v>331</v>
      </c>
      <c r="B58" s="4" t="s">
        <v>332</v>
      </c>
      <c r="C58" s="4" t="s">
        <v>333</v>
      </c>
      <c r="D58" s="4" t="s">
        <v>334</v>
      </c>
      <c r="E58" s="4" t="s">
        <v>54</v>
      </c>
      <c r="F58" s="4" t="s">
        <v>89</v>
      </c>
      <c r="G58" s="4">
        <v>5</v>
      </c>
      <c r="H58" s="4" t="s">
        <v>109</v>
      </c>
      <c r="I58" s="4" t="s">
        <v>110</v>
      </c>
      <c r="J58" s="4" t="s">
        <v>111</v>
      </c>
    </row>
    <row r="59" spans="1:10" ht="46.35" customHeight="1">
      <c r="A59" s="4" t="s">
        <v>335</v>
      </c>
      <c r="B59" s="4" t="s">
        <v>336</v>
      </c>
      <c r="C59" s="4" t="s">
        <v>337</v>
      </c>
      <c r="D59" s="4" t="s">
        <v>338</v>
      </c>
      <c r="E59" s="4" t="s">
        <v>26</v>
      </c>
      <c r="F59" s="4" t="s">
        <v>33</v>
      </c>
      <c r="G59" s="4">
        <v>5</v>
      </c>
      <c r="H59" s="4" t="s">
        <v>109</v>
      </c>
      <c r="I59" s="4" t="s">
        <v>110</v>
      </c>
      <c r="J59" s="4" t="s">
        <v>111</v>
      </c>
    </row>
    <row r="60" spans="1:10" ht="46.35" customHeight="1">
      <c r="A60" s="4" t="s">
        <v>339</v>
      </c>
      <c r="B60" s="4" t="s">
        <v>340</v>
      </c>
      <c r="C60" s="4" t="s">
        <v>341</v>
      </c>
      <c r="D60" s="4" t="s">
        <v>342</v>
      </c>
      <c r="E60" s="4" t="s">
        <v>82</v>
      </c>
      <c r="F60" s="4" t="s">
        <v>40</v>
      </c>
      <c r="G60" s="4">
        <v>5</v>
      </c>
      <c r="H60" s="4" t="s">
        <v>109</v>
      </c>
      <c r="I60" s="4" t="s">
        <v>110</v>
      </c>
      <c r="J60" s="4" t="s">
        <v>111</v>
      </c>
    </row>
    <row r="61" spans="1:10" ht="46.35" customHeight="1">
      <c r="A61" s="4" t="s">
        <v>343</v>
      </c>
      <c r="B61" s="4" t="s">
        <v>344</v>
      </c>
      <c r="C61" s="4" t="s">
        <v>345</v>
      </c>
      <c r="D61" s="4" t="s">
        <v>346</v>
      </c>
      <c r="E61" s="4" t="s">
        <v>61</v>
      </c>
      <c r="F61" s="4" t="s">
        <v>68</v>
      </c>
      <c r="G61" s="4">
        <v>5</v>
      </c>
      <c r="H61" s="4" t="s">
        <v>109</v>
      </c>
      <c r="I61" s="4" t="s">
        <v>110</v>
      </c>
      <c r="J61" s="4" t="s">
        <v>111</v>
      </c>
    </row>
  </sheetData>
  <conditionalFormatting sqref="H2:H61">
    <cfRule type="expression" dxfId="2" priority="1">
      <formula>H2="active"</formula>
    </cfRule>
    <cfRule type="expression" dxfId="1" priority="2">
      <formula>H2="test"</formula>
    </cfRule>
    <cfRule type="expression" dxfId="0" priority="3">
      <formula>H2="retiré"</formula>
    </cfRule>
  </conditionalFormatting>
  <dataValidations count="2">
    <dataValidation type="list" sqref="E2:F61" xr:uid="{00000000-0002-0000-0200-000000000000}">
      <formula1>"MP1,MP2,MP3,MP4,MP5,MP6,MP7,MP8,MP9,MP10"</formula1>
    </dataValidation>
    <dataValidation type="list" sqref="H2:H61" xr:uid="{00000000-0002-0000-0200-000002000000}">
      <formula1>"active,test,retiré"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workbookViewId="0"/>
  </sheetViews>
  <sheetFormatPr baseColWidth="10" defaultColWidth="8.796875" defaultRowHeight="13.8"/>
  <cols>
    <col min="1" max="1" width="18" customWidth="1"/>
    <col min="2" max="3" width="22" customWidth="1"/>
    <col min="4" max="4" width="45" customWidth="1"/>
    <col min="6" max="9" width="22" customWidth="1"/>
  </cols>
  <sheetData>
    <row r="1" spans="1:9">
      <c r="A1" s="2" t="s">
        <v>347</v>
      </c>
      <c r="B1" s="2" t="s">
        <v>348</v>
      </c>
      <c r="C1" s="2" t="s">
        <v>349</v>
      </c>
      <c r="D1" s="2" t="s">
        <v>350</v>
      </c>
      <c r="F1" t="s">
        <v>351</v>
      </c>
      <c r="G1" t="s">
        <v>352</v>
      </c>
      <c r="H1" t="s">
        <v>353</v>
      </c>
    </row>
    <row r="2" spans="1:9">
      <c r="A2" s="4">
        <v>0</v>
      </c>
      <c r="B2" s="4">
        <v>100</v>
      </c>
      <c r="C2" s="4">
        <v>0</v>
      </c>
      <c r="D2" s="4" t="s">
        <v>354</v>
      </c>
      <c r="F2" t="s">
        <v>355</v>
      </c>
      <c r="G2">
        <f>100-(A2*10)</f>
        <v>100</v>
      </c>
      <c r="H2">
        <f>100-(A2*10)</f>
        <v>100</v>
      </c>
    </row>
    <row r="3" spans="1:9">
      <c r="A3" s="4">
        <v>1</v>
      </c>
      <c r="B3" s="4">
        <v>90</v>
      </c>
      <c r="C3" s="4">
        <v>10</v>
      </c>
      <c r="D3" s="4" t="s">
        <v>354</v>
      </c>
      <c r="F3" t="s">
        <v>356</v>
      </c>
      <c r="G3">
        <f>A2*10</f>
        <v>0</v>
      </c>
      <c r="H3">
        <f>A2*10</f>
        <v>0</v>
      </c>
    </row>
    <row r="4" spans="1:9">
      <c r="A4" s="4">
        <v>2</v>
      </c>
      <c r="B4" s="4">
        <v>80</v>
      </c>
      <c r="C4" s="4">
        <v>20</v>
      </c>
      <c r="D4" s="4" t="s">
        <v>354</v>
      </c>
    </row>
    <row r="5" spans="1:9">
      <c r="A5" s="4">
        <v>3</v>
      </c>
      <c r="B5" s="4">
        <v>70</v>
      </c>
      <c r="C5" s="4">
        <v>30</v>
      </c>
      <c r="D5" s="4" t="s">
        <v>354</v>
      </c>
      <c r="F5" s="1" t="s">
        <v>357</v>
      </c>
      <c r="G5" s="1" t="s">
        <v>358</v>
      </c>
      <c r="H5" s="1" t="s">
        <v>359</v>
      </c>
      <c r="I5" s="1" t="s">
        <v>360</v>
      </c>
    </row>
    <row r="6" spans="1:9">
      <c r="A6" s="4">
        <v>4</v>
      </c>
      <c r="B6" s="4">
        <v>60</v>
      </c>
      <c r="C6" s="4">
        <v>40</v>
      </c>
      <c r="D6" s="4" t="s">
        <v>354</v>
      </c>
      <c r="F6" s="4" t="s">
        <v>26</v>
      </c>
      <c r="G6" s="4">
        <f>COUNTIF(Curseurs!E:E,F6)</f>
        <v>7</v>
      </c>
      <c r="H6" s="4">
        <f>COUNTIF(Curseurs!F:F,F6)</f>
        <v>5</v>
      </c>
      <c r="I6" s="4">
        <f t="shared" ref="I6:I15" si="0">G6+H6</f>
        <v>12</v>
      </c>
    </row>
    <row r="7" spans="1:9">
      <c r="A7" s="4">
        <v>5</v>
      </c>
      <c r="B7" s="4">
        <v>50</v>
      </c>
      <c r="C7" s="4">
        <v>50</v>
      </c>
      <c r="D7" s="4" t="s">
        <v>361</v>
      </c>
      <c r="F7" s="4" t="s">
        <v>33</v>
      </c>
      <c r="G7" s="4">
        <f>COUNTIF(Curseurs!E:E,F7)</f>
        <v>8</v>
      </c>
      <c r="H7" s="4">
        <f>COUNTIF(Curseurs!F:F,F7)</f>
        <v>3</v>
      </c>
      <c r="I7" s="4">
        <f t="shared" si="0"/>
        <v>11</v>
      </c>
    </row>
    <row r="8" spans="1:9">
      <c r="A8" s="4">
        <v>6</v>
      </c>
      <c r="B8" s="4">
        <v>40</v>
      </c>
      <c r="C8" s="4">
        <v>60</v>
      </c>
      <c r="D8" s="4" t="s">
        <v>362</v>
      </c>
      <c r="F8" s="4" t="s">
        <v>40</v>
      </c>
      <c r="G8" s="4">
        <f>COUNTIF(Curseurs!E:E,F8)</f>
        <v>6</v>
      </c>
      <c r="H8" s="4">
        <f>COUNTIF(Curseurs!F:F,F8)</f>
        <v>8</v>
      </c>
      <c r="I8" s="4">
        <f t="shared" si="0"/>
        <v>14</v>
      </c>
    </row>
    <row r="9" spans="1:9">
      <c r="A9" s="4">
        <v>7</v>
      </c>
      <c r="B9" s="4">
        <v>30</v>
      </c>
      <c r="C9" s="4">
        <v>70</v>
      </c>
      <c r="D9" s="4" t="s">
        <v>362</v>
      </c>
      <c r="F9" s="4" t="s">
        <v>47</v>
      </c>
      <c r="G9" s="4">
        <f>COUNTIF(Curseurs!E:E,F9)</f>
        <v>4</v>
      </c>
      <c r="H9" s="4">
        <f>COUNTIF(Curseurs!F:F,F9)</f>
        <v>7</v>
      </c>
      <c r="I9" s="4">
        <f t="shared" si="0"/>
        <v>11</v>
      </c>
    </row>
    <row r="10" spans="1:9">
      <c r="A10" s="4">
        <v>8</v>
      </c>
      <c r="B10" s="4">
        <v>20</v>
      </c>
      <c r="C10" s="4">
        <v>80</v>
      </c>
      <c r="D10" s="4" t="s">
        <v>362</v>
      </c>
      <c r="F10" s="4" t="s">
        <v>54</v>
      </c>
      <c r="G10" s="4">
        <f>COUNTIF(Curseurs!E:E,F10)</f>
        <v>9</v>
      </c>
      <c r="H10" s="4">
        <f>COUNTIF(Curseurs!F:F,F10)</f>
        <v>4</v>
      </c>
      <c r="I10" s="4">
        <f t="shared" si="0"/>
        <v>13</v>
      </c>
    </row>
    <row r="11" spans="1:9">
      <c r="A11" s="4">
        <v>9</v>
      </c>
      <c r="B11" s="4">
        <v>10</v>
      </c>
      <c r="C11" s="4">
        <v>90</v>
      </c>
      <c r="D11" s="4" t="s">
        <v>362</v>
      </c>
      <c r="F11" s="4" t="s">
        <v>61</v>
      </c>
      <c r="G11" s="4">
        <f>COUNTIF(Curseurs!E:E,F11)</f>
        <v>4</v>
      </c>
      <c r="H11" s="4">
        <f>COUNTIF(Curseurs!F:F,F11)</f>
        <v>9</v>
      </c>
      <c r="I11" s="4">
        <f t="shared" si="0"/>
        <v>13</v>
      </c>
    </row>
    <row r="12" spans="1:9">
      <c r="A12" s="4">
        <v>10</v>
      </c>
      <c r="B12" s="4">
        <v>0</v>
      </c>
      <c r="C12" s="4">
        <v>100</v>
      </c>
      <c r="D12" s="4" t="s">
        <v>362</v>
      </c>
      <c r="F12" s="4" t="s">
        <v>68</v>
      </c>
      <c r="G12" s="4">
        <f>COUNTIF(Curseurs!E:E,F12)</f>
        <v>6</v>
      </c>
      <c r="H12" s="4">
        <f>COUNTIF(Curseurs!F:F,F12)</f>
        <v>7</v>
      </c>
      <c r="I12" s="4">
        <f t="shared" si="0"/>
        <v>13</v>
      </c>
    </row>
    <row r="13" spans="1:9">
      <c r="F13" s="4" t="s">
        <v>75</v>
      </c>
      <c r="G13" s="4">
        <f>COUNTIF(Curseurs!E:E,F13)</f>
        <v>8</v>
      </c>
      <c r="H13" s="4">
        <f>COUNTIF(Curseurs!F:F,F13)</f>
        <v>2</v>
      </c>
      <c r="I13" s="4">
        <f t="shared" si="0"/>
        <v>10</v>
      </c>
    </row>
    <row r="14" spans="1:9">
      <c r="F14" s="4" t="s">
        <v>82</v>
      </c>
      <c r="G14" s="4">
        <f>COUNTIF(Curseurs!E:E,F14)</f>
        <v>7</v>
      </c>
      <c r="H14" s="4">
        <f>COUNTIF(Curseurs!F:F,F14)</f>
        <v>5</v>
      </c>
      <c r="I14" s="4">
        <f t="shared" si="0"/>
        <v>12</v>
      </c>
    </row>
    <row r="15" spans="1:9">
      <c r="F15" s="4" t="s">
        <v>89</v>
      </c>
      <c r="G15" s="4">
        <f>COUNTIF(Curseurs!E:E,F15)</f>
        <v>1</v>
      </c>
      <c r="H15" s="4">
        <f>COUNTIF(Curseurs!F:F,F15)</f>
        <v>10</v>
      </c>
      <c r="I15" s="4">
        <f t="shared" si="0"/>
        <v>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/>
  </sheetViews>
  <sheetFormatPr baseColWidth="10" defaultColWidth="8.796875" defaultRowHeight="13.8"/>
  <cols>
    <col min="1" max="1" width="28" customWidth="1"/>
    <col min="2" max="2" width="70" customWidth="1"/>
  </cols>
  <sheetData>
    <row r="1" spans="1:2">
      <c r="A1" s="2" t="s">
        <v>363</v>
      </c>
      <c r="B1" s="2" t="s">
        <v>364</v>
      </c>
    </row>
    <row r="2" spans="1:2">
      <c r="A2" s="4" t="s">
        <v>365</v>
      </c>
      <c r="B2" s="4" t="s">
        <v>0</v>
      </c>
    </row>
    <row r="3" spans="1:2">
      <c r="A3" s="4" t="s">
        <v>366</v>
      </c>
      <c r="B3" s="4" t="s">
        <v>367</v>
      </c>
    </row>
    <row r="4" spans="1:2">
      <c r="A4" s="4" t="s">
        <v>368</v>
      </c>
      <c r="B4" s="4" t="s">
        <v>110</v>
      </c>
    </row>
    <row r="5" spans="1:2">
      <c r="A5" s="4" t="s">
        <v>369</v>
      </c>
      <c r="B5" s="4" t="s">
        <v>370</v>
      </c>
    </row>
    <row r="6" spans="1:2">
      <c r="A6" s="4" t="s">
        <v>371</v>
      </c>
      <c r="B6" s="4" t="s">
        <v>372</v>
      </c>
    </row>
    <row r="7" spans="1:2">
      <c r="A7" s="4" t="s">
        <v>373</v>
      </c>
      <c r="B7" s="4" t="s">
        <v>374</v>
      </c>
    </row>
    <row r="8" spans="1:2">
      <c r="A8" s="4" t="s">
        <v>375</v>
      </c>
      <c r="B8" s="4" t="s">
        <v>376</v>
      </c>
    </row>
    <row r="9" spans="1:2">
      <c r="A9" s="4" t="s">
        <v>377</v>
      </c>
      <c r="B9" s="4" t="s">
        <v>378</v>
      </c>
    </row>
    <row r="10" spans="1:2">
      <c r="A10" s="4" t="s">
        <v>379</v>
      </c>
      <c r="B10" s="4">
        <v>60</v>
      </c>
    </row>
    <row r="11" spans="1:2">
      <c r="A11" s="4" t="s">
        <v>380</v>
      </c>
      <c r="B11" s="4">
        <v>10</v>
      </c>
    </row>
    <row r="12" spans="1:2" ht="27.6">
      <c r="A12" s="4" t="s">
        <v>381</v>
      </c>
      <c r="B12" s="4" t="s">
        <v>382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README</vt:lpstr>
      <vt:lpstr>Dimensions</vt:lpstr>
      <vt:lpstr>Curseurs</vt:lpstr>
      <vt:lpstr>Calculs</vt:lpstr>
      <vt:lpstr>PARAMETRES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Dominique BRIET</cp:lastModifiedBy>
  <dcterms:modified xsi:type="dcterms:W3CDTF">2026-07-04T15:32:34Z</dcterms:modified>
</cp:coreProperties>
</file>