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ffb6bf249042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600add7f0e44644"/>
    <x:sheet xmlns:r="http://schemas.openxmlformats.org/officeDocument/2006/relationships" name="Dimensions" sheetId="2" r:id="R7854c1a25fc34154"/>
    <x:sheet xmlns:r="http://schemas.openxmlformats.org/officeDocument/2006/relationships" name="Curseurs" sheetId="3" r:id="R19924eb258db4ea0"/>
    <x:sheet xmlns:r="http://schemas.openxmlformats.org/officeDocument/2006/relationships" name="Calculs" sheetId="4" r:id="R136f9c3117b04bc8"/>
    <x:sheet xmlns:r="http://schemas.openxmlformats.org/officeDocument/2006/relationships" name="PARAMETRES" sheetId="5" r:id="R454acc01f73348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808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fa2fc7f0ef45c1" /><Relationship Type="http://schemas.openxmlformats.org/officeDocument/2006/relationships/theme" Target="/xl/theme/theme1.xml" Id="R17facf26e3134c2a" /><Relationship Type="http://schemas.openxmlformats.org/officeDocument/2006/relationships/sharedStrings" Target="/xl/sharedStrings.xml" Id="Rd6a32c54b04d43e9" /><Relationship Type="http://schemas.openxmlformats.org/officeDocument/2006/relationships/worksheet" Target="/xl/worksheets/sheet1.xml" Id="R6600add7f0e44644" /><Relationship Type="http://schemas.openxmlformats.org/officeDocument/2006/relationships/worksheet" Target="/xl/worksheets/sheet2.xml" Id="R7854c1a25fc34154" /><Relationship Type="http://schemas.openxmlformats.org/officeDocument/2006/relationships/worksheet" Target="/xl/worksheets/sheet3.xml" Id="R19924eb258db4ea0" /><Relationship Type="http://schemas.openxmlformats.org/officeDocument/2006/relationships/worksheet" Target="/xl/worksheets/sheet4.xml" Id="R136f9c3117b04bc8" /><Relationship Type="http://schemas.openxmlformats.org/officeDocument/2006/relationships/worksheet" Target="/xl/worksheets/sheet5.xml" Id="R454acc01f73348b3" /></Relationships>
</file>

<file path=xl/tables/table1.xml><?xml version="1.0" encoding="utf-8"?>
<x:table xmlns:x="http://schemas.openxmlformats.org/spreadsheetml/2006/main" id="1" name="TableDimensionsMP" displayName="TableDimensionsMP" ref="A1:G11" headerRowCount="1">
  <x:tableColumns count="7">
    <x:tableColumn id="1" name="Code"/>
    <x:tableColumn id="2" name="Moteur professionnel"/>
    <x:tableColumn id="3" name="Définition bénéficiaire"/>
    <x:tableColumn id="4" name="Ce que ce moteur ne mesure pas"/>
    <x:tableColumn id="5" name="Lecture basse"/>
    <x:tableColumn id="6" name="Lecture moyenne"/>
    <x:tableColumn id="7" name="Lecture haute"/>
  </x:tableColumns>
  <x:tableStyleInfo name="TableStyleMedium2" showRowStripes="1"/>
</x:table>
</file>

<file path=xl/tables/table2.xml><?xml version="1.0" encoding="utf-8"?>
<x:table xmlns:x="http://schemas.openxmlformats.org/spreadsheetml/2006/main" id="2" name="TableCurseursMP" displayName="TableCurseursMP" ref="A1:J61" headerRowCount="1">
  <x:tableColumns count="10">
    <x:tableColumn id="1" name="ID"/>
    <x:tableColumn id="2" name="Situation / consigne"/>
    <x:tableColumn id="3" name="Proposition gauche"/>
    <x:tableColumn id="4" name="Proposition droite"/>
    <x:tableColumn id="5" name="Moteur gauche"/>
    <x:tableColumn id="6" name="Moteur droite"/>
    <x:tableColumn id="7" name="Position défaut"/>
    <x:tableColumn id="8" name="Statut"/>
    <x:tableColumn id="9" name="Version"/>
    <x:tableColumn id="10" name="Commentaire concepteur"/>
  </x:tableColumns>
  <x:tableStyleInfo name="TableStyleMedium2" showRowStripes="1"/>
</x:table>
</file>

<file path=xl/tables/table3.xml><?xml version="1.0" encoding="utf-8"?>
<x:table xmlns:x="http://schemas.openxmlformats.org/spreadsheetml/2006/main" id="3" name="TableCalculCurseur" displayName="TableCalculCurseur" ref="A1:D12" headerRowCount="1">
  <x:tableColumns count="4">
    <x:tableColumn id="1" name="Position curseur"/>
    <x:tableColumn id="2" name="Points moteur gauche"/>
    <x:tableColumn id="3" name="Points moteur droite"/>
    <x:tableColumn id="4" name="Lecture interne"/>
  </x:tableColumns>
  <x:tableStyleInfo name="TableStyleMedium2" showRowStripes="1"/>
</x:table>
</file>

<file path=xl/tables/table4.xml><?xml version="1.0" encoding="utf-8"?>
<x:table xmlns:x="http://schemas.openxmlformats.org/spreadsheetml/2006/main" id="4" name="TableParametresMP" displayName="TableParametresMP" ref="A1:B12" headerRowCount="1">
  <x:tableColumns count="2">
    <x:tableColumn id="1" name="Paramètre"/>
    <x:tableColumn id="2" name="Valeu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5392b73d7143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1f9e5e579d4c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0698cf118040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37630a57234d18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 ht="26" customHeight="1">
      <x:c r="A1" s="10" t="str">
        <x:v>Clarté360 – Moteurs professionnels</x:v>
      </x:c>
      <x:c r="B1" s="10" t="str"/>
    </x:row>
    <x:row r="2" ht="42" customHeight="1">
      <x:c r="A2" s="12" t="str">
        <x:v>Version</x:v>
      </x:c>
      <x:c r="B2" s="14" t="str">
        <x:v>0.1 – base de conception</x:v>
      </x:c>
    </x:row>
    <x:row r="3" ht="42" customHeight="1">
      <x:c r="A3" s="12" t="str">
        <x:v>Finalité</x:v>
      </x:c>
      <x:c r="B3" s="14" t="str">
        <x:v>Explorer les sources d’énergie professionnelle déclarées du bénéficiaire.</x:v>
      </x:c>
    </x:row>
    <x:row r="4" ht="42" customHeight="1">
      <x:c r="A4" s="12" t="str">
        <x:v>Principe</x:v>
      </x:c>
      <x:c r="B4" s="14" t="str">
        <x:v>Le bénéficiaire déplace un curseur entre deux propositions positives. Il ne voit aucune cotation.</x:v>
      </x:c>
    </x:row>
    <x:row r="5" ht="42" customHeight="1">
      <x:c r="A5" s="12" t="str">
        <x:v>Échelle interne</x:v>
      </x:c>
      <x:c r="B5" s="14" t="str">
        <x:v>11 positions discrètes : 0 à 10. Position 5 = équilibre 50/50.</x:v>
      </x:c>
    </x:row>
    <x:row r="6" ht="42" customHeight="1">
      <x:c r="A6" s="12" t="str">
        <x:v>Calcul</x:v>
      </x:c>
      <x:c r="B6" s="14" t="str">
        <x:v>Le moteur de gauche reçoit 100, 90, 80...0 points ; le moteur de droite reçoit le complément.</x:v>
      </x:c>
    </x:row>
    <x:row r="7" ht="42" customHeight="1">
      <x:c r="A7" s="12" t="str">
        <x:v>Administration</x:v>
      </x:c>
      <x:c r="B7" s="14" t="str">
        <x:v>L’ordre des curseurs pourra être mélangé dans l’application. L’ordre officiel reste documenté ici.</x:v>
      </x:c>
    </x:row>
    <x:row r="8" ht="42" customHeight="1">
      <x:c r="A8" s="12" t="str">
        <x:v>RGPD</x:v>
      </x:c>
      <x:c r="B8" s="14" t="str">
        <x:v>Aucune donnée personnelle n’est stockée dans ce fichier. Les réponses du bénéficiaire seront exportées en JSON uniquement à la fin de l’outil.</x:v>
      </x:c>
    </x:row>
    <x:row r="9" ht="42" customHeight="1">
      <x:c r="A9" s="12" t="str">
        <x:v>Qualiopi</x:v>
      </x:c>
      <x:c r="B9" s="14" t="str">
        <x:v>Outil de réflexion et d’accompagnement, utilisé comme support d’entretien. Il ne produit pas de diagnostic automatique.</x:v>
      </x:c>
    </x:row>
    <x:row r="10" ht="42" customHeight="1">
      <x:c r="A10" s="12" t="str">
        <x:v>Mise à jour</x:v>
      </x:c>
      <x:c r="B10" s="14" t="str">
        <x:v>Pour modifier un item, éditer la feuille Curseurs puis relancer l’injection JSON dans l’application.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65" hidden="0" customWidth="1"/>
    <x:col min="4" max="4" width="55" hidden="0" customWidth="1"/>
    <x:col min="5" max="5" width="45" hidden="0" customWidth="1"/>
    <x:col min="6" max="6" width="45" hidden="0" customWidth="1"/>
    <x:col min="7" max="7" width="45" hidden="0" customWidth="1"/>
  </x:cols>
  <x:sheetData>
    <x:row r="1">
      <x:c r="A1" s="10" t="str">
        <x:v>Code</x:v>
      </x:c>
      <x:c r="B1" s="10" t="str">
        <x:v>Moteur professionnel</x:v>
      </x:c>
      <x:c r="C1" s="10" t="str">
        <x:v>Définition bénéficiaire</x:v>
      </x:c>
      <x:c r="D1" s="10" t="str">
        <x:v>Ce que ce moteur ne mesure pas</x:v>
      </x:c>
      <x:c r="E1" s="10" t="str">
        <x:v>Lecture basse</x:v>
      </x:c>
      <x:c r="F1" s="10" t="str">
        <x:v>Lecture moyenne</x:v>
      </x:c>
      <x:c r="G1" s="10" t="str">
        <x:v>Lecture haute</x:v>
      </x:c>
    </x:row>
    <x:row r="2" ht="60" customHeight="1">
      <x:c r="A2" s="14" t="str">
        <x:v>MP1</x:v>
      </x:c>
      <x:c r="B2" s="14" t="str">
        <x:v>Accomplir</x:v>
      </x:c>
      <x:c r="C2" s="14" t="str">
        <x:v>Se sentir stimulé par l’atteinte d’objectifs, les résultats visibles, l’achèvement de ce qui est engagé.</x:v>
      </x:c>
      <x:c r="D2" s="14" t="str">
        <x:v>Ce moteur n’évalue pas la performance réelle ni l’ambition sociale.</x:v>
      </x:c>
      <x:c r="E2" s="14" t="str">
        <x:v>Accomplir apparaît comme une source d’énergie secondaire ou contextuelle.</x:v>
      </x:c>
      <x:c r="F2" s="14" t="str">
        <x:v>Accomplir peut contribuer à l’engagement selon les situations.</x:v>
      </x:c>
      <x:c r="G2" s="14" t="str">
        <x:v>Accomplir apparaît comme une source d’énergie professionnelle importante.</x:v>
      </x:c>
    </x:row>
    <x:row r="3" ht="60" customHeight="1">
      <x:c r="A3" s="14" t="str">
        <x:v>MP2</x:v>
      </x:c>
      <x:c r="B3" s="14" t="str">
        <x:v>Comprendre</x:v>
      </x:c>
      <x:c r="C3" s="14" t="str">
        <x:v>Se sentir stimulé par l’analyse, l’apprentissage, la compréhension des situations, des mécanismes ou des problèmes.</x:v>
      </x:c>
      <x:c r="D3" s="14" t="str">
        <x:v>Ce moteur n’évalue pas l’intelligence ni le niveau d’études.</x:v>
      </x:c>
      <x:c r="E3" s="14" t="str">
        <x:v>Comprendre apparaît comme une source d’énergie secondaire ou contextuelle.</x:v>
      </x:c>
      <x:c r="F3" s="14" t="str">
        <x:v>Comprendre peut contribuer à l’engagement selon les situations.</x:v>
      </x:c>
      <x:c r="G3" s="14" t="str">
        <x:v>Comprendre apparaît comme une source d’énergie professionnelle importante.</x:v>
      </x:c>
    </x:row>
    <x:row r="4" ht="60" customHeight="1">
      <x:c r="A4" s="14" t="str">
        <x:v>MP3</x:v>
      </x:c>
      <x:c r="B4" s="14" t="str">
        <x:v>Construire</x:v>
      </x:c>
      <x:c r="C4" s="14" t="str">
        <x:v>Se sentir stimulé par la structuration, l’organisation, la mise en place de méthodes, de dispositifs ou de solutions durables.</x:v>
      </x:c>
      <x:c r="D4" s="14" t="str">
        <x:v>Ce moteur n’évalue pas la rigidité ni le besoin de contrôle.</x:v>
      </x:c>
      <x:c r="E4" s="14" t="str">
        <x:v>Construire apparaît comme une source d’énergie secondaire ou contextuelle.</x:v>
      </x:c>
      <x:c r="F4" s="14" t="str">
        <x:v>Construire peut contribuer à l’engagement selon les situations.</x:v>
      </x:c>
      <x:c r="G4" s="14" t="str">
        <x:v>Construire apparaît comme une source d’énergie professionnelle importante.</x:v>
      </x:c>
    </x:row>
    <x:row r="5" ht="60" customHeight="1">
      <x:c r="A5" s="14" t="str">
        <x:v>MP4</x:v>
      </x:c>
      <x:c r="B5" s="14" t="str">
        <x:v>Transmettre</x:v>
      </x:c>
      <x:c r="C5" s="14" t="str">
        <x:v>Se sentir stimulé par le fait d’expliquer, former, partager ses connaissances et faire progresser les autres.</x:v>
      </x:c>
      <x:c r="D5" s="14" t="str">
        <x:v>Ce moteur n’est pas confondu avec l’aide ou le soutien affectif.</x:v>
      </x:c>
      <x:c r="E5" s="14" t="str">
        <x:v>Transmettre apparaît comme une source d’énergie secondaire ou contextuelle.</x:v>
      </x:c>
      <x:c r="F5" s="14" t="str">
        <x:v>Transmettre peut contribuer à l’engagement selon les situations.</x:v>
      </x:c>
      <x:c r="G5" s="14" t="str">
        <x:v>Transmettre apparaît comme une source d’énergie professionnelle importante.</x:v>
      </x:c>
    </x:row>
    <x:row r="6" ht="60" customHeight="1">
      <x:c r="A6" s="14" t="str">
        <x:v>MP5</x:v>
      </x:c>
      <x:c r="B6" s="14" t="str">
        <x:v>Être utile</x:v>
      </x:c>
      <x:c r="C6" s="14" t="str">
        <x:v>Se sentir stimulé par l’aide concrète apportée à une personne, une équipe, un client ou une organisation.</x:v>
      </x:c>
      <x:c r="D6" s="14" t="str">
        <x:v>Ce moteur n’évalue pas la gentillesse ni l’altruisme personnel.</x:v>
      </x:c>
      <x:c r="E6" s="14" t="str">
        <x:v>Être utile apparaît comme une source d’énergie secondaire ou contextuelle.</x:v>
      </x:c>
      <x:c r="F6" s="14" t="str">
        <x:v>Être utile peut contribuer à l’engagement selon les situations.</x:v>
      </x:c>
      <x:c r="G6" s="14" t="str">
        <x:v>Être utile apparaît comme une source d’énergie professionnelle importante.</x:v>
      </x:c>
    </x:row>
    <x:row r="7" ht="60" customHeight="1">
      <x:c r="A7" s="14" t="str">
        <x:v>MP6</x:v>
      </x:c>
      <x:c r="B7" s="14" t="str">
        <x:v>Influencer</x:v>
      </x:c>
      <x:c r="C7" s="14" t="str">
        <x:v>Se sentir stimulé par le fait de convaincre, entraîner, porter une idée, faire avancer un groupe ou peser sur les décisions.</x:v>
      </x:c>
      <x:c r="D7" s="14" t="str">
        <x:v>Ce moteur n’évalue pas l’autoritarisme ni le pouvoir personnel.</x:v>
      </x:c>
      <x:c r="E7" s="14" t="str">
        <x:v>Influencer apparaît comme une source d’énergie secondaire ou contextuelle.</x:v>
      </x:c>
      <x:c r="F7" s="14" t="str">
        <x:v>Influencer peut contribuer à l’engagement selon les situations.</x:v>
      </x:c>
      <x:c r="G7" s="14" t="str">
        <x:v>Influencer apparaît comme une source d’énergie professionnelle importante.</x:v>
      </x:c>
    </x:row>
    <x:row r="8" ht="60" customHeight="1">
      <x:c r="A8" s="14" t="str">
        <x:v>MP7</x:v>
      </x:c>
      <x:c r="B8" s="14" t="str">
        <x:v>Innover</x:v>
      </x:c>
      <x:c r="C8" s="14" t="str">
        <x:v>Se sentir stimulé par l’expérimentation, la nouveauté, les idées nouvelles, les ruptures ou les façons différentes de faire.</x:v>
      </x:c>
      <x:c r="D8" s="14" t="str">
        <x:v>Ce moteur n’évalue pas la créativité artistique.</x:v>
      </x:c>
      <x:c r="E8" s="14" t="str">
        <x:v>Innover apparaît comme une source d’énergie secondaire ou contextuelle.</x:v>
      </x:c>
      <x:c r="F8" s="14" t="str">
        <x:v>Innover peut contribuer à l’engagement selon les situations.</x:v>
      </x:c>
      <x:c r="G8" s="14" t="str">
        <x:v>Innover apparaît comme une source d’énergie professionnelle importante.</x:v>
      </x:c>
    </x:row>
    <x:row r="9" ht="60" customHeight="1">
      <x:c r="A9" s="14" t="str">
        <x:v>MP8</x:v>
      </x:c>
      <x:c r="B9" s="14" t="str">
        <x:v>Coopérer</x:v>
      </x:c>
      <x:c r="C9" s="14" t="str">
        <x:v>Se sentir stimulé par le travail collectif, la co-construction, l’appartenance à une équipe et la dynamique partagée.</x:v>
      </x:c>
      <x:c r="D9" s="14" t="str">
        <x:v>Ce moteur n’évalue pas la sociabilité générale.</x:v>
      </x:c>
      <x:c r="E9" s="14" t="str">
        <x:v>Coopérer apparaît comme une source d’énergie secondaire ou contextuelle.</x:v>
      </x:c>
      <x:c r="F9" s="14" t="str">
        <x:v>Coopérer peut contribuer à l’engagement selon les situations.</x:v>
      </x:c>
      <x:c r="G9" s="14" t="str">
        <x:v>Coopérer apparaît comme une source d’énergie professionnelle importante.</x:v>
      </x:c>
    </x:row>
    <x:row r="10" ht="60" customHeight="1">
      <x:c r="A10" s="14" t="str">
        <x:v>MP9</x:v>
      </x:c>
      <x:c r="B10" s="14" t="str">
        <x:v>Progresser</x:v>
      </x:c>
      <x:c r="C10" s="14" t="str">
        <x:v>Se sentir stimulé par le développement personnel et professionnel, les défis, l’évolution et le dépassement de soi.</x:v>
      </x:c>
      <x:c r="D10" s="14" t="str">
        <x:v>Ce moteur n’évalue pas la compétition avec les autres.</x:v>
      </x:c>
      <x:c r="E10" s="14" t="str">
        <x:v>Progresser apparaît comme une source d’énergie secondaire ou contextuelle.</x:v>
      </x:c>
      <x:c r="F10" s="14" t="str">
        <x:v>Progresser peut contribuer à l’engagement selon les situations.</x:v>
      </x:c>
      <x:c r="G10" s="14" t="str">
        <x:v>Progresser apparaît comme une source d’énergie professionnelle importante.</x:v>
      </x:c>
    </x:row>
    <x:row r="11" ht="60" customHeight="1">
      <x:c r="A11" s="14" t="str">
        <x:v>MP10</x:v>
      </x:c>
      <x:c r="B11" s="14" t="str">
        <x:v>Contribuer</x:v>
      </x:c>
      <x:c r="C11" s="14" t="str">
        <x:v>Se sentir stimulé par le fait de participer à un projet porteur de sens, utile à plus large échelle ou aligné avec une finalité importante.</x:v>
      </x:c>
      <x:c r="D11" s="14" t="str">
        <x:v>Ce moteur n’est pas une valeur morale ; il explore une source d’engagement.</x:v>
      </x:c>
      <x:c r="E11" s="14" t="str">
        <x:v>Contribuer apparaît comme une source d’énergie secondaire ou contextuelle.</x:v>
      </x:c>
      <x:c r="F11" s="14" t="str">
        <x:v>Contribuer peut contribuer à l’engagement selon les situations.</x:v>
      </x:c>
      <x:c r="G11" s="14" t="str">
        <x:v>Contribuer apparaît comme une source d’énergie professionnelle importante.</x:v>
      </x:c>
    </x:row>
  </x:sheetData>
  <x:pageMargins left="0.7" right="0.7" top="0.75" bottom="0.75" header="0.3" footer="0.3"/>
  <x:tableParts count="1">
    <x:tablePart xmlns:r="http://schemas.openxmlformats.org/officeDocument/2006/relationships" r:id="R185392b73d71436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0" hidden="0" customWidth="1"/>
    <x:col min="3" max="3" width="46" hidden="0" customWidth="1"/>
    <x:col min="4" max="4" width="46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45" hidden="0" customWidth="1"/>
  </x:cols>
  <x:sheetData>
    <x:row r="1">
      <x:c r="A1" s="10" t="str">
        <x:v>ID</x:v>
      </x:c>
      <x:c r="B1" s="10" t="str">
        <x:v>Situation / consigne</x:v>
      </x:c>
      <x:c r="C1" s="10" t="str">
        <x:v>Proposition gauche</x:v>
      </x:c>
      <x:c r="D1" s="10" t="str">
        <x:v>Proposition droite</x:v>
      </x:c>
      <x:c r="E1" s="10" t="str">
        <x:v>Moteur gauche</x:v>
      </x:c>
      <x:c r="F1" s="10" t="str">
        <x:v>Moteur droite</x:v>
      </x:c>
      <x:c r="G1" s="10" t="str">
        <x:v>Position défaut</x:v>
      </x:c>
      <x:c r="H1" s="10" t="str">
        <x:v>Statut</x:v>
      </x:c>
      <x:c r="I1" s="10" t="str">
        <x:v>Version</x:v>
      </x:c>
      <x:c r="J1" s="10" t="str">
        <x:v>Commentaire concepteur</x:v>
      </x:c>
    </x:row>
    <x:row r="2" ht="58" customHeight="1">
      <x:c r="A2" s="14" t="str">
        <x:v>C001</x:v>
      </x:c>
      <x:c r="B2" s="14" t="str">
        <x:v>Lorsque vous vous investissez dans un projet, qu’est-ce qui vous stimule le plus ?</x:v>
      </x:c>
      <x:c r="C2" s="14" t="str">
        <x:v>Comprendre en profondeur ce qui se joue</x:v>
      </x:c>
      <x:c r="D2" s="14" t="str">
        <x:v>Obtenir un résultat concret visible</x:v>
      </x:c>
      <x:c r="E2" s="14" t="str">
        <x:v>MP2</x:v>
      </x:c>
      <x:c r="F2" s="14" t="str">
        <x:v>MP1</x:v>
      </x:c>
      <x:c r="G2" s="14" t="n">
        <x:v>5</x:v>
      </x:c>
      <x:c r="H2" s="14" t="str">
        <x:v>active</x:v>
      </x:c>
      <x:c r="I2" s="14" t="str">
        <x:v>0.1</x:v>
      </x:c>
      <x:c r="J2" s="14" t="str">
        <x:v>Deux propositions positives ; aucune bonne réponse.</x:v>
      </x:c>
    </x:row>
    <x:row r="3" ht="58" customHeight="1">
      <x:c r="A3" s="14" t="str">
        <x:v>C002</x:v>
      </x:c>
      <x:c r="B3" s="14" t="str">
        <x:v>À la fin d’une mission réussie, ce qui vous donne le plus d’énergie est plutôt...</x:v>
      </x:c>
      <x:c r="C3" s="14" t="str">
        <x:v>Avoir atteint l’objectif fixé</x:v>
      </x:c>
      <x:c r="D3" s="14" t="str">
        <x:v>Avoir fait progresser une personne</x:v>
      </x:c>
      <x:c r="E3" s="14" t="str">
        <x:v>MP1</x:v>
      </x:c>
      <x:c r="F3" s="14" t="str">
        <x:v>MP4</x:v>
      </x:c>
      <x:c r="G3" s="14" t="n">
        <x:v>5</x:v>
      </x:c>
      <x:c r="H3" s="14" t="str">
        <x:v>active</x:v>
      </x:c>
      <x:c r="I3" s="14" t="str">
        <x:v>0.1</x:v>
      </x:c>
      <x:c r="J3" s="14" t="str">
        <x:v>Deux propositions positives ; aucune bonne réponse.</x:v>
      </x:c>
    </x:row>
    <x:row r="4" ht="58" customHeight="1">
      <x:c r="A4" s="14" t="str">
        <x:v>C003</x:v>
      </x:c>
      <x:c r="B4" s="14" t="str">
        <x:v>Dans une activité professionnelle, vous vous sentez davantage porté par...</x:v>
      </x:c>
      <x:c r="C4" s="14" t="str">
        <x:v>Structurer quelque chose qui tient dans le temps</x:v>
      </x:c>
      <x:c r="D4" s="14" t="str">
        <x:v>Imaginer une approche nouvelle</x:v>
      </x:c>
      <x:c r="E4" s="14" t="str">
        <x:v>MP3</x:v>
      </x:c>
      <x:c r="F4" s="14" t="str">
        <x:v>MP7</x:v>
      </x:c>
      <x:c r="G4" s="14" t="n">
        <x:v>5</x:v>
      </x:c>
      <x:c r="H4" s="14" t="str">
        <x:v>active</x:v>
      </x:c>
      <x:c r="I4" s="14" t="str">
        <x:v>0.1</x:v>
      </x:c>
      <x:c r="J4" s="14" t="str">
        <x:v>Deux propositions positives ; aucune bonne réponse.</x:v>
      </x:c>
    </x:row>
    <x:row r="5" ht="58" customHeight="1">
      <x:c r="A5" s="14" t="str">
        <x:v>C004</x:v>
      </x:c>
      <x:c r="B5" s="14" t="str">
        <x:v>Quand vous rejoignez un projet, vous êtes plus stimulé par...</x:v>
      </x:c>
      <x:c r="C5" s="14" t="str">
        <x:v>Faire avancer le collectif</x:v>
      </x:c>
      <x:c r="D5" s="14" t="str">
        <x:v>Porter une idée et convaincre</x:v>
      </x:c>
      <x:c r="E5" s="14" t="str">
        <x:v>MP8</x:v>
      </x:c>
      <x:c r="F5" s="14" t="str">
        <x:v>MP6</x:v>
      </x:c>
      <x:c r="G5" s="14" t="n">
        <x:v>5</x:v>
      </x:c>
      <x:c r="H5" s="14" t="str">
        <x:v>active</x:v>
      </x:c>
      <x:c r="I5" s="14" t="str">
        <x:v>0.1</x:v>
      </x:c>
      <x:c r="J5" s="14" t="str">
        <x:v>Deux propositions positives ; aucune bonne réponse.</x:v>
      </x:c>
    </x:row>
    <x:row r="6" ht="58" customHeight="1">
      <x:c r="A6" s="14" t="str">
        <x:v>C005</x:v>
      </x:c>
      <x:c r="B6" s="14" t="str">
        <x:v>Ce qui vous donne le plus envie de vous investir est plutôt...</x:v>
      </x:c>
      <x:c r="C6" s="14" t="str">
        <x:v>Aider concrètement quelqu’un</x:v>
      </x:c>
      <x:c r="D6" s="14" t="str">
        <x:v>Participer à un projet qui a du sens</x:v>
      </x:c>
      <x:c r="E6" s="14" t="str">
        <x:v>MP5</x:v>
      </x:c>
      <x:c r="F6" s="14" t="str">
        <x:v>MP10</x:v>
      </x:c>
      <x:c r="G6" s="14" t="n">
        <x:v>5</x:v>
      </x:c>
      <x:c r="H6" s="14" t="str">
        <x:v>active</x:v>
      </x:c>
      <x:c r="I6" s="14" t="str">
        <x:v>0.1</x:v>
      </x:c>
      <x:c r="J6" s="14" t="str">
        <x:v>Deux propositions positives ; aucune bonne réponse.</x:v>
      </x:c>
    </x:row>
    <x:row r="7" ht="58" customHeight="1">
      <x:c r="A7" s="14" t="str">
        <x:v>C006</x:v>
      </x:c>
      <x:c r="B7" s="14" t="str">
        <x:v>Dans une période de travail intense, ce qui vous motive le plus est...</x:v>
      </x:c>
      <x:c r="C7" s="14" t="str">
        <x:v>Relever un défi et progresser</x:v>
      </x:c>
      <x:c r="D7" s="14" t="str">
        <x:v>Terminer ce qui a été engagé</x:v>
      </x:c>
      <x:c r="E7" s="14" t="str">
        <x:v>MP9</x:v>
      </x:c>
      <x:c r="F7" s="14" t="str">
        <x:v>MP1</x:v>
      </x:c>
      <x:c r="G7" s="14" t="n">
        <x:v>5</x:v>
      </x:c>
      <x:c r="H7" s="14" t="str">
        <x:v>active</x:v>
      </x:c>
      <x:c r="I7" s="14" t="str">
        <x:v>0.1</x:v>
      </x:c>
      <x:c r="J7" s="14" t="str">
        <x:v>Deux propositions positives ; aucune bonne réponse.</x:v>
      </x:c>
    </x:row>
    <x:row r="8" ht="58" customHeight="1">
      <x:c r="A8" s="14" t="str">
        <x:v>C007</x:v>
      </x:c>
      <x:c r="B8" s="14" t="str">
        <x:v>Lorsque vous disposez d’une journée de travail libre, vous êtes plus attiré par...</x:v>
      </x:c>
      <x:c r="C8" s="14" t="str">
        <x:v>Explorer un sujet pour mieux le comprendre</x:v>
      </x:c>
      <x:c r="D8" s="14" t="str">
        <x:v>Construire une méthode ou un support utile</x:v>
      </x:c>
      <x:c r="E8" s="14" t="str">
        <x:v>MP2</x:v>
      </x:c>
      <x:c r="F8" s="14" t="str">
        <x:v>MP3</x:v>
      </x:c>
      <x:c r="G8" s="14" t="n">
        <x:v>5</x:v>
      </x:c>
      <x:c r="H8" s="14" t="str">
        <x:v>active</x:v>
      </x:c>
      <x:c r="I8" s="14" t="str">
        <x:v>0.1</x:v>
      </x:c>
      <x:c r="J8" s="14" t="str">
        <x:v>Deux propositions positives ; aucune bonne réponse.</x:v>
      </x:c>
    </x:row>
    <x:row r="9" ht="58" customHeight="1">
      <x:c r="A9" s="14" t="str">
        <x:v>C008</x:v>
      </x:c>
      <x:c r="B9" s="14" t="str">
        <x:v>Dans une équipe, vous vous sentez plus énergisé par...</x:v>
      </x:c>
      <x:c r="C9" s="14" t="str">
        <x:v>Co-construire avec les autres</x:v>
      </x:c>
      <x:c r="D9" s="14" t="str">
        <x:v>Aider une personne à résoudre une difficulté</x:v>
      </x:c>
      <x:c r="E9" s="14" t="str">
        <x:v>MP8</x:v>
      </x:c>
      <x:c r="F9" s="14" t="str">
        <x:v>MP5</x:v>
      </x:c>
      <x:c r="G9" s="14" t="n">
        <x:v>5</x:v>
      </x:c>
      <x:c r="H9" s="14" t="str">
        <x:v>active</x:v>
      </x:c>
      <x:c r="I9" s="14" t="str">
        <x:v>0.1</x:v>
      </x:c>
      <x:c r="J9" s="14" t="str">
        <x:v>Deux propositions positives ; aucune bonne réponse.</x:v>
      </x:c>
    </x:row>
    <x:row r="10" ht="58" customHeight="1">
      <x:c r="A10" s="14" t="str">
        <x:v>C009</x:v>
      </x:c>
      <x:c r="B10" s="14" t="str">
        <x:v>Quand une situation évolue, vous êtes davantage stimulé par...</x:v>
      </x:c>
      <x:c r="C10" s="14" t="str">
        <x:v>Expérimenter une nouvelle façon de faire</x:v>
      </x:c>
      <x:c r="D10" s="14" t="str">
        <x:v>Apprendre quelque chose de nouveau sur vous-même</x:v>
      </x:c>
      <x:c r="E10" s="14" t="str">
        <x:v>MP7</x:v>
      </x:c>
      <x:c r="F10" s="14" t="str">
        <x:v>MP9</x:v>
      </x:c>
      <x:c r="G10" s="14" t="n">
        <x:v>5</x:v>
      </x:c>
      <x:c r="H10" s="14" t="str">
        <x:v>active</x:v>
      </x:c>
      <x:c r="I10" s="14" t="str">
        <x:v>0.1</x:v>
      </x:c>
      <x:c r="J10" s="14" t="str">
        <x:v>Deux propositions positives ; aucune bonne réponse.</x:v>
      </x:c>
    </x:row>
    <x:row r="11" ht="58" customHeight="1">
      <x:c r="A11" s="14" t="str">
        <x:v>C010</x:v>
      </x:c>
      <x:c r="B11" s="14" t="str">
        <x:v>Quand vous présentez une idée, ce qui vous motive le plus est...</x:v>
      </x:c>
      <x:c r="C11" s="14" t="str">
        <x:v>La faire adopter par les autres</x:v>
      </x:c>
      <x:c r="D11" s="14" t="str">
        <x:v>La rendre claire et transmissible</x:v>
      </x:c>
      <x:c r="E11" s="14" t="str">
        <x:v>MP6</x:v>
      </x:c>
      <x:c r="F11" s="14" t="str">
        <x:v>MP4</x:v>
      </x:c>
      <x:c r="G11" s="14" t="n">
        <x:v>5</x:v>
      </x:c>
      <x:c r="H11" s="14" t="str">
        <x:v>active</x:v>
      </x:c>
      <x:c r="I11" s="14" t="str">
        <x:v>0.1</x:v>
      </x:c>
      <x:c r="J11" s="14" t="str">
        <x:v>Deux propositions positives ; aucune bonne réponse.</x:v>
      </x:c>
    </x:row>
    <x:row r="12" ht="58" customHeight="1">
      <x:c r="A12" s="14" t="str">
        <x:v>C011</x:v>
      </x:c>
      <x:c r="B12" s="14" t="str">
        <x:v>Dans un projet à long terme, vous êtes plus porté par...</x:v>
      </x:c>
      <x:c r="C12" s="14" t="str">
        <x:v>Contribuer à une finalité importante</x:v>
      </x:c>
      <x:c r="D12" s="14" t="str">
        <x:v>Construire progressivement une solution solide</x:v>
      </x:c>
      <x:c r="E12" s="14" t="str">
        <x:v>MP10</x:v>
      </x:c>
      <x:c r="F12" s="14" t="str">
        <x:v>MP3</x:v>
      </x:c>
      <x:c r="G12" s="14" t="n">
        <x:v>5</x:v>
      </x:c>
      <x:c r="H12" s="14" t="str">
        <x:v>active</x:v>
      </x:c>
      <x:c r="I12" s="14" t="str">
        <x:v>0.1</x:v>
      </x:c>
      <x:c r="J12" s="14" t="str">
        <x:v>Deux propositions positives ; aucune bonne réponse.</x:v>
      </x:c>
    </x:row>
    <x:row r="13" ht="58" customHeight="1">
      <x:c r="A13" s="14" t="str">
        <x:v>C012</x:v>
      </x:c>
      <x:c r="B13" s="14" t="str">
        <x:v>Quand un travail devient difficile, ce qui vous aide le plus à continuer est...</x:v>
      </x:c>
      <x:c r="C13" s="14" t="str">
        <x:v>Le désir de réussir malgré l’obstacle</x:v>
      </x:c>
      <x:c r="D13" s="14" t="str">
        <x:v>Le sentiment d’apprendre et de progresser</x:v>
      </x:c>
      <x:c r="E13" s="14" t="str">
        <x:v>MP1</x:v>
      </x:c>
      <x:c r="F13" s="14" t="str">
        <x:v>MP9</x:v>
      </x:c>
      <x:c r="G13" s="14" t="n">
        <x:v>5</x:v>
      </x:c>
      <x:c r="H13" s="14" t="str">
        <x:v>active</x:v>
      </x:c>
      <x:c r="I13" s="14" t="str">
        <x:v>0.1</x:v>
      </x:c>
      <x:c r="J13" s="14" t="str">
        <x:v>Deux propositions positives ; aucune bonne réponse.</x:v>
      </x:c>
    </x:row>
    <x:row r="14" ht="58" customHeight="1">
      <x:c r="A14" s="14" t="str">
        <x:v>C013</x:v>
      </x:c>
      <x:c r="B14" s="14" t="str">
        <x:v>Dans une nouvelle mission, vous êtes plus stimulé par...</x:v>
      </x:c>
      <x:c r="C14" s="14" t="str">
        <x:v>Comprendre le fonctionnement du système</x:v>
      </x:c>
      <x:c r="D14" s="14" t="str">
        <x:v>Trouver une solution utile rapidement</x:v>
      </x:c>
      <x:c r="E14" s="14" t="str">
        <x:v>MP2</x:v>
      </x:c>
      <x:c r="F14" s="14" t="str">
        <x:v>MP5</x:v>
      </x:c>
      <x:c r="G14" s="14" t="n">
        <x:v>5</x:v>
      </x:c>
      <x:c r="H14" s="14" t="str">
        <x:v>active</x:v>
      </x:c>
      <x:c r="I14" s="14" t="str">
        <x:v>0.1</x:v>
      </x:c>
      <x:c r="J14" s="14" t="str">
        <x:v>Deux propositions positives ; aucune bonne réponse.</x:v>
      </x:c>
    </x:row>
    <x:row r="15" ht="58" customHeight="1">
      <x:c r="A15" s="14" t="str">
        <x:v>C014</x:v>
      </x:c>
      <x:c r="B15" s="14" t="str">
        <x:v>Dans vos échanges professionnels, ce qui vous donne le plus d’énergie est...</x:v>
      </x:c>
      <x:c r="C15" s="14" t="str">
        <x:v>Transmettre clairement ce que vous savez</x:v>
      </x:c>
      <x:c r="D15" s="14" t="str">
        <x:v>Construire une relation de coopération</x:v>
      </x:c>
      <x:c r="E15" s="14" t="str">
        <x:v>MP4</x:v>
      </x:c>
      <x:c r="F15" s="14" t="str">
        <x:v>MP8</x:v>
      </x:c>
      <x:c r="G15" s="14" t="n">
        <x:v>5</x:v>
      </x:c>
      <x:c r="H15" s="14" t="str">
        <x:v>active</x:v>
      </x:c>
      <x:c r="I15" s="14" t="str">
        <x:v>0.1</x:v>
      </x:c>
      <x:c r="J15" s="14" t="str">
        <x:v>Deux propositions positives ; aucune bonne réponse.</x:v>
      </x:c>
    </x:row>
    <x:row r="16" ht="58" customHeight="1">
      <x:c r="A16" s="14" t="str">
        <x:v>C015</x:v>
      </x:c>
      <x:c r="B16" s="14" t="str">
        <x:v>Lorsque vous améliorez une situation, vous préférez...</x:v>
      </x:c>
      <x:c r="C16" s="14" t="str">
        <x:v>Mettre en place un cadre durable</x:v>
      </x:c>
      <x:c r="D16" s="14" t="str">
        <x:v>Bousculer l’existant avec une idée nouvelle</x:v>
      </x:c>
      <x:c r="E16" s="14" t="str">
        <x:v>MP3</x:v>
      </x:c>
      <x:c r="F16" s="14" t="str">
        <x:v>MP7</x:v>
      </x:c>
      <x:c r="G16" s="14" t="n">
        <x:v>5</x:v>
      </x:c>
      <x:c r="H16" s="14" t="str">
        <x:v>active</x:v>
      </x:c>
      <x:c r="I16" s="14" t="str">
        <x:v>0.1</x:v>
      </x:c>
      <x:c r="J16" s="14" t="str">
        <x:v>Deux propositions positives ; aucune bonne réponse.</x:v>
      </x:c>
    </x:row>
    <x:row r="17" ht="58" customHeight="1">
      <x:c r="A17" s="14" t="str">
        <x:v>C016</x:v>
      </x:c>
      <x:c r="B17" s="14" t="str">
        <x:v>Lorsque vous portez un projet, vous êtes plus motivé par...</x:v>
      </x:c>
      <x:c r="C17" s="14" t="str">
        <x:v>Convaincre les personnes clés</x:v>
      </x:c>
      <x:c r="D17" s="14" t="str">
        <x:v>Servir une finalité qui dépasse votre rôle</x:v>
      </x:c>
      <x:c r="E17" s="14" t="str">
        <x:v>MP6</x:v>
      </x:c>
      <x:c r="F17" s="14" t="str">
        <x:v>MP10</x:v>
      </x:c>
      <x:c r="G17" s="14" t="n">
        <x:v>5</x:v>
      </x:c>
      <x:c r="H17" s="14" t="str">
        <x:v>active</x:v>
      </x:c>
      <x:c r="I17" s="14" t="str">
        <x:v>0.1</x:v>
      </x:c>
      <x:c r="J17" s="14" t="str">
        <x:v>Deux propositions positives ; aucune bonne réponse.</x:v>
      </x:c>
    </x:row>
    <x:row r="18" ht="58" customHeight="1">
      <x:c r="A18" s="14" t="str">
        <x:v>C017</x:v>
      </x:c>
      <x:c r="B18" s="14" t="str">
        <x:v>Quand une personne rencontre une difficulté, vous êtes plus spontanément stimulé par...</x:v>
      </x:c>
      <x:c r="C18" s="14" t="str">
        <x:v>L’aider à trouver une solution concrète</x:v>
      </x:c>
      <x:c r="D18" s="14" t="str">
        <x:v>Lui permettre de progresser durablement</x:v>
      </x:c>
      <x:c r="E18" s="14" t="str">
        <x:v>MP5</x:v>
      </x:c>
      <x:c r="F18" s="14" t="str">
        <x:v>MP4</x:v>
      </x:c>
      <x:c r="G18" s="14" t="n">
        <x:v>5</x:v>
      </x:c>
      <x:c r="H18" s="14" t="str">
        <x:v>active</x:v>
      </x:c>
      <x:c r="I18" s="14" t="str">
        <x:v>0.1</x:v>
      </x:c>
      <x:c r="J18" s="14" t="str">
        <x:v>Deux propositions positives ; aucune bonne réponse.</x:v>
      </x:c>
    </x:row>
    <x:row r="19" ht="58" customHeight="1">
      <x:c r="A19" s="14" t="str">
        <x:v>C018</x:v>
      </x:c>
      <x:c r="B19" s="14" t="str">
        <x:v>Dans votre évolution professionnelle, ce qui vous attire le plus est...</x:v>
      </x:c>
      <x:c r="C19" s="14" t="str">
        <x:v>Développer vos capacités</x:v>
      </x:c>
      <x:c r="D19" s="14" t="str">
        <x:v>Obtenir des résultats plus ambitieux</x:v>
      </x:c>
      <x:c r="E19" s="14" t="str">
        <x:v>MP9</x:v>
      </x:c>
      <x:c r="F19" s="14" t="str">
        <x:v>MP1</x:v>
      </x:c>
      <x:c r="G19" s="14" t="n">
        <x:v>5</x:v>
      </x:c>
      <x:c r="H19" s="14" t="str">
        <x:v>active</x:v>
      </x:c>
      <x:c r="I19" s="14" t="str">
        <x:v>0.1</x:v>
      </x:c>
      <x:c r="J19" s="14" t="str">
        <x:v>Deux propositions positives ; aucune bonne réponse.</x:v>
      </x:c>
    </x:row>
    <x:row r="20" ht="58" customHeight="1">
      <x:c r="A20" s="14" t="str">
        <x:v>C019</x:v>
      </x:c>
      <x:c r="B20" s="14" t="str">
        <x:v>Face à un problème complexe, ce qui vous donne envie d’agir est...</x:v>
      </x:c>
      <x:c r="C20" s="14" t="str">
        <x:v>Comprendre précisément les causes</x:v>
      </x:c>
      <x:c r="D20" s="14" t="str">
        <x:v>Imaginer une solution différente</x:v>
      </x:c>
      <x:c r="E20" s="14" t="str">
        <x:v>MP2</x:v>
      </x:c>
      <x:c r="F20" s="14" t="str">
        <x:v>MP7</x:v>
      </x:c>
      <x:c r="G20" s="14" t="n">
        <x:v>5</x:v>
      </x:c>
      <x:c r="H20" s="14" t="str">
        <x:v>active</x:v>
      </x:c>
      <x:c r="I20" s="14" t="str">
        <x:v>0.1</x:v>
      </x:c>
      <x:c r="J20" s="14" t="str">
        <x:v>Deux propositions positives ; aucune bonne réponse.</x:v>
      </x:c>
    </x:row>
    <x:row r="21" ht="58" customHeight="1">
      <x:c r="A21" s="14" t="str">
        <x:v>C020</x:v>
      </x:c>
      <x:c r="B21" s="14" t="str">
        <x:v>Dans un collectif, vous êtes plus stimulé par...</x:v>
      </x:c>
      <x:c r="C21" s="14" t="str">
        <x:v>Créer une dynamique commune</x:v>
      </x:c>
      <x:c r="D21" s="14" t="str">
        <x:v>Faire avancer une décision</x:v>
      </x:c>
      <x:c r="E21" s="14" t="str">
        <x:v>MP8</x:v>
      </x:c>
      <x:c r="F21" s="14" t="str">
        <x:v>MP6</x:v>
      </x:c>
      <x:c r="G21" s="14" t="n">
        <x:v>5</x:v>
      </x:c>
      <x:c r="H21" s="14" t="str">
        <x:v>active</x:v>
      </x:c>
      <x:c r="I21" s="14" t="str">
        <x:v>0.1</x:v>
      </x:c>
      <x:c r="J21" s="14" t="str">
        <x:v>Deux propositions positives ; aucune bonne réponse.</x:v>
      </x:c>
    </x:row>
    <x:row r="22" ht="58" customHeight="1">
      <x:c r="A22" s="14" t="str">
        <x:v>C021</x:v>
      </x:c>
      <x:c r="B22" s="14" t="str">
        <x:v>Lorsque vous travaillez sur un sujet important, vous préférez...</x:v>
      </x:c>
      <x:c r="C22" s="14" t="str">
        <x:v>Construire une solution robuste</x:v>
      </x:c>
      <x:c r="D22" s="14" t="str">
        <x:v>La transmettre pour qu’elle soit utilisée par d’autres</x:v>
      </x:c>
      <x:c r="E22" s="14" t="str">
        <x:v>MP3</x:v>
      </x:c>
      <x:c r="F22" s="14" t="str">
        <x:v>MP4</x:v>
      </x:c>
      <x:c r="G22" s="14" t="n">
        <x:v>5</x:v>
      </x:c>
      <x:c r="H22" s="14" t="str">
        <x:v>active</x:v>
      </x:c>
      <x:c r="I22" s="14" t="str">
        <x:v>0.1</x:v>
      </x:c>
      <x:c r="J22" s="14" t="str">
        <x:v>Deux propositions positives ; aucune bonne réponse.</x:v>
      </x:c>
    </x:row>
    <x:row r="23" ht="58" customHeight="1">
      <x:c r="A23" s="14" t="str">
        <x:v>C022</x:v>
      </x:c>
      <x:c r="B23" s="14" t="str">
        <x:v>Quand vous vous sentez utile, c’est plutôt parce que...</x:v>
      </x:c>
      <x:c r="C23" s="14" t="str">
        <x:v>Vous avez apporté une aide concrète</x:v>
      </x:c>
      <x:c r="D23" s="14" t="str">
        <x:v>Vous avez contribué à quelque chose de significatif</x:v>
      </x:c>
      <x:c r="E23" s="14" t="str">
        <x:v>MP5</x:v>
      </x:c>
      <x:c r="F23" s="14" t="str">
        <x:v>MP10</x:v>
      </x:c>
      <x:c r="G23" s="14" t="n">
        <x:v>5</x:v>
      </x:c>
      <x:c r="H23" s="14" t="str">
        <x:v>active</x:v>
      </x:c>
      <x:c r="I23" s="14" t="str">
        <x:v>0.1</x:v>
      </x:c>
      <x:c r="J23" s="14" t="str">
        <x:v>Deux propositions positives ; aucune bonne réponse.</x:v>
      </x:c>
    </x:row>
    <x:row r="24" ht="58" customHeight="1">
      <x:c r="A24" s="14" t="str">
        <x:v>C023</x:v>
      </x:c>
      <x:c r="B24" s="14" t="str">
        <x:v>Ce qui vous pousse à rester engagé dans la durée est plutôt...</x:v>
      </x:c>
      <x:c r="C24" s="14" t="str">
        <x:v>La possibilité de progresser</x:v>
      </x:c>
      <x:c r="D24" s="14" t="str">
        <x:v>La possibilité de mieux comprendre</x:v>
      </x:c>
      <x:c r="E24" s="14" t="str">
        <x:v>MP9</x:v>
      </x:c>
      <x:c r="F24" s="14" t="str">
        <x:v>MP2</x:v>
      </x:c>
      <x:c r="G24" s="14" t="n">
        <x:v>5</x:v>
      </x:c>
      <x:c r="H24" s="14" t="str">
        <x:v>active</x:v>
      </x:c>
      <x:c r="I24" s="14" t="str">
        <x:v>0.1</x:v>
      </x:c>
      <x:c r="J24" s="14" t="str">
        <x:v>Deux propositions positives ; aucune bonne réponse.</x:v>
      </x:c>
    </x:row>
    <x:row r="25" ht="58" customHeight="1">
      <x:c r="A25" s="14" t="str">
        <x:v>C024</x:v>
      </x:c>
      <x:c r="B25" s="14" t="str">
        <x:v>Lorsque vous avez une idée nouvelle, ce qui vous stimule le plus est...</x:v>
      </x:c>
      <x:c r="C25" s="14" t="str">
        <x:v>L’expérimenter rapidement</x:v>
      </x:c>
      <x:c r="D25" s="14" t="str">
        <x:v>Convaincre d’autres personnes de la suivre</x:v>
      </x:c>
      <x:c r="E25" s="14" t="str">
        <x:v>MP7</x:v>
      </x:c>
      <x:c r="F25" s="14" t="str">
        <x:v>MP6</x:v>
      </x:c>
      <x:c r="G25" s="14" t="n">
        <x:v>5</x:v>
      </x:c>
      <x:c r="H25" s="14" t="str">
        <x:v>active</x:v>
      </x:c>
      <x:c r="I25" s="14" t="str">
        <x:v>0.1</x:v>
      </x:c>
      <x:c r="J25" s="14" t="str">
        <x:v>Deux propositions positives ; aucune bonne réponse.</x:v>
      </x:c>
    </x:row>
    <x:row r="26" ht="58" customHeight="1">
      <x:c r="A26" s="14" t="str">
        <x:v>C025</x:v>
      </x:c>
      <x:c r="B26" s="14" t="str">
        <x:v>Dans une mission exigeante, vous trouvez plus d’énergie dans...</x:v>
      </x:c>
      <x:c r="C26" s="14" t="str">
        <x:v>Le fait d’aller au bout</x:v>
      </x:c>
      <x:c r="D26" s="14" t="str">
        <x:v>Le fait de construire un cadre fiable</x:v>
      </x:c>
      <x:c r="E26" s="14" t="str">
        <x:v>MP1</x:v>
      </x:c>
      <x:c r="F26" s="14" t="str">
        <x:v>MP3</x:v>
      </x:c>
      <x:c r="G26" s="14" t="n">
        <x:v>5</x:v>
      </x:c>
      <x:c r="H26" s="14" t="str">
        <x:v>active</x:v>
      </x:c>
      <x:c r="I26" s="14" t="str">
        <x:v>0.1</x:v>
      </x:c>
      <x:c r="J26" s="14" t="str">
        <x:v>Deux propositions positives ; aucune bonne réponse.</x:v>
      </x:c>
    </x:row>
    <x:row r="27" ht="58" customHeight="1">
      <x:c r="A27" s="14" t="str">
        <x:v>C026</x:v>
      </x:c>
      <x:c r="B27" s="14" t="str">
        <x:v>Quand vous accompagnez quelqu’un, vous êtes plus stimulé par...</x:v>
      </x:c>
      <x:c r="C27" s="14" t="str">
        <x:v>Lui rendre service dans l’immédiat</x:v>
      </x:c>
      <x:c r="D27" s="14" t="str">
        <x:v>Lui transmettre ce qui lui permettra d’avancer seul</x:v>
      </x:c>
      <x:c r="E27" s="14" t="str">
        <x:v>MP5</x:v>
      </x:c>
      <x:c r="F27" s="14" t="str">
        <x:v>MP4</x:v>
      </x:c>
      <x:c r="G27" s="14" t="n">
        <x:v>5</x:v>
      </x:c>
      <x:c r="H27" s="14" t="str">
        <x:v>active</x:v>
      </x:c>
      <x:c r="I27" s="14" t="str">
        <x:v>0.1</x:v>
      </x:c>
      <x:c r="J27" s="14" t="str">
        <x:v>Deux propositions positives ; aucune bonne réponse.</x:v>
      </x:c>
    </x:row>
    <x:row r="28" ht="58" customHeight="1">
      <x:c r="A28" s="14" t="str">
        <x:v>C027</x:v>
      </x:c>
      <x:c r="B28" s="14" t="str">
        <x:v>Dans un projet collectif, vous préférez être porté par...</x:v>
      </x:c>
      <x:c r="C28" s="14" t="str">
        <x:v>La coopération entre les personnes</x:v>
      </x:c>
      <x:c r="D28" s="14" t="str">
        <x:v>Le sens global du projet</x:v>
      </x:c>
      <x:c r="E28" s="14" t="str">
        <x:v>MP8</x:v>
      </x:c>
      <x:c r="F28" s="14" t="str">
        <x:v>MP10</x:v>
      </x:c>
      <x:c r="G28" s="14" t="n">
        <x:v>5</x:v>
      </x:c>
      <x:c r="H28" s="14" t="str">
        <x:v>active</x:v>
      </x:c>
      <x:c r="I28" s="14" t="str">
        <x:v>0.1</x:v>
      </x:c>
      <x:c r="J28" s="14" t="str">
        <x:v>Deux propositions positives ; aucune bonne réponse.</x:v>
      </x:c>
    </x:row>
    <x:row r="29" ht="58" customHeight="1">
      <x:c r="A29" s="14" t="str">
        <x:v>C028</x:v>
      </x:c>
      <x:c r="B29" s="14" t="str">
        <x:v>Lorsque vous améliorez votre manière de travailler, vous êtes plus motivé par...</x:v>
      </x:c>
      <x:c r="C29" s="14" t="str">
        <x:v>L’envie de progresser</x:v>
      </x:c>
      <x:c r="D29" s="14" t="str">
        <x:v>L’envie d’innover</x:v>
      </x:c>
      <x:c r="E29" s="14" t="str">
        <x:v>MP9</x:v>
      </x:c>
      <x:c r="F29" s="14" t="str">
        <x:v>MP7</x:v>
      </x:c>
      <x:c r="G29" s="14" t="n">
        <x:v>5</x:v>
      </x:c>
      <x:c r="H29" s="14" t="str">
        <x:v>active</x:v>
      </x:c>
      <x:c r="I29" s="14" t="str">
        <x:v>0.1</x:v>
      </x:c>
      <x:c r="J29" s="14" t="str">
        <x:v>Deux propositions positives ; aucune bonne réponse.</x:v>
      </x:c>
    </x:row>
    <x:row r="30" ht="58" customHeight="1">
      <x:c r="A30" s="14" t="str">
        <x:v>C029</x:v>
      </x:c>
      <x:c r="B30" s="14" t="str">
        <x:v>Quand vous prenez la parole en réunion, vous êtes plus stimulé par...</x:v>
      </x:c>
      <x:c r="C30" s="14" t="str">
        <x:v>Clarifier un sujet pour les autres</x:v>
      </x:c>
      <x:c r="D30" s="14" t="str">
        <x:v>Influencer l’orientation des décisions</x:v>
      </x:c>
      <x:c r="E30" s="14" t="str">
        <x:v>MP4</x:v>
      </x:c>
      <x:c r="F30" s="14" t="str">
        <x:v>MP6</x:v>
      </x:c>
      <x:c r="G30" s="14" t="n">
        <x:v>5</x:v>
      </x:c>
      <x:c r="H30" s="14" t="str">
        <x:v>active</x:v>
      </x:c>
      <x:c r="I30" s="14" t="str">
        <x:v>0.1</x:v>
      </x:c>
      <x:c r="J30" s="14" t="str">
        <x:v>Deux propositions positives ; aucune bonne réponse.</x:v>
      </x:c>
    </x:row>
    <x:row r="31" ht="58" customHeight="1">
      <x:c r="A31" s="14" t="str">
        <x:v>C030</x:v>
      </x:c>
      <x:c r="B31" s="14" t="str">
        <x:v>Lorsque vous explorez une idée, ce qui vous motive le plus est...</x:v>
      </x:c>
      <x:c r="C31" s="14" t="str">
        <x:v>Comprendre ce qu’elle implique</x:v>
      </x:c>
      <x:c r="D31" s="14" t="str">
        <x:v>Voir ce qu’elle peut produire concrètement</x:v>
      </x:c>
      <x:c r="E31" s="14" t="str">
        <x:v>MP2</x:v>
      </x:c>
      <x:c r="F31" s="14" t="str">
        <x:v>MP1</x:v>
      </x:c>
      <x:c r="G31" s="14" t="n">
        <x:v>5</x:v>
      </x:c>
      <x:c r="H31" s="14" t="str">
        <x:v>active</x:v>
      </x:c>
      <x:c r="I31" s="14" t="str">
        <x:v>0.1</x:v>
      </x:c>
      <x:c r="J31" s="14" t="str">
        <x:v>Deux propositions positives ; aucune bonne réponse.</x:v>
      </x:c>
    </x:row>
    <x:row r="32" ht="58" customHeight="1">
      <x:c r="A32" s="14" t="str">
        <x:v>C031</x:v>
      </x:c>
      <x:c r="B32" s="14" t="str">
        <x:v>Dans une organisation, vous êtes plus stimulé par...</x:v>
      </x:c>
      <x:c r="C32" s="14" t="str">
        <x:v>Mettre de l’ordre dans ce qui est dispersé</x:v>
      </x:c>
      <x:c r="D32" s="14" t="str">
        <x:v>Créer une dynamique de coopération</x:v>
      </x:c>
      <x:c r="E32" s="14" t="str">
        <x:v>MP3</x:v>
      </x:c>
      <x:c r="F32" s="14" t="str">
        <x:v>MP8</x:v>
      </x:c>
      <x:c r="G32" s="14" t="n">
        <x:v>5</x:v>
      </x:c>
      <x:c r="H32" s="14" t="str">
        <x:v>active</x:v>
      </x:c>
      <x:c r="I32" s="14" t="str">
        <x:v>0.1</x:v>
      </x:c>
      <x:c r="J32" s="14" t="str">
        <x:v>Deux propositions positives ; aucune bonne réponse.</x:v>
      </x:c>
    </x:row>
    <x:row r="33" ht="58" customHeight="1">
      <x:c r="A33" s="14" t="str">
        <x:v>C032</x:v>
      </x:c>
      <x:c r="B33" s="14" t="str">
        <x:v>Quand une difficulté apparaît, vous trouvez plus d’énergie dans...</x:v>
      </x:c>
      <x:c r="C33" s="14" t="str">
        <x:v>Aider à la résoudre concrètement</x:v>
      </x:c>
      <x:c r="D33" s="14" t="str">
        <x:v>Transformer la difficulté en apprentissage</x:v>
      </x:c>
      <x:c r="E33" s="14" t="str">
        <x:v>MP5</x:v>
      </x:c>
      <x:c r="F33" s="14" t="str">
        <x:v>MP9</x:v>
      </x:c>
      <x:c r="G33" s="14" t="n">
        <x:v>5</x:v>
      </x:c>
      <x:c r="H33" s="14" t="str">
        <x:v>active</x:v>
      </x:c>
      <x:c r="I33" s="14" t="str">
        <x:v>0.1</x:v>
      </x:c>
      <x:c r="J33" s="14" t="str">
        <x:v>Deux propositions positives ; aucune bonne réponse.</x:v>
      </x:c>
    </x:row>
    <x:row r="34" ht="58" customHeight="1">
      <x:c r="A34" s="14" t="str">
        <x:v>C033</x:v>
      </x:c>
      <x:c r="B34" s="14" t="str">
        <x:v>Dans un environnement professionnel, vous êtes plus porté par...</x:v>
      </x:c>
      <x:c r="C34" s="14" t="str">
        <x:v>Introduire des idées nouvelles</x:v>
      </x:c>
      <x:c r="D34" s="14" t="str">
        <x:v>Participer à une mission porteuse de sens</x:v>
      </x:c>
      <x:c r="E34" s="14" t="str">
        <x:v>MP7</x:v>
      </x:c>
      <x:c r="F34" s="14" t="str">
        <x:v>MP10</x:v>
      </x:c>
      <x:c r="G34" s="14" t="n">
        <x:v>5</x:v>
      </x:c>
      <x:c r="H34" s="14" t="str">
        <x:v>active</x:v>
      </x:c>
      <x:c r="I34" s="14" t="str">
        <x:v>0.1</x:v>
      </x:c>
      <x:c r="J34" s="14" t="str">
        <x:v>Deux propositions positives ; aucune bonne réponse.</x:v>
      </x:c>
    </x:row>
    <x:row r="35" ht="58" customHeight="1">
      <x:c r="A35" s="14" t="str">
        <x:v>C034</x:v>
      </x:c>
      <x:c r="B35" s="14" t="str">
        <x:v>Quand un objectif doit être atteint, vous êtes plus motivé par...</x:v>
      </x:c>
      <x:c r="C35" s="14" t="str">
        <x:v>Le résultat à obtenir</x:v>
      </x:c>
      <x:c r="D35" s="14" t="str">
        <x:v>La capacité à entraîner les autres vers ce résultat</x:v>
      </x:c>
      <x:c r="E35" s="14" t="str">
        <x:v>MP1</x:v>
      </x:c>
      <x:c r="F35" s="14" t="str">
        <x:v>MP6</x:v>
      </x:c>
      <x:c r="G35" s="14" t="n">
        <x:v>5</x:v>
      </x:c>
      <x:c r="H35" s="14" t="str">
        <x:v>active</x:v>
      </x:c>
      <x:c r="I35" s="14" t="str">
        <x:v>0.1</x:v>
      </x:c>
      <x:c r="J35" s="14" t="str">
        <x:v>Deux propositions positives ; aucune bonne réponse.</x:v>
      </x:c>
    </x:row>
    <x:row r="36" ht="58" customHeight="1">
      <x:c r="A36" s="14" t="str">
        <x:v>C035</x:v>
      </x:c>
      <x:c r="B36" s="14" t="str">
        <x:v>Lorsque vous avez acquis une expertise, ce qui vous stimule le plus est...</x:v>
      </x:c>
      <x:c r="C36" s="14" t="str">
        <x:v>La partager avec d’autres</x:v>
      </x:c>
      <x:c r="D36" s="14" t="str">
        <x:v>La structurer pour en faire une méthode</x:v>
      </x:c>
      <x:c r="E36" s="14" t="str">
        <x:v>MP4</x:v>
      </x:c>
      <x:c r="F36" s="14" t="str">
        <x:v>MP3</x:v>
      </x:c>
      <x:c r="G36" s="14" t="n">
        <x:v>5</x:v>
      </x:c>
      <x:c r="H36" s="14" t="str">
        <x:v>active</x:v>
      </x:c>
      <x:c r="I36" s="14" t="str">
        <x:v>0.1</x:v>
      </x:c>
      <x:c r="J36" s="14" t="str">
        <x:v>Deux propositions positives ; aucune bonne réponse.</x:v>
      </x:c>
    </x:row>
    <x:row r="37" ht="58" customHeight="1">
      <x:c r="A37" s="14" t="str">
        <x:v>C036</x:v>
      </x:c>
      <x:c r="B37" s="14" t="str">
        <x:v>Dans un projet utile, vous êtes plus stimulé par...</x:v>
      </x:c>
      <x:c r="C37" s="14" t="str">
        <x:v>L’aide directe apportée aux personnes</x:v>
      </x:c>
      <x:c r="D37" s="14" t="str">
        <x:v>L’impact plus large de la contribution</x:v>
      </x:c>
      <x:c r="E37" s="14" t="str">
        <x:v>MP5</x:v>
      </x:c>
      <x:c r="F37" s="14" t="str">
        <x:v>MP10</x:v>
      </x:c>
      <x:c r="G37" s="14" t="n">
        <x:v>5</x:v>
      </x:c>
      <x:c r="H37" s="14" t="str">
        <x:v>active</x:v>
      </x:c>
      <x:c r="I37" s="14" t="str">
        <x:v>0.1</x:v>
      </x:c>
      <x:c r="J37" s="14" t="str">
        <x:v>Deux propositions positives ; aucune bonne réponse.</x:v>
      </x:c>
    </x:row>
    <x:row r="38" ht="58" customHeight="1">
      <x:c r="A38" s="14" t="str">
        <x:v>C037</x:v>
      </x:c>
      <x:c r="B38" s="14" t="str">
        <x:v>Dans votre travail, vous aimez davantage...</x:v>
      </x:c>
      <x:c r="C38" s="14" t="str">
        <x:v>Apprendre pour mieux comprendre</x:v>
      </x:c>
      <x:c r="D38" s="14" t="str">
        <x:v>Apprendre pour évoluer</x:v>
      </x:c>
      <x:c r="E38" s="14" t="str">
        <x:v>MP2</x:v>
      </x:c>
      <x:c r="F38" s="14" t="str">
        <x:v>MP9</x:v>
      </x:c>
      <x:c r="G38" s="14" t="n">
        <x:v>5</x:v>
      </x:c>
      <x:c r="H38" s="14" t="str">
        <x:v>active</x:v>
      </x:c>
      <x:c r="I38" s="14" t="str">
        <x:v>0.1</x:v>
      </x:c>
      <x:c r="J38" s="14" t="str">
        <x:v>Deux propositions positives ; aucune bonne réponse.</x:v>
      </x:c>
    </x:row>
    <x:row r="39" ht="58" customHeight="1">
      <x:c r="A39" s="14" t="str">
        <x:v>C038</x:v>
      </x:c>
      <x:c r="B39" s="14" t="str">
        <x:v>Dans un collectif, vous êtes plus énergisé par...</x:v>
      </x:c>
      <x:c r="C39" s="14" t="str">
        <x:v>Construire ensemble</x:v>
      </x:c>
      <x:c r="D39" s="14" t="str">
        <x:v>Convaincre autour d’une direction</x:v>
      </x:c>
      <x:c r="E39" s="14" t="str">
        <x:v>MP8</x:v>
      </x:c>
      <x:c r="F39" s="14" t="str">
        <x:v>MP6</x:v>
      </x:c>
      <x:c r="G39" s="14" t="n">
        <x:v>5</x:v>
      </x:c>
      <x:c r="H39" s="14" t="str">
        <x:v>active</x:v>
      </x:c>
      <x:c r="I39" s="14" t="str">
        <x:v>0.1</x:v>
      </x:c>
      <x:c r="J39" s="14" t="str">
        <x:v>Deux propositions positives ; aucune bonne réponse.</x:v>
      </x:c>
    </x:row>
    <x:row r="40" ht="58" customHeight="1">
      <x:c r="A40" s="14" t="str">
        <x:v>C039</x:v>
      </x:c>
      <x:c r="B40" s="14" t="str">
        <x:v>Face à un cadre établi, vous êtes plus stimulé par...</x:v>
      </x:c>
      <x:c r="C40" s="14" t="str">
        <x:v>L’améliorer progressivement</x:v>
      </x:c>
      <x:c r="D40" s="14" t="str">
        <x:v>Imaginer une alternative différente</x:v>
      </x:c>
      <x:c r="E40" s="14" t="str">
        <x:v>MP3</x:v>
      </x:c>
      <x:c r="F40" s="14" t="str">
        <x:v>MP7</x:v>
      </x:c>
      <x:c r="G40" s="14" t="n">
        <x:v>5</x:v>
      </x:c>
      <x:c r="H40" s="14" t="str">
        <x:v>active</x:v>
      </x:c>
      <x:c r="I40" s="14" t="str">
        <x:v>0.1</x:v>
      </x:c>
      <x:c r="J40" s="14" t="str">
        <x:v>Deux propositions positives ; aucune bonne réponse.</x:v>
      </x:c>
    </x:row>
    <x:row r="41" ht="58" customHeight="1">
      <x:c r="A41" s="14" t="str">
        <x:v>C040</x:v>
      </x:c>
      <x:c r="B41" s="14" t="str">
        <x:v>Lorsque vous vous dépassez, ce qui vous nourrit le plus est...</x:v>
      </x:c>
      <x:c r="C41" s="14" t="str">
        <x:v>Le défi relevé</x:v>
      </x:c>
      <x:c r="D41" s="14" t="str">
        <x:v>Le sens de ce à quoi vous contribuez</x:v>
      </x:c>
      <x:c r="E41" s="14" t="str">
        <x:v>MP9</x:v>
      </x:c>
      <x:c r="F41" s="14" t="str">
        <x:v>MP10</x:v>
      </x:c>
      <x:c r="G41" s="14" t="n">
        <x:v>5</x:v>
      </x:c>
      <x:c r="H41" s="14" t="str">
        <x:v>active</x:v>
      </x:c>
      <x:c r="I41" s="14" t="str">
        <x:v>0.1</x:v>
      </x:c>
      <x:c r="J41" s="14" t="str">
        <x:v>Deux propositions positives ; aucune bonne réponse.</x:v>
      </x:c>
    </x:row>
    <x:row r="42" ht="58" customHeight="1">
      <x:c r="A42" s="14" t="str">
        <x:v>C041</x:v>
      </x:c>
      <x:c r="B42" s="14" t="str">
        <x:v>Quand vous devez choisir une priorité, vous êtes plus attiré par...</x:v>
      </x:c>
      <x:c r="C42" s="14" t="str">
        <x:v>Ce qui permet un résultat rapide</x:v>
      </x:c>
      <x:c r="D42" s="14" t="str">
        <x:v>Ce qui rend service à quelqu’un</x:v>
      </x:c>
      <x:c r="E42" s="14" t="str">
        <x:v>MP1</x:v>
      </x:c>
      <x:c r="F42" s="14" t="str">
        <x:v>MP5</x:v>
      </x:c>
      <x:c r="G42" s="14" t="n">
        <x:v>5</x:v>
      </x:c>
      <x:c r="H42" s="14" t="str">
        <x:v>active</x:v>
      </x:c>
      <x:c r="I42" s="14" t="str">
        <x:v>0.1</x:v>
      </x:c>
      <x:c r="J42" s="14" t="str">
        <x:v>Deux propositions positives ; aucune bonne réponse.</x:v>
      </x:c>
    </x:row>
    <x:row r="43" ht="58" customHeight="1">
      <x:c r="A43" s="14" t="str">
        <x:v>C042</x:v>
      </x:c>
      <x:c r="B43" s="14" t="str">
        <x:v>Lorsque vous communiquez une idée, vous préférez...</x:v>
      </x:c>
      <x:c r="C43" s="14" t="str">
        <x:v>La rendre compréhensible</x:v>
      </x:c>
      <x:c r="D43" s="14" t="str">
        <x:v>La rendre convaincante</x:v>
      </x:c>
      <x:c r="E43" s="14" t="str">
        <x:v>MP4</x:v>
      </x:c>
      <x:c r="F43" s="14" t="str">
        <x:v>MP6</x:v>
      </x:c>
      <x:c r="G43" s="14" t="n">
        <x:v>5</x:v>
      </x:c>
      <x:c r="H43" s="14" t="str">
        <x:v>active</x:v>
      </x:c>
      <x:c r="I43" s="14" t="str">
        <x:v>0.1</x:v>
      </x:c>
      <x:c r="J43" s="14" t="str">
        <x:v>Deux propositions positives ; aucune bonne réponse.</x:v>
      </x:c>
    </x:row>
    <x:row r="44" ht="58" customHeight="1">
      <x:c r="A44" s="14" t="str">
        <x:v>C043</x:v>
      </x:c>
      <x:c r="B44" s="14" t="str">
        <x:v>Dans une période de changement, vous trouvez plus d’énergie dans...</x:v>
      </x:c>
      <x:c r="C44" s="14" t="str">
        <x:v>Explorer les nouvelles possibilités</x:v>
      </x:c>
      <x:c r="D44" s="14" t="str">
        <x:v>Comprendre ce qui est en train de changer</x:v>
      </x:c>
      <x:c r="E44" s="14" t="str">
        <x:v>MP7</x:v>
      </x:c>
      <x:c r="F44" s="14" t="str">
        <x:v>MP2</x:v>
      </x:c>
      <x:c r="G44" s="14" t="n">
        <x:v>5</x:v>
      </x:c>
      <x:c r="H44" s="14" t="str">
        <x:v>active</x:v>
      </x:c>
      <x:c r="I44" s="14" t="str">
        <x:v>0.1</x:v>
      </x:c>
      <x:c r="J44" s="14" t="str">
        <x:v>Deux propositions positives ; aucune bonne réponse.</x:v>
      </x:c>
    </x:row>
    <x:row r="45" ht="58" customHeight="1">
      <x:c r="A45" s="14" t="str">
        <x:v>C044</x:v>
      </x:c>
      <x:c r="B45" s="14" t="str">
        <x:v>Quand vous participez à un projet, vous êtes plus motivé par...</x:v>
      </x:c>
      <x:c r="C45" s="14" t="str">
        <x:v>La qualité de la coopération</x:v>
      </x:c>
      <x:c r="D45" s="14" t="str">
        <x:v>La solidité de ce qui est construit</x:v>
      </x:c>
      <x:c r="E45" s="14" t="str">
        <x:v>MP8</x:v>
      </x:c>
      <x:c r="F45" s="14" t="str">
        <x:v>MP3</x:v>
      </x:c>
      <x:c r="G45" s="14" t="n">
        <x:v>5</x:v>
      </x:c>
      <x:c r="H45" s="14" t="str">
        <x:v>active</x:v>
      </x:c>
      <x:c r="I45" s="14" t="str">
        <x:v>0.1</x:v>
      </x:c>
      <x:c r="J45" s="14" t="str">
        <x:v>Deux propositions positives ; aucune bonne réponse.</x:v>
      </x:c>
    </x:row>
    <x:row r="46" ht="58" customHeight="1">
      <x:c r="A46" s="14" t="str">
        <x:v>C045</x:v>
      </x:c>
      <x:c r="B46" s="14" t="str">
        <x:v>Lorsque vous donnez du temps à quelqu’un, ce qui vous stimule le plus est...</x:v>
      </x:c>
      <x:c r="C46" s="14" t="str">
        <x:v>L’aider concrètement maintenant</x:v>
      </x:c>
      <x:c r="D46" s="14" t="str">
        <x:v>Lui transmettre quelque chose qui lui servira plus tard</x:v>
      </x:c>
      <x:c r="E46" s="14" t="str">
        <x:v>MP5</x:v>
      </x:c>
      <x:c r="F46" s="14" t="str">
        <x:v>MP4</x:v>
      </x:c>
      <x:c r="G46" s="14" t="n">
        <x:v>5</x:v>
      </x:c>
      <x:c r="H46" s="14" t="str">
        <x:v>active</x:v>
      </x:c>
      <x:c r="I46" s="14" t="str">
        <x:v>0.1</x:v>
      </x:c>
      <x:c r="J46" s="14" t="str">
        <x:v>Deux propositions positives ; aucune bonne réponse.</x:v>
      </x:c>
    </x:row>
    <x:row r="47" ht="58" customHeight="1">
      <x:c r="A47" s="14" t="str">
        <x:v>C046</x:v>
      </x:c>
      <x:c r="B47" s="14" t="str">
        <x:v>Dans une mission à fort enjeu, vous êtes plus porté par...</x:v>
      </x:c>
      <x:c r="C47" s="14" t="str">
        <x:v>La responsabilité de réussir</x:v>
      </x:c>
      <x:c r="D47" s="14" t="str">
        <x:v>La possibilité de faire évoluer vos compétences</x:v>
      </x:c>
      <x:c r="E47" s="14" t="str">
        <x:v>MP1</x:v>
      </x:c>
      <x:c r="F47" s="14" t="str">
        <x:v>MP9</x:v>
      </x:c>
      <x:c r="G47" s="14" t="n">
        <x:v>5</x:v>
      </x:c>
      <x:c r="H47" s="14" t="str">
        <x:v>active</x:v>
      </x:c>
      <x:c r="I47" s="14" t="str">
        <x:v>0.1</x:v>
      </x:c>
      <x:c r="J47" s="14" t="str">
        <x:v>Deux propositions positives ; aucune bonne réponse.</x:v>
      </x:c>
    </x:row>
    <x:row r="48" ht="58" customHeight="1">
      <x:c r="A48" s="14" t="str">
        <x:v>C047</x:v>
      </x:c>
      <x:c r="B48" s="14" t="str">
        <x:v>Quand vous défendez une idée, vous êtes plus stimulé par...</x:v>
      </x:c>
      <x:c r="C48" s="14" t="str">
        <x:v>L’influence qu’elle peut avoir</x:v>
      </x:c>
      <x:c r="D48" s="14" t="str">
        <x:v>Le sens qu’elle porte</x:v>
      </x:c>
      <x:c r="E48" s="14" t="str">
        <x:v>MP6</x:v>
      </x:c>
      <x:c r="F48" s="14" t="str">
        <x:v>MP10</x:v>
      </x:c>
      <x:c r="G48" s="14" t="n">
        <x:v>5</x:v>
      </x:c>
      <x:c r="H48" s="14" t="str">
        <x:v>active</x:v>
      </x:c>
      <x:c r="I48" s="14" t="str">
        <x:v>0.1</x:v>
      </x:c>
      <x:c r="J48" s="14" t="str">
        <x:v>Deux propositions positives ; aucune bonne réponse.</x:v>
      </x:c>
    </x:row>
    <x:row r="49" ht="58" customHeight="1">
      <x:c r="A49" s="14" t="str">
        <x:v>C048</x:v>
      </x:c>
      <x:c r="B49" s="14" t="str">
        <x:v>Lorsque vous organisez votre travail, vous êtes plus motivé par...</x:v>
      </x:c>
      <x:c r="C49" s="14" t="str">
        <x:v>Créer une structure claire</x:v>
      </x:c>
      <x:c r="D49" s="14" t="str">
        <x:v>Tester une manière nouvelle de faire</x:v>
      </x:c>
      <x:c r="E49" s="14" t="str">
        <x:v>MP3</x:v>
      </x:c>
      <x:c r="F49" s="14" t="str">
        <x:v>MP7</x:v>
      </x:c>
      <x:c r="G49" s="14" t="n">
        <x:v>5</x:v>
      </x:c>
      <x:c r="H49" s="14" t="str">
        <x:v>active</x:v>
      </x:c>
      <x:c r="I49" s="14" t="str">
        <x:v>0.1</x:v>
      </x:c>
      <x:c r="J49" s="14" t="str">
        <x:v>Deux propositions positives ; aucune bonne réponse.</x:v>
      </x:c>
    </x:row>
    <x:row r="50" ht="58" customHeight="1">
      <x:c r="A50" s="14" t="str">
        <x:v>C049</x:v>
      </x:c>
      <x:c r="B50" s="14" t="str">
        <x:v>Quand vous êtes face à une question difficile, vous préférez...</x:v>
      </x:c>
      <x:c r="C50" s="14" t="str">
        <x:v>L’analyser en profondeur</x:v>
      </x:c>
      <x:c r="D50" s="14" t="str">
        <x:v>Chercher l’action qui produira un effet utile</x:v>
      </x:c>
      <x:c r="E50" s="14" t="str">
        <x:v>MP2</x:v>
      </x:c>
      <x:c r="F50" s="14" t="str">
        <x:v>MP5</x:v>
      </x:c>
      <x:c r="G50" s="14" t="n">
        <x:v>5</x:v>
      </x:c>
      <x:c r="H50" s="14" t="str">
        <x:v>active</x:v>
      </x:c>
      <x:c r="I50" s="14" t="str">
        <x:v>0.1</x:v>
      </x:c>
      <x:c r="J50" s="14" t="str">
        <x:v>Deux propositions positives ; aucune bonne réponse.</x:v>
      </x:c>
    </x:row>
    <x:row r="51" ht="58" customHeight="1">
      <x:c r="A51" s="14" t="str">
        <x:v>C050</x:v>
      </x:c>
      <x:c r="B51" s="14" t="str">
        <x:v>Dans un projet d’équipe, vous êtes plus stimulé par...</x:v>
      </x:c>
      <x:c r="C51" s="14" t="str">
        <x:v>Le fait de coopérer au quotidien</x:v>
      </x:c>
      <x:c r="D51" s="14" t="str">
        <x:v>Le fait de faire avancer le projet vers un résultat</x:v>
      </x:c>
      <x:c r="E51" s="14" t="str">
        <x:v>MP8</x:v>
      </x:c>
      <x:c r="F51" s="14" t="str">
        <x:v>MP1</x:v>
      </x:c>
      <x:c r="G51" s="14" t="n">
        <x:v>5</x:v>
      </x:c>
      <x:c r="H51" s="14" t="str">
        <x:v>active</x:v>
      </x:c>
      <x:c r="I51" s="14" t="str">
        <x:v>0.1</x:v>
      </x:c>
      <x:c r="J51" s="14" t="str">
        <x:v>Deux propositions positives ; aucune bonne réponse.</x:v>
      </x:c>
    </x:row>
    <x:row r="52" ht="58" customHeight="1">
      <x:c r="A52" s="14" t="str">
        <x:v>C051</x:v>
      </x:c>
      <x:c r="B52" s="14" t="str">
        <x:v>Lorsque vous développez une solution, ce qui vous anime le plus est...</x:v>
      </x:c>
      <x:c r="C52" s="14" t="str">
        <x:v>Sa nouveauté</x:v>
      </x:c>
      <x:c r="D52" s="14" t="str">
        <x:v>Sa capacité à durer</x:v>
      </x:c>
      <x:c r="E52" s="14" t="str">
        <x:v>MP7</x:v>
      </x:c>
      <x:c r="F52" s="14" t="str">
        <x:v>MP3</x:v>
      </x:c>
      <x:c r="G52" s="14" t="n">
        <x:v>5</x:v>
      </x:c>
      <x:c r="H52" s="14" t="str">
        <x:v>active</x:v>
      </x:c>
      <x:c r="I52" s="14" t="str">
        <x:v>0.1</x:v>
      </x:c>
      <x:c r="J52" s="14" t="str">
        <x:v>Deux propositions positives ; aucune bonne réponse.</x:v>
      </x:c>
    </x:row>
    <x:row r="53" ht="58" customHeight="1">
      <x:c r="A53" s="14" t="str">
        <x:v>C052</x:v>
      </x:c>
      <x:c r="B53" s="14" t="str">
        <x:v>Lorsque vous transmettez une idée, vous êtes plus motivé par...</x:v>
      </x:c>
      <x:c r="C53" s="14" t="str">
        <x:v>Le fait qu’elle aide une personne</x:v>
      </x:c>
      <x:c r="D53" s="14" t="str">
        <x:v>Le fait qu’elle influence une décision</x:v>
      </x:c>
      <x:c r="E53" s="14" t="str">
        <x:v>MP5</x:v>
      </x:c>
      <x:c r="F53" s="14" t="str">
        <x:v>MP6</x:v>
      </x:c>
      <x:c r="G53" s="14" t="n">
        <x:v>5</x:v>
      </x:c>
      <x:c r="H53" s="14" t="str">
        <x:v>active</x:v>
      </x:c>
      <x:c r="I53" s="14" t="str">
        <x:v>0.1</x:v>
      </x:c>
      <x:c r="J53" s="14" t="str">
        <x:v>Deux propositions positives ; aucune bonne réponse.</x:v>
      </x:c>
    </x:row>
    <x:row r="54" ht="58" customHeight="1">
      <x:c r="A54" s="14" t="str">
        <x:v>C053</x:v>
      </x:c>
      <x:c r="B54" s="14" t="str">
        <x:v>Dans votre parcours, vous êtes plus porté par...</x:v>
      </x:c>
      <x:c r="C54" s="14" t="str">
        <x:v>Votre progression personnelle</x:v>
      </x:c>
      <x:c r="D54" s="14" t="str">
        <x:v>Votre contribution à quelque chose d’important</x:v>
      </x:c>
      <x:c r="E54" s="14" t="str">
        <x:v>MP9</x:v>
      </x:c>
      <x:c r="F54" s="14" t="str">
        <x:v>MP10</x:v>
      </x:c>
      <x:c r="G54" s="14" t="n">
        <x:v>5</x:v>
      </x:c>
      <x:c r="H54" s="14" t="str">
        <x:v>active</x:v>
      </x:c>
      <x:c r="I54" s="14" t="str">
        <x:v>0.1</x:v>
      </x:c>
      <x:c r="J54" s="14" t="str">
        <x:v>Deux propositions positives ; aucune bonne réponse.</x:v>
      </x:c>
    </x:row>
    <x:row r="55" ht="58" customHeight="1">
      <x:c r="A55" s="14" t="str">
        <x:v>C054</x:v>
      </x:c>
      <x:c r="B55" s="14" t="str">
        <x:v>Lorsque vous travaillez sur un sujet, vous êtes plus stimulé par...</x:v>
      </x:c>
      <x:c r="C55" s="14" t="str">
        <x:v>Comprendre avant d’agir</x:v>
      </x:c>
      <x:c r="D55" s="14" t="str">
        <x:v>Construire en avançant</x:v>
      </x:c>
      <x:c r="E55" s="14" t="str">
        <x:v>MP2</x:v>
      </x:c>
      <x:c r="F55" s="14" t="str">
        <x:v>MP3</x:v>
      </x:c>
      <x:c r="G55" s="14" t="n">
        <x:v>5</x:v>
      </x:c>
      <x:c r="H55" s="14" t="str">
        <x:v>active</x:v>
      </x:c>
      <x:c r="I55" s="14" t="str">
        <x:v>0.1</x:v>
      </x:c>
      <x:c r="J55" s="14" t="str">
        <x:v>Deux propositions positives ; aucune bonne réponse.</x:v>
      </x:c>
    </x:row>
    <x:row r="56" ht="58" customHeight="1">
      <x:c r="A56" s="14" t="str">
        <x:v>C055</x:v>
      </x:c>
      <x:c r="B56" s="14" t="str">
        <x:v>Lorsqu’une activité vous passionne, c’est souvent parce qu’elle vous permet de...</x:v>
      </x:c>
      <x:c r="C56" s="14" t="str">
        <x:v>Créer quelque chose de nouveau</x:v>
      </x:c>
      <x:c r="D56" s="14" t="str">
        <x:v>Faire progresser quelqu’un</x:v>
      </x:c>
      <x:c r="E56" s="14" t="str">
        <x:v>MP7</x:v>
      </x:c>
      <x:c r="F56" s="14" t="str">
        <x:v>MP4</x:v>
      </x:c>
      <x:c r="G56" s="14" t="n">
        <x:v>5</x:v>
      </x:c>
      <x:c r="H56" s="14" t="str">
        <x:v>active</x:v>
      </x:c>
      <x:c r="I56" s="14" t="str">
        <x:v>0.1</x:v>
      </x:c>
      <x:c r="J56" s="14" t="str">
        <x:v>Deux propositions positives ; aucune bonne réponse.</x:v>
      </x:c>
    </x:row>
    <x:row r="57" ht="58" customHeight="1">
      <x:c r="A57" s="14" t="str">
        <x:v>C056</x:v>
      </x:c>
      <x:c r="B57" s="14" t="str">
        <x:v>Dans une situation collective, vous êtes plus stimulé par...</x:v>
      </x:c>
      <x:c r="C57" s="14" t="str">
        <x:v>La coopération naturelle du groupe</x:v>
      </x:c>
      <x:c r="D57" s="14" t="str">
        <x:v>La possibilité d’orienter l’action</x:v>
      </x:c>
      <x:c r="E57" s="14" t="str">
        <x:v>MP8</x:v>
      </x:c>
      <x:c r="F57" s="14" t="str">
        <x:v>MP6</x:v>
      </x:c>
      <x:c r="G57" s="14" t="n">
        <x:v>5</x:v>
      </x:c>
      <x:c r="H57" s="14" t="str">
        <x:v>active</x:v>
      </x:c>
      <x:c r="I57" s="14" t="str">
        <x:v>0.1</x:v>
      </x:c>
      <x:c r="J57" s="14" t="str">
        <x:v>Deux propositions positives ; aucune bonne réponse.</x:v>
      </x:c>
    </x:row>
    <x:row r="58" ht="58" customHeight="1">
      <x:c r="A58" s="14" t="str">
        <x:v>C057</x:v>
      </x:c>
      <x:c r="B58" s="14" t="str">
        <x:v>Quand vous pensez à votre utilité professionnelle, vous la voyez plutôt dans...</x:v>
      </x:c>
      <x:c r="C58" s="14" t="str">
        <x:v>L’aide directe apportée</x:v>
      </x:c>
      <x:c r="D58" s="14" t="str">
        <x:v>La contribution à un projet porteur</x:v>
      </x:c>
      <x:c r="E58" s="14" t="str">
        <x:v>MP5</x:v>
      </x:c>
      <x:c r="F58" s="14" t="str">
        <x:v>MP10</x:v>
      </x:c>
      <x:c r="G58" s="14" t="n">
        <x:v>5</x:v>
      </x:c>
      <x:c r="H58" s="14" t="str">
        <x:v>active</x:v>
      </x:c>
      <x:c r="I58" s="14" t="str">
        <x:v>0.1</x:v>
      </x:c>
      <x:c r="J58" s="14" t="str">
        <x:v>Deux propositions positives ; aucune bonne réponse.</x:v>
      </x:c>
    </x:row>
    <x:row r="59" ht="58" customHeight="1">
      <x:c r="A59" s="14" t="str">
        <x:v>C058</x:v>
      </x:c>
      <x:c r="B59" s="14" t="str">
        <x:v>Lorsque vous atteignez un objectif, ce qui compte le plus est...</x:v>
      </x:c>
      <x:c r="C59" s="14" t="str">
        <x:v>Le résultat obtenu</x:v>
      </x:c>
      <x:c r="D59" s="14" t="str">
        <x:v>Ce que vous avez appris en chemin</x:v>
      </x:c>
      <x:c r="E59" s="14" t="str">
        <x:v>MP1</x:v>
      </x:c>
      <x:c r="F59" s="14" t="str">
        <x:v>MP2</x:v>
      </x:c>
      <x:c r="G59" s="14" t="n">
        <x:v>5</x:v>
      </x:c>
      <x:c r="H59" s="14" t="str">
        <x:v>active</x:v>
      </x:c>
      <x:c r="I59" s="14" t="str">
        <x:v>0.1</x:v>
      </x:c>
      <x:c r="J59" s="14" t="str">
        <x:v>Deux propositions positives ; aucune bonne réponse.</x:v>
      </x:c>
    </x:row>
    <x:row r="60" ht="58" customHeight="1">
      <x:c r="A60" s="14" t="str">
        <x:v>C059</x:v>
      </x:c>
      <x:c r="B60" s="14" t="str">
        <x:v>Dans un projet qui dure, ce qui vous donne envie de rester est...</x:v>
      </x:c>
      <x:c r="C60" s="14" t="str">
        <x:v>La progression continue</x:v>
      </x:c>
      <x:c r="D60" s="14" t="str">
        <x:v>La construction d’une solution solide</x:v>
      </x:c>
      <x:c r="E60" s="14" t="str">
        <x:v>MP9</x:v>
      </x:c>
      <x:c r="F60" s="14" t="str">
        <x:v>MP3</x:v>
      </x:c>
      <x:c r="G60" s="14" t="n">
        <x:v>5</x:v>
      </x:c>
      <x:c r="H60" s="14" t="str">
        <x:v>active</x:v>
      </x:c>
      <x:c r="I60" s="14" t="str">
        <x:v>0.1</x:v>
      </x:c>
      <x:c r="J60" s="14" t="str">
        <x:v>Deux propositions positives ; aucune bonne réponse.</x:v>
      </x:c>
    </x:row>
    <x:row r="61" ht="58" customHeight="1">
      <x:c r="A61" s="14" t="str">
        <x:v>C060</x:v>
      </x:c>
      <x:c r="B61" s="14" t="str">
        <x:v>Lorsque vous cherchez à faire évoluer une situation, vous êtes plus stimulé par...</x:v>
      </x:c>
      <x:c r="C61" s="14" t="str">
        <x:v>Convaincre les personnes concernées</x:v>
      </x:c>
      <x:c r="D61" s="14" t="str">
        <x:v>Imaginer une rupture ou une nouveauté</x:v>
      </x:c>
      <x:c r="E61" s="14" t="str">
        <x:v>MP6</x:v>
      </x:c>
      <x:c r="F61" s="14" t="str">
        <x:v>MP7</x:v>
      </x:c>
      <x:c r="G61" s="14" t="n">
        <x:v>5</x:v>
      </x:c>
      <x:c r="H61" s="14" t="str">
        <x:v>active</x:v>
      </x:c>
      <x:c r="I61" s="14" t="str">
        <x:v>0.1</x:v>
      </x:c>
      <x:c r="J61" s="14" t="str">
        <x:v>Deux propositions positives ; aucune bonne réponse.</x:v>
      </x:c>
    </x:row>
  </x:sheetData>
  <x:conditionalFormatting sqref="H2:H61">
    <x:cfRule type="expression" dxfId="0" priority="1">
      <x:formula>H2="active"</x:formula>
    </x:cfRule>
    <x:cfRule type="expression" dxfId="1" priority="2">
      <x:formula>H2="test"</x:formula>
    </x:cfRule>
    <x:cfRule type="expression" dxfId="2" priority="3">
      <x:formula>H2="retiré"</x:formula>
    </x:cfRule>
  </x:conditionalFormatting>
  <x:dataValidations count="3">
    <x:dataValidation type="list" sqref="E2:E61">
      <x:formula1>"MP1,MP2,MP3,MP4,MP5,MP6,MP7,MP8,MP9,MP10"</x:formula1>
    </x:dataValidation>
    <x:dataValidation type="list" sqref="F2:F61">
      <x:formula1>"MP1,MP2,MP3,MP4,MP5,MP6,MP7,MP8,MP9,MP10"</x:formula1>
    </x:dataValidation>
    <x:dataValidation type="list" sqref="H2:H61">
      <x:formula1>"active,test,retiré"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1f9e5e579d4c8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45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10" t="str">
        <x:v>Position curseur</x:v>
      </x:c>
      <x:c r="B1" s="10" t="str">
        <x:v>Points moteur gauche</x:v>
      </x:c>
      <x:c r="C1" s="10" t="str">
        <x:v>Points moteur droite</x:v>
      </x:c>
      <x:c r="D1" s="10" t="str">
        <x:v>Lecture interne</x:v>
      </x:c>
      <x:c r="F1" t="str">
        <x:v>Exemple de score</x:v>
      </x:c>
      <x:c r="G1" t="str">
        <x:v>Formule</x:v>
      </x:c>
      <x:c r="H1" t="str">
        <x:v>Résultat</x:v>
      </x:c>
    </x:row>
    <x:row r="2">
      <x:c r="A2" s="14" t="n">
        <x:v>0</x:v>
      </x:c>
      <x:c r="B2" s="14" t="n">
        <x:v>100</x:v>
      </x:c>
      <x:c r="C2" s="14" t="n">
        <x:v>0</x:v>
      </x:c>
      <x:c r="D2" s="14" t="str">
        <x:v>Orientation plus forte vers la proposition gauche</x:v>
      </x:c>
      <x:c r="F2" t="str">
        <x:v>Moteur gauche si position en A2</x:v>
      </x:c>
      <x:c r="G2" t="n">
        <x:f>100-(A2*10)</x:f>
        <x:v>100</x:v>
      </x:c>
      <x:c r="H2" t="n">
        <x:f>100-(A2*10)</x:f>
        <x:v>100</x:v>
      </x:c>
    </x:row>
    <x:row r="3">
      <x:c r="A3" s="14" t="n">
        <x:v>1</x:v>
      </x:c>
      <x:c r="B3" s="14" t="n">
        <x:v>90</x:v>
      </x:c>
      <x:c r="C3" s="14" t="n">
        <x:v>10</x:v>
      </x:c>
      <x:c r="D3" s="14" t="str">
        <x:v>Orientation plus forte vers la proposition gauche</x:v>
      </x:c>
      <x:c r="F3" t="str">
        <x:v>Moteur droite si position en A2</x:v>
      </x:c>
      <x:c r="G3" t="n">
        <x:f>A2*10</x:f>
        <x:v>0</x:v>
      </x:c>
      <x:c r="H3" t="n">
        <x:f>A2*10</x:f>
        <x:v>0</x:v>
      </x:c>
    </x:row>
    <x:row r="4">
      <x:c r="A4" s="14" t="n">
        <x:v>2</x:v>
      </x:c>
      <x:c r="B4" s="14" t="n">
        <x:v>80</x:v>
      </x:c>
      <x:c r="C4" s="14" t="n">
        <x:v>20</x:v>
      </x:c>
      <x:c r="D4" s="14" t="str">
        <x:v>Orientation plus forte vers la proposition gauche</x:v>
      </x:c>
    </x:row>
    <x:row r="5">
      <x:c r="A5" s="14" t="n">
        <x:v>3</x:v>
      </x:c>
      <x:c r="B5" s="14" t="n">
        <x:v>70</x:v>
      </x:c>
      <x:c r="C5" s="14" t="n">
        <x:v>30</x:v>
      </x:c>
      <x:c r="D5" s="14" t="str">
        <x:v>Orientation plus forte vers la proposition gauche</x:v>
      </x:c>
      <x:c r="F5" s="4" t="str">
        <x:v>Contrôle d’équilibre</x:v>
      </x:c>
      <x:c r="G5" s="4" t="str">
        <x:v>Apparitions gauche</x:v>
      </x:c>
      <x:c r="H5" s="4" t="str">
        <x:v>Apparitions droite</x:v>
      </x:c>
      <x:c r="I5" s="4" t="str">
        <x:v>Total apparitions</x:v>
      </x:c>
    </x:row>
    <x:row r="6">
      <x:c r="A6" s="14" t="n">
        <x:v>4</x:v>
      </x:c>
      <x:c r="B6" s="14" t="n">
        <x:v>60</x:v>
      </x:c>
      <x:c r="C6" s="14" t="n">
        <x:v>40</x:v>
      </x:c>
      <x:c r="D6" s="14" t="str">
        <x:v>Orientation plus forte vers la proposition gauche</x:v>
      </x:c>
      <x:c r="F6" s="14" t="str">
        <x:v>MP1</x:v>
      </x:c>
      <x:c r="G6" s="14" t="n">
        <x:f>COUNTIF(Curseurs!E:E,F6)</x:f>
        <x:v>7</x:v>
      </x:c>
      <x:c r="H6" s="14" t="n">
        <x:f>COUNTIF(Curseurs!F:F,F6)</x:f>
        <x:v>5</x:v>
      </x:c>
      <x:c r="I6" s="14" t="n">
        <x:f>G6+H6</x:f>
        <x:v>12</x:v>
      </x:c>
    </x:row>
    <x:row r="7">
      <x:c r="A7" s="14" t="n">
        <x:v>5</x:v>
      </x:c>
      <x:c r="B7" s="14" t="n">
        <x:v>50</x:v>
      </x:c>
      <x:c r="C7" s="14" t="n">
        <x:v>50</x:v>
      </x:c>
      <x:c r="D7" s="14" t="str">
        <x:v>Équilibre entre les deux propositions</x:v>
      </x:c>
      <x:c r="F7" s="14" t="str">
        <x:v>MP2</x:v>
      </x:c>
      <x:c r="G7" s="14" t="n">
        <x:f>COUNTIF(Curseurs!E:E,F7)</x:f>
        <x:v>8</x:v>
      </x:c>
      <x:c r="H7" s="14" t="n">
        <x:f>COUNTIF(Curseurs!F:F,F7)</x:f>
        <x:v>3</x:v>
      </x:c>
      <x:c r="I7" s="14" t="n">
        <x:f>G7+H7</x:f>
        <x:v>11</x:v>
      </x:c>
    </x:row>
    <x:row r="8">
      <x:c r="A8" s="14" t="n">
        <x:v>6</x:v>
      </x:c>
      <x:c r="B8" s="14" t="n">
        <x:v>40</x:v>
      </x:c>
      <x:c r="C8" s="14" t="n">
        <x:v>60</x:v>
      </x:c>
      <x:c r="D8" s="14" t="str">
        <x:v>Orientation plus forte vers la proposition droite</x:v>
      </x:c>
      <x:c r="F8" s="14" t="str">
        <x:v>MP3</x:v>
      </x:c>
      <x:c r="G8" s="14" t="n">
        <x:f>COUNTIF(Curseurs!E:E,F8)</x:f>
        <x:v>6</x:v>
      </x:c>
      <x:c r="H8" s="14" t="n">
        <x:f>COUNTIF(Curseurs!F:F,F8)</x:f>
        <x:v>8</x:v>
      </x:c>
      <x:c r="I8" s="14" t="n">
        <x:f>G8+H8</x:f>
        <x:v>14</x:v>
      </x:c>
    </x:row>
    <x:row r="9">
      <x:c r="A9" s="14" t="n">
        <x:v>7</x:v>
      </x:c>
      <x:c r="B9" s="14" t="n">
        <x:v>30</x:v>
      </x:c>
      <x:c r="C9" s="14" t="n">
        <x:v>70</x:v>
      </x:c>
      <x:c r="D9" s="14" t="str">
        <x:v>Orientation plus forte vers la proposition droite</x:v>
      </x:c>
      <x:c r="F9" s="14" t="str">
        <x:v>MP4</x:v>
      </x:c>
      <x:c r="G9" s="14" t="n">
        <x:f>COUNTIF(Curseurs!E:E,F9)</x:f>
        <x:v>4</x:v>
      </x:c>
      <x:c r="H9" s="14" t="n">
        <x:f>COUNTIF(Curseurs!F:F,F9)</x:f>
        <x:v>7</x:v>
      </x:c>
      <x:c r="I9" s="14" t="n">
        <x:f>G9+H9</x:f>
        <x:v>11</x:v>
      </x:c>
    </x:row>
    <x:row r="10">
      <x:c r="A10" s="14" t="n">
        <x:v>8</x:v>
      </x:c>
      <x:c r="B10" s="14" t="n">
        <x:v>20</x:v>
      </x:c>
      <x:c r="C10" s="14" t="n">
        <x:v>80</x:v>
      </x:c>
      <x:c r="D10" s="14" t="str">
        <x:v>Orientation plus forte vers la proposition droite</x:v>
      </x:c>
      <x:c r="F10" s="14" t="str">
        <x:v>MP5</x:v>
      </x:c>
      <x:c r="G10" s="14" t="n">
        <x:f>COUNTIF(Curseurs!E:E,F10)</x:f>
        <x:v>9</x:v>
      </x:c>
      <x:c r="H10" s="14" t="n">
        <x:f>COUNTIF(Curseurs!F:F,F10)</x:f>
        <x:v>4</x:v>
      </x:c>
      <x:c r="I10" s="14" t="n">
        <x:f>G10+H10</x:f>
        <x:v>13</x:v>
      </x:c>
    </x:row>
    <x:row r="11">
      <x:c r="A11" s="14" t="n">
        <x:v>9</x:v>
      </x:c>
      <x:c r="B11" s="14" t="n">
        <x:v>10</x:v>
      </x:c>
      <x:c r="C11" s="14" t="n">
        <x:v>90</x:v>
      </x:c>
      <x:c r="D11" s="14" t="str">
        <x:v>Orientation plus forte vers la proposition droite</x:v>
      </x:c>
      <x:c r="F11" s="14" t="str">
        <x:v>MP6</x:v>
      </x:c>
      <x:c r="G11" s="14" t="n">
        <x:f>COUNTIF(Curseurs!E:E,F11)</x:f>
        <x:v>4</x:v>
      </x:c>
      <x:c r="H11" s="14" t="n">
        <x:f>COUNTIF(Curseurs!F:F,F11)</x:f>
        <x:v>9</x:v>
      </x:c>
      <x:c r="I11" s="14" t="n">
        <x:f>G11+H11</x:f>
        <x:v>13</x:v>
      </x:c>
    </x:row>
    <x:row r="12">
      <x:c r="A12" s="14" t="n">
        <x:v>10</x:v>
      </x:c>
      <x:c r="B12" s="14" t="n">
        <x:v>0</x:v>
      </x:c>
      <x:c r="C12" s="14" t="n">
        <x:v>100</x:v>
      </x:c>
      <x:c r="D12" s="14" t="str">
        <x:v>Orientation plus forte vers la proposition droite</x:v>
      </x:c>
      <x:c r="F12" s="14" t="str">
        <x:v>MP7</x:v>
      </x:c>
      <x:c r="G12" s="14" t="n">
        <x:f>COUNTIF(Curseurs!E:E,F12)</x:f>
        <x:v>6</x:v>
      </x:c>
      <x:c r="H12" s="14" t="n">
        <x:f>COUNTIF(Curseurs!F:F,F12)</x:f>
        <x:v>7</x:v>
      </x:c>
      <x:c r="I12" s="14" t="n">
        <x:f>G12+H12</x:f>
        <x:v>13</x:v>
      </x:c>
    </x:row>
    <x:row r="13">
      <x:c r="F13" s="14" t="str">
        <x:v>MP8</x:v>
      </x:c>
      <x:c r="G13" s="14" t="n">
        <x:f>COUNTIF(Curseurs!E:E,F13)</x:f>
        <x:v>8</x:v>
      </x:c>
      <x:c r="H13" s="14" t="n">
        <x:f>COUNTIF(Curseurs!F:F,F13)</x:f>
        <x:v>2</x:v>
      </x:c>
      <x:c r="I13" s="14" t="n">
        <x:f>G13+H13</x:f>
        <x:v>10</x:v>
      </x:c>
    </x:row>
    <x:row r="14">
      <x:c r="F14" s="14" t="str">
        <x:v>MP9</x:v>
      </x:c>
      <x:c r="G14" s="14" t="n">
        <x:f>COUNTIF(Curseurs!E:E,F14)</x:f>
        <x:v>7</x:v>
      </x:c>
      <x:c r="H14" s="14" t="n">
        <x:f>COUNTIF(Curseurs!F:F,F14)</x:f>
        <x:v>5</x:v>
      </x:c>
      <x:c r="I14" s="14" t="n">
        <x:f>G14+H14</x:f>
        <x:v>12</x:v>
      </x:c>
    </x:row>
    <x:row r="15">
      <x:c r="F15" s="14" t="str">
        <x:v>MP10</x:v>
      </x:c>
      <x:c r="G15" s="14" t="n">
        <x:f>COUNTIF(Curseurs!E:E,F15)</x:f>
        <x:v>1</x:v>
      </x:c>
      <x:c r="H15" s="14" t="n">
        <x:f>COUNTIF(Curseurs!F:F,F15)</x:f>
        <x:v>10</x:v>
      </x:c>
      <x:c r="I15" s="14" t="n">
        <x:f>G15+H15</x:f>
        <x:v>11</x:v>
      </x:c>
    </x:row>
  </x:sheetData>
  <x:pageMargins left="0.7" right="0.7" top="0.75" bottom="0.75" header="0.3" footer="0.3"/>
  <x:tableParts count="1">
    <x:tablePart xmlns:r="http://schemas.openxmlformats.org/officeDocument/2006/relationships" r:id="R950698cf118040d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10" t="str">
        <x:v>Paramètre</x:v>
      </x:c>
      <x:c r="B1" s="10" t="str">
        <x:v>Valeur</x:v>
      </x:c>
    </x:row>
    <x:row r="2">
      <x:c r="A2" s="14" t="str">
        <x:v>outil_nom</x:v>
      </x:c>
      <x:c r="B2" s="14" t="str">
        <x:v>Clarté360 – Moteurs professionnels</x:v>
      </x:c>
    </x:row>
    <x:row r="3">
      <x:c r="A3" s="14" t="str">
        <x:v>outil_code</x:v>
      </x:c>
      <x:c r="B3" s="14" t="str">
        <x:v>clarte360_moteurs_professionnels</x:v>
      </x:c>
    </x:row>
    <x:row r="4">
      <x:c r="A4" s="14" t="str">
        <x:v>version_questionnaire</x:v>
      </x:c>
      <x:c r="B4" s="14" t="str">
        <x:v>0.1</x:v>
      </x:c>
    </x:row>
    <x:row r="5">
      <x:c r="A5" s="14" t="str">
        <x:v>date_creation</x:v>
      </x:c>
      <x:c r="B5" s="14" t="str">
        <x:v>2026-06-29</x:v>
      </x:c>
    </x:row>
    <x:row r="6">
      <x:c r="A6" s="14" t="str">
        <x:v>type_reponse</x:v>
      </x:c>
      <x:c r="B6" s="14" t="str">
        <x:v>Curseur discret à 11 positions</x:v>
      </x:c>
    </x:row>
    <x:row r="7">
      <x:c r="A7" s="14" t="str">
        <x:v>positions_internes</x:v>
      </x:c>
      <x:c r="B7" s="14" t="str">
        <x:v>0 à 10</x:v>
      </x:c>
    </x:row>
    <x:row r="8">
      <x:c r="A8" s="14" t="str">
        <x:v>affichage_beneficiaire</x:v>
      </x:c>
      <x:c r="B8" s="14" t="str">
        <x:v>Aucune cotation visible ; seul le curseur est affiché</x:v>
      </x:c>
    </x:row>
    <x:row r="9">
      <x:c r="A9" s="14" t="str">
        <x:v>couleur_officielle</x:v>
      </x:c>
      <x:c r="B9" s="14" t="str">
        <x:v>#008080</x:v>
      </x:c>
    </x:row>
    <x:row r="10">
      <x:c r="A10" s="14" t="str">
        <x:v>nombre_items</x:v>
      </x:c>
      <x:c r="B10" s="14" t="n">
        <x:v>60</x:v>
      </x:c>
    </x:row>
    <x:row r="11">
      <x:c r="A11" s="14" t="str">
        <x:v>nombre_moteurs</x:v>
      </x:c>
      <x:c r="B11" s="14" t="n">
        <x:v>10</x:v>
      </x:c>
    </x:row>
    <x:row r="12">
      <x:c r="A12" s="14" t="str">
        <x:v>notice</x:v>
      </x:c>
      <x:c r="B12" s="14" t="str">
        <x:v>Outil déclaratif d’exploration. Ne constitue pas un test psychométrique ni un diagnostic.</x:v>
      </x:c>
    </x:row>
  </x:sheetData>
  <x:pageMargins left="0.7" right="0.7" top="0.75" bottom="0.75" header="0.3" footer="0.3"/>
  <x:tableParts count="1">
    <x:tablePart xmlns:r="http://schemas.openxmlformats.org/officeDocument/2006/relationships" r:id="Ra837630a57234d18"/>
  </x:tableParts>
</x:worksheet>
</file>